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9f5f0e0c8b4f572/Documentos/"/>
    </mc:Choice>
  </mc:AlternateContent>
  <xr:revisionPtr revIDLastSave="0" documentId="8_{8051AEDF-6C55-435F-9659-26C74C3F7B7B}" xr6:coauthVersionLast="47" xr6:coauthVersionMax="47" xr10:uidLastSave="{00000000-0000-0000-0000-000000000000}"/>
  <bookViews>
    <workbookView xWindow="-108" yWindow="-108" windowWidth="23256" windowHeight="12456" firstSheet="9" activeTab="12" xr2:uid="{00000000-000D-0000-FFFF-FFFF00000000}"/>
  </bookViews>
  <sheets>
    <sheet name="Board_Profile" sheetId="7" r:id="rId1"/>
    <sheet name="Career_History" sheetId="1" r:id="rId2"/>
    <sheet name="Board_Composition" sheetId="2" r:id="rId3"/>
    <sheet name="Monthly_Experience" sheetId="3" r:id="rId4"/>
    <sheet name="Board_Comparison" sheetId="4" r:id="rId5"/>
    <sheet name="Sources" sheetId="5" r:id="rId6"/>
    <sheet name="Methodology_QA" sheetId="6" r:id="rId7"/>
    <sheet name="Heath_Personas" sheetId="8" r:id="rId8"/>
    <sheet name="Heath_Criterios" sheetId="9" r:id="rId9"/>
    <sheet name="Heath_Evaluaciones" sheetId="10" r:id="rId10"/>
    <sheet name="Heath_Detalle" sheetId="11" r:id="rId11"/>
    <sheet name="Heath_Captura" sheetId="12" r:id="rId12"/>
    <sheet name="Heath_Comparador" sheetId="25" r:id="rId13"/>
    <sheet name="Heath_Evolucion" sheetId="26" r:id="rId14"/>
    <sheet name="Heath_Audit_Log" sheetId="27" r:id="rId15"/>
  </sheets>
  <functionGroups builtInGroupCount="19"/>
  <definedNames>
    <definedName name="MonthlyDates">OFFSET(Monthly_Experience!$A$3,0,0,COUNTA(Monthly_Experience!$A:$A)-2,1)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I29" i="12"/>
  <c r="I28" i="12"/>
  <c r="I27" i="12"/>
  <c r="I26" i="12"/>
  <c r="I25" i="12"/>
  <c r="I24" i="12"/>
  <c r="I23" i="12"/>
  <c r="I22" i="12"/>
  <c r="I21" i="12"/>
  <c r="I20" i="12"/>
  <c r="AM10" i="4"/>
  <c r="AF8" i="4"/>
  <c r="AL11" i="4"/>
  <c r="AE9" i="4"/>
  <c r="AL7" i="4"/>
  <c r="AK8" i="4"/>
  <c r="AC11" i="4"/>
  <c r="AC7" i="4"/>
  <c r="AI10" i="4"/>
  <c r="AB8" i="4"/>
  <c r="AH11" i="4"/>
  <c r="AA9" i="4"/>
  <c r="AH7" i="4"/>
  <c r="H11" i="4"/>
  <c r="G11" i="4"/>
  <c r="AM11" i="4" s="1"/>
  <c r="A11" i="4"/>
  <c r="AF11" i="4" s="1"/>
  <c r="I10" i="4"/>
  <c r="G10" i="4"/>
  <c r="AJ10" i="4" s="1"/>
  <c r="A10" i="4"/>
  <c r="AC10" i="4" s="1"/>
  <c r="G9" i="4"/>
  <c r="AK9" i="4" s="1"/>
  <c r="A9" i="4"/>
  <c r="B9" i="4" s="1"/>
  <c r="K8" i="4"/>
  <c r="G8" i="4"/>
  <c r="AL8" i="4" s="1"/>
  <c r="B8" i="4"/>
  <c r="A8" i="4"/>
  <c r="AE8" i="4" s="1"/>
  <c r="H7" i="4"/>
  <c r="G7" i="4"/>
  <c r="AM7" i="4" s="1"/>
  <c r="A7" i="4"/>
  <c r="AF7" i="4" s="1"/>
  <c r="BO380" i="3"/>
  <c r="BN380" i="3"/>
  <c r="BM380" i="3"/>
  <c r="BL380" i="3"/>
  <c r="BK380" i="3"/>
  <c r="BJ380" i="3"/>
  <c r="BI380" i="3"/>
  <c r="BH380" i="3"/>
  <c r="BG380" i="3"/>
  <c r="BF380" i="3"/>
  <c r="BE380" i="3"/>
  <c r="BD380" i="3"/>
  <c r="BC380" i="3"/>
  <c r="BB380" i="3"/>
  <c r="BA380" i="3"/>
  <c r="BO379" i="3"/>
  <c r="BN379" i="3"/>
  <c r="BM379" i="3"/>
  <c r="BL379" i="3"/>
  <c r="BK379" i="3"/>
  <c r="BJ379" i="3"/>
  <c r="BI379" i="3"/>
  <c r="BH379" i="3"/>
  <c r="BG379" i="3"/>
  <c r="BF379" i="3"/>
  <c r="BE379" i="3"/>
  <c r="BD379" i="3"/>
  <c r="BC379" i="3"/>
  <c r="BB379" i="3"/>
  <c r="BA379" i="3"/>
  <c r="BO378" i="3"/>
  <c r="BN378" i="3"/>
  <c r="BM378" i="3"/>
  <c r="BL378" i="3"/>
  <c r="BK378" i="3"/>
  <c r="BJ378" i="3"/>
  <c r="BI378" i="3"/>
  <c r="BH378" i="3"/>
  <c r="BG378" i="3"/>
  <c r="BF378" i="3"/>
  <c r="BE378" i="3"/>
  <c r="BD378" i="3"/>
  <c r="B378" i="3" s="1"/>
  <c r="BC378" i="3"/>
  <c r="BB378" i="3"/>
  <c r="BA378" i="3"/>
  <c r="BO377" i="3"/>
  <c r="BN377" i="3"/>
  <c r="BM377" i="3"/>
  <c r="BL377" i="3"/>
  <c r="BK377" i="3"/>
  <c r="BJ377" i="3"/>
  <c r="BI377" i="3"/>
  <c r="BH377" i="3"/>
  <c r="BG377" i="3"/>
  <c r="BF377" i="3"/>
  <c r="BE377" i="3"/>
  <c r="BD377" i="3"/>
  <c r="BC377" i="3"/>
  <c r="BB377" i="3"/>
  <c r="BA377" i="3"/>
  <c r="BO376" i="3"/>
  <c r="BN376" i="3"/>
  <c r="BM376" i="3"/>
  <c r="BL376" i="3"/>
  <c r="BK376" i="3"/>
  <c r="BJ376" i="3"/>
  <c r="BI376" i="3"/>
  <c r="BH376" i="3"/>
  <c r="BG376" i="3"/>
  <c r="BF376" i="3"/>
  <c r="BE376" i="3"/>
  <c r="BD376" i="3"/>
  <c r="BC376" i="3"/>
  <c r="BB376" i="3"/>
  <c r="BA376" i="3"/>
  <c r="BO375" i="3"/>
  <c r="BN375" i="3"/>
  <c r="BM375" i="3"/>
  <c r="BL375" i="3"/>
  <c r="BK375" i="3"/>
  <c r="BJ375" i="3"/>
  <c r="BI375" i="3"/>
  <c r="BH375" i="3"/>
  <c r="BG375" i="3"/>
  <c r="BF375" i="3"/>
  <c r="BE375" i="3"/>
  <c r="BD375" i="3"/>
  <c r="BC375" i="3"/>
  <c r="BB375" i="3"/>
  <c r="BA375" i="3"/>
  <c r="BO374" i="3"/>
  <c r="BN374" i="3"/>
  <c r="BM374" i="3"/>
  <c r="BL374" i="3"/>
  <c r="BK374" i="3"/>
  <c r="BJ374" i="3"/>
  <c r="BI374" i="3"/>
  <c r="BH374" i="3"/>
  <c r="BG374" i="3"/>
  <c r="BF374" i="3"/>
  <c r="BE374" i="3"/>
  <c r="BD374" i="3"/>
  <c r="BC374" i="3"/>
  <c r="BB374" i="3"/>
  <c r="BA374" i="3"/>
  <c r="BO373" i="3"/>
  <c r="BN373" i="3"/>
  <c r="BM373" i="3"/>
  <c r="BL373" i="3"/>
  <c r="BK373" i="3"/>
  <c r="BJ373" i="3"/>
  <c r="BI373" i="3"/>
  <c r="BH373" i="3"/>
  <c r="BG373" i="3"/>
  <c r="B373" i="3" s="1"/>
  <c r="BF373" i="3"/>
  <c r="BE373" i="3"/>
  <c r="BD373" i="3"/>
  <c r="BC373" i="3"/>
  <c r="BB373" i="3"/>
  <c r="BA373" i="3"/>
  <c r="BO372" i="3"/>
  <c r="BN372" i="3"/>
  <c r="BM372" i="3"/>
  <c r="BL372" i="3"/>
  <c r="BK372" i="3"/>
  <c r="BJ372" i="3"/>
  <c r="BI372" i="3"/>
  <c r="BH372" i="3"/>
  <c r="BG372" i="3"/>
  <c r="BF372" i="3"/>
  <c r="BE372" i="3"/>
  <c r="BD372" i="3"/>
  <c r="BC372" i="3"/>
  <c r="BB372" i="3"/>
  <c r="BA372" i="3"/>
  <c r="BO371" i="3"/>
  <c r="BN371" i="3"/>
  <c r="BM371" i="3"/>
  <c r="BL371" i="3"/>
  <c r="BK371" i="3"/>
  <c r="BJ371" i="3"/>
  <c r="BI371" i="3"/>
  <c r="BH371" i="3"/>
  <c r="BG371" i="3"/>
  <c r="BF371" i="3"/>
  <c r="BE371" i="3"/>
  <c r="BD371" i="3"/>
  <c r="BC371" i="3"/>
  <c r="BB371" i="3"/>
  <c r="BA371" i="3"/>
  <c r="BO370" i="3"/>
  <c r="BN370" i="3"/>
  <c r="BM370" i="3"/>
  <c r="BL370" i="3"/>
  <c r="BK370" i="3"/>
  <c r="BJ370" i="3"/>
  <c r="BI370" i="3"/>
  <c r="BH370" i="3"/>
  <c r="BG370" i="3"/>
  <c r="BF370" i="3"/>
  <c r="BE370" i="3"/>
  <c r="BD370" i="3"/>
  <c r="BC370" i="3"/>
  <c r="BB370" i="3"/>
  <c r="BA370" i="3"/>
  <c r="BO369" i="3"/>
  <c r="BN369" i="3"/>
  <c r="BM369" i="3"/>
  <c r="BL369" i="3"/>
  <c r="BK369" i="3"/>
  <c r="BJ369" i="3"/>
  <c r="BI369" i="3"/>
  <c r="BH369" i="3"/>
  <c r="BG369" i="3"/>
  <c r="BF369" i="3"/>
  <c r="BE369" i="3"/>
  <c r="BD369" i="3"/>
  <c r="BC369" i="3"/>
  <c r="BB369" i="3"/>
  <c r="BA369" i="3"/>
  <c r="BO368" i="3"/>
  <c r="BN368" i="3"/>
  <c r="BM368" i="3"/>
  <c r="BL368" i="3"/>
  <c r="BK368" i="3"/>
  <c r="BJ368" i="3"/>
  <c r="BI368" i="3"/>
  <c r="BH368" i="3"/>
  <c r="BG368" i="3"/>
  <c r="BF368" i="3"/>
  <c r="BE368" i="3"/>
  <c r="BD368" i="3"/>
  <c r="BC368" i="3"/>
  <c r="BB368" i="3"/>
  <c r="BA368" i="3"/>
  <c r="BO367" i="3"/>
  <c r="BN367" i="3"/>
  <c r="BM367" i="3"/>
  <c r="BL367" i="3"/>
  <c r="BK367" i="3"/>
  <c r="BJ367" i="3"/>
  <c r="BI367" i="3"/>
  <c r="BH367" i="3"/>
  <c r="BG367" i="3"/>
  <c r="BF367" i="3"/>
  <c r="BE367" i="3"/>
  <c r="BD367" i="3"/>
  <c r="BC367" i="3"/>
  <c r="BB367" i="3"/>
  <c r="BA367" i="3"/>
  <c r="BO366" i="3"/>
  <c r="BN366" i="3"/>
  <c r="BM366" i="3"/>
  <c r="BL366" i="3"/>
  <c r="BK366" i="3"/>
  <c r="BJ366" i="3"/>
  <c r="BI366" i="3"/>
  <c r="BH366" i="3"/>
  <c r="BG366" i="3"/>
  <c r="BF366" i="3"/>
  <c r="BE366" i="3"/>
  <c r="BD366" i="3"/>
  <c r="BC366" i="3"/>
  <c r="BB366" i="3"/>
  <c r="BA366" i="3"/>
  <c r="BO365" i="3"/>
  <c r="BN365" i="3"/>
  <c r="BM365" i="3"/>
  <c r="BL365" i="3"/>
  <c r="BK365" i="3"/>
  <c r="BJ365" i="3"/>
  <c r="BI365" i="3"/>
  <c r="BH365" i="3"/>
  <c r="BG365" i="3"/>
  <c r="BF365" i="3"/>
  <c r="BE365" i="3"/>
  <c r="BD365" i="3"/>
  <c r="BC365" i="3"/>
  <c r="BB365" i="3"/>
  <c r="BA365" i="3"/>
  <c r="BO364" i="3"/>
  <c r="BN364" i="3"/>
  <c r="BM364" i="3"/>
  <c r="BL364" i="3"/>
  <c r="BK364" i="3"/>
  <c r="BJ364" i="3"/>
  <c r="BI364" i="3"/>
  <c r="BH364" i="3"/>
  <c r="BG364" i="3"/>
  <c r="BF364" i="3"/>
  <c r="BE364" i="3"/>
  <c r="BD364" i="3"/>
  <c r="BC364" i="3"/>
  <c r="BB364" i="3"/>
  <c r="BA364" i="3"/>
  <c r="BL363" i="3"/>
  <c r="BK363" i="3"/>
  <c r="BJ363" i="3"/>
  <c r="BI363" i="3"/>
  <c r="BH363" i="3"/>
  <c r="BG363" i="3"/>
  <c r="BF363" i="3"/>
  <c r="BE363" i="3"/>
  <c r="BD363" i="3"/>
  <c r="BC363" i="3"/>
  <c r="BB363" i="3"/>
  <c r="BA363" i="3"/>
  <c r="AW363" i="3"/>
  <c r="AV363" i="3"/>
  <c r="AU363" i="3"/>
  <c r="BL362" i="3"/>
  <c r="BK362" i="3"/>
  <c r="BJ362" i="3"/>
  <c r="BI362" i="3"/>
  <c r="BH362" i="3"/>
  <c r="BG362" i="3"/>
  <c r="BF362" i="3"/>
  <c r="BE362" i="3"/>
  <c r="BD362" i="3"/>
  <c r="BC362" i="3"/>
  <c r="BB362" i="3"/>
  <c r="BA362" i="3"/>
  <c r="AW362" i="3"/>
  <c r="AV362" i="3"/>
  <c r="C362" i="3" s="1"/>
  <c r="AU362" i="3"/>
  <c r="BL361" i="3"/>
  <c r="BK361" i="3"/>
  <c r="BJ361" i="3"/>
  <c r="BI361" i="3"/>
  <c r="BH361" i="3"/>
  <c r="BG361" i="3"/>
  <c r="BF361" i="3"/>
  <c r="BE361" i="3"/>
  <c r="BD361" i="3"/>
  <c r="BC361" i="3"/>
  <c r="BB361" i="3"/>
  <c r="BA361" i="3"/>
  <c r="AW361" i="3"/>
  <c r="AV361" i="3"/>
  <c r="AU361" i="3"/>
  <c r="BL360" i="3"/>
  <c r="BK360" i="3"/>
  <c r="BJ360" i="3"/>
  <c r="BI360" i="3"/>
  <c r="BH360" i="3"/>
  <c r="BG360" i="3"/>
  <c r="BF360" i="3"/>
  <c r="BE360" i="3"/>
  <c r="BD360" i="3"/>
  <c r="BC360" i="3"/>
  <c r="BB360" i="3"/>
  <c r="BA360" i="3"/>
  <c r="AW360" i="3"/>
  <c r="AV360" i="3"/>
  <c r="AU360" i="3"/>
  <c r="BL359" i="3"/>
  <c r="BK359" i="3"/>
  <c r="BJ359" i="3"/>
  <c r="BI359" i="3"/>
  <c r="BH359" i="3"/>
  <c r="BG359" i="3"/>
  <c r="BF359" i="3"/>
  <c r="BE359" i="3"/>
  <c r="BD359" i="3"/>
  <c r="BC359" i="3"/>
  <c r="BB359" i="3"/>
  <c r="BA359" i="3"/>
  <c r="AW359" i="3"/>
  <c r="AV359" i="3"/>
  <c r="AU359" i="3"/>
  <c r="BL358" i="3"/>
  <c r="BK358" i="3"/>
  <c r="BJ358" i="3"/>
  <c r="BI358" i="3"/>
  <c r="BH358" i="3"/>
  <c r="BG358" i="3"/>
  <c r="BF358" i="3"/>
  <c r="BE358" i="3"/>
  <c r="BD358" i="3"/>
  <c r="BC358" i="3"/>
  <c r="BB358" i="3"/>
  <c r="BA358" i="3"/>
  <c r="AW358" i="3"/>
  <c r="AV358" i="3"/>
  <c r="AU358" i="3"/>
  <c r="BL357" i="3"/>
  <c r="BK357" i="3"/>
  <c r="BJ357" i="3"/>
  <c r="BI357" i="3"/>
  <c r="BH357" i="3"/>
  <c r="BG357" i="3"/>
  <c r="BF357" i="3"/>
  <c r="BE357" i="3"/>
  <c r="BD357" i="3"/>
  <c r="BC357" i="3"/>
  <c r="BB357" i="3"/>
  <c r="BA357" i="3"/>
  <c r="AW357" i="3"/>
  <c r="AV357" i="3"/>
  <c r="AU357" i="3"/>
  <c r="BL356" i="3"/>
  <c r="BK356" i="3"/>
  <c r="BJ356" i="3"/>
  <c r="BI356" i="3"/>
  <c r="BH356" i="3"/>
  <c r="BG356" i="3"/>
  <c r="BF356" i="3"/>
  <c r="BE356" i="3"/>
  <c r="BD356" i="3"/>
  <c r="BC356" i="3"/>
  <c r="BB356" i="3"/>
  <c r="BA356" i="3"/>
  <c r="AW356" i="3"/>
  <c r="AV356" i="3"/>
  <c r="AU356" i="3"/>
  <c r="BL355" i="3"/>
  <c r="BK355" i="3"/>
  <c r="BJ355" i="3"/>
  <c r="BI355" i="3"/>
  <c r="BH355" i="3"/>
  <c r="BG355" i="3"/>
  <c r="BF355" i="3"/>
  <c r="BE355" i="3"/>
  <c r="BD355" i="3"/>
  <c r="BC355" i="3"/>
  <c r="BB355" i="3"/>
  <c r="BA355" i="3"/>
  <c r="AW355" i="3"/>
  <c r="AV355" i="3"/>
  <c r="AU355" i="3"/>
  <c r="BL354" i="3"/>
  <c r="BK354" i="3"/>
  <c r="BJ354" i="3"/>
  <c r="BI354" i="3"/>
  <c r="BH354" i="3"/>
  <c r="BG354" i="3"/>
  <c r="BF354" i="3"/>
  <c r="BE354" i="3"/>
  <c r="BD354" i="3"/>
  <c r="BC354" i="3"/>
  <c r="BB354" i="3"/>
  <c r="BA354" i="3"/>
  <c r="AW354" i="3"/>
  <c r="AV354" i="3"/>
  <c r="C354" i="3" s="1"/>
  <c r="AU354" i="3"/>
  <c r="BL353" i="3"/>
  <c r="BK353" i="3"/>
  <c r="BJ353" i="3"/>
  <c r="BI353" i="3"/>
  <c r="BH353" i="3"/>
  <c r="BG353" i="3"/>
  <c r="BF353" i="3"/>
  <c r="BE353" i="3"/>
  <c r="BD353" i="3"/>
  <c r="BC353" i="3"/>
  <c r="BB353" i="3"/>
  <c r="BA353" i="3"/>
  <c r="AW353" i="3"/>
  <c r="D353" i="3" s="1"/>
  <c r="AV353" i="3"/>
  <c r="AU353" i="3"/>
  <c r="BL352" i="3"/>
  <c r="BK352" i="3"/>
  <c r="BJ352" i="3"/>
  <c r="BI352" i="3"/>
  <c r="BH352" i="3"/>
  <c r="BG352" i="3"/>
  <c r="BF352" i="3"/>
  <c r="BE352" i="3"/>
  <c r="BD352" i="3"/>
  <c r="BC352" i="3"/>
  <c r="BB352" i="3"/>
  <c r="BA352" i="3"/>
  <c r="AW352" i="3"/>
  <c r="AV352" i="3"/>
  <c r="AU352" i="3"/>
  <c r="BL351" i="3"/>
  <c r="BK351" i="3"/>
  <c r="BJ351" i="3"/>
  <c r="BI351" i="3"/>
  <c r="BH351" i="3"/>
  <c r="BG351" i="3"/>
  <c r="BF351" i="3"/>
  <c r="BE351" i="3"/>
  <c r="BD351" i="3"/>
  <c r="BC351" i="3"/>
  <c r="BB351" i="3"/>
  <c r="BA351" i="3"/>
  <c r="AW351" i="3"/>
  <c r="AV351" i="3"/>
  <c r="AU351" i="3"/>
  <c r="BL350" i="3"/>
  <c r="BK350" i="3"/>
  <c r="BJ350" i="3"/>
  <c r="BI350" i="3"/>
  <c r="BH350" i="3"/>
  <c r="BG350" i="3"/>
  <c r="BF350" i="3"/>
  <c r="BE350" i="3"/>
  <c r="BD350" i="3"/>
  <c r="BC350" i="3"/>
  <c r="BB350" i="3"/>
  <c r="BA350" i="3"/>
  <c r="AW350" i="3"/>
  <c r="AV350" i="3"/>
  <c r="AU350" i="3"/>
  <c r="C350" i="3"/>
  <c r="BL349" i="3"/>
  <c r="BK349" i="3"/>
  <c r="BJ349" i="3"/>
  <c r="BI349" i="3"/>
  <c r="BH349" i="3"/>
  <c r="BG349" i="3"/>
  <c r="BF349" i="3"/>
  <c r="BE349" i="3"/>
  <c r="BD349" i="3"/>
  <c r="BC349" i="3"/>
  <c r="BB349" i="3"/>
  <c r="BA349" i="3"/>
  <c r="AW349" i="3"/>
  <c r="AV349" i="3"/>
  <c r="AU349" i="3"/>
  <c r="BL348" i="3"/>
  <c r="BK348" i="3"/>
  <c r="BJ348" i="3"/>
  <c r="BI348" i="3"/>
  <c r="BH348" i="3"/>
  <c r="BG348" i="3"/>
  <c r="BF348" i="3"/>
  <c r="BE348" i="3"/>
  <c r="BD348" i="3"/>
  <c r="BC348" i="3"/>
  <c r="BB348" i="3"/>
  <c r="BA348" i="3"/>
  <c r="AW348" i="3"/>
  <c r="AV348" i="3"/>
  <c r="C348" i="3" s="1"/>
  <c r="AU348" i="3"/>
  <c r="BL347" i="3"/>
  <c r="BK347" i="3"/>
  <c r="BJ347" i="3"/>
  <c r="BI347" i="3"/>
  <c r="BH347" i="3"/>
  <c r="BG347" i="3"/>
  <c r="BF347" i="3"/>
  <c r="BE347" i="3"/>
  <c r="BD347" i="3"/>
  <c r="BC347" i="3"/>
  <c r="BB347" i="3"/>
  <c r="BA347" i="3"/>
  <c r="AW347" i="3"/>
  <c r="AV347" i="3"/>
  <c r="AU347" i="3"/>
  <c r="BL346" i="3"/>
  <c r="BK346" i="3"/>
  <c r="BJ346" i="3"/>
  <c r="BI346" i="3"/>
  <c r="BH346" i="3"/>
  <c r="BG346" i="3"/>
  <c r="BF346" i="3"/>
  <c r="BE346" i="3"/>
  <c r="BD346" i="3"/>
  <c r="BC346" i="3"/>
  <c r="BB346" i="3"/>
  <c r="C346" i="3" s="1"/>
  <c r="BA346" i="3"/>
  <c r="AW346" i="3"/>
  <c r="AV346" i="3"/>
  <c r="AU346" i="3"/>
  <c r="BL345" i="3"/>
  <c r="BK345" i="3"/>
  <c r="BJ345" i="3"/>
  <c r="BI345" i="3"/>
  <c r="BH345" i="3"/>
  <c r="BG345" i="3"/>
  <c r="BF345" i="3"/>
  <c r="BE345" i="3"/>
  <c r="BD345" i="3"/>
  <c r="BC345" i="3"/>
  <c r="BB345" i="3"/>
  <c r="BA345" i="3"/>
  <c r="AW345" i="3"/>
  <c r="AV345" i="3"/>
  <c r="AU345" i="3"/>
  <c r="BL344" i="3"/>
  <c r="BK344" i="3"/>
  <c r="BJ344" i="3"/>
  <c r="BI344" i="3"/>
  <c r="BH344" i="3"/>
  <c r="BG344" i="3"/>
  <c r="BF344" i="3"/>
  <c r="BE344" i="3"/>
  <c r="BD344" i="3"/>
  <c r="BC344" i="3"/>
  <c r="BB344" i="3"/>
  <c r="BA344" i="3"/>
  <c r="AW344" i="3"/>
  <c r="AV344" i="3"/>
  <c r="AU344" i="3"/>
  <c r="BL343" i="3"/>
  <c r="BK343" i="3"/>
  <c r="BJ343" i="3"/>
  <c r="BI343" i="3"/>
  <c r="BH343" i="3"/>
  <c r="BG343" i="3"/>
  <c r="BF343" i="3"/>
  <c r="BE343" i="3"/>
  <c r="BD343" i="3"/>
  <c r="BC343" i="3"/>
  <c r="BB343" i="3"/>
  <c r="BA343" i="3"/>
  <c r="AW343" i="3"/>
  <c r="AV343" i="3"/>
  <c r="AU343" i="3"/>
  <c r="BL342" i="3"/>
  <c r="BK342" i="3"/>
  <c r="BJ342" i="3"/>
  <c r="BI342" i="3"/>
  <c r="BH342" i="3"/>
  <c r="BG342" i="3"/>
  <c r="BF342" i="3"/>
  <c r="BE342" i="3"/>
  <c r="BD342" i="3"/>
  <c r="BC342" i="3"/>
  <c r="BB342" i="3"/>
  <c r="BA342" i="3"/>
  <c r="AW342" i="3"/>
  <c r="AV342" i="3"/>
  <c r="AU342" i="3"/>
  <c r="BL341" i="3"/>
  <c r="BK341" i="3"/>
  <c r="BJ341" i="3"/>
  <c r="BI341" i="3"/>
  <c r="BH341" i="3"/>
  <c r="BG341" i="3"/>
  <c r="BF341" i="3"/>
  <c r="BE341" i="3"/>
  <c r="BD341" i="3"/>
  <c r="BC341" i="3"/>
  <c r="BB341" i="3"/>
  <c r="BA341" i="3"/>
  <c r="AW341" i="3"/>
  <c r="AV341" i="3"/>
  <c r="AU341" i="3"/>
  <c r="BL340" i="3"/>
  <c r="BK340" i="3"/>
  <c r="BJ340" i="3"/>
  <c r="BI340" i="3"/>
  <c r="BH340" i="3"/>
  <c r="BG340" i="3"/>
  <c r="BF340" i="3"/>
  <c r="BE340" i="3"/>
  <c r="BD340" i="3"/>
  <c r="BC340" i="3"/>
  <c r="BB340" i="3"/>
  <c r="BA340" i="3"/>
  <c r="AW340" i="3"/>
  <c r="AV340" i="3"/>
  <c r="AU340" i="3"/>
  <c r="BL339" i="3"/>
  <c r="BK339" i="3"/>
  <c r="BJ339" i="3"/>
  <c r="BI339" i="3"/>
  <c r="BH339" i="3"/>
  <c r="BG339" i="3"/>
  <c r="BF339" i="3"/>
  <c r="BE339" i="3"/>
  <c r="BD339" i="3"/>
  <c r="BC339" i="3"/>
  <c r="BB339" i="3"/>
  <c r="BA339" i="3"/>
  <c r="AW339" i="3"/>
  <c r="AV339" i="3"/>
  <c r="AU339" i="3"/>
  <c r="BI338" i="3"/>
  <c r="BH338" i="3"/>
  <c r="BG338" i="3"/>
  <c r="BF338" i="3"/>
  <c r="BE338" i="3"/>
  <c r="BD338" i="3"/>
  <c r="BC338" i="3"/>
  <c r="BB338" i="3"/>
  <c r="BA338" i="3"/>
  <c r="AZ338" i="3"/>
  <c r="AY338" i="3"/>
  <c r="AX338" i="3"/>
  <c r="AW338" i="3"/>
  <c r="D338" i="3" s="1"/>
  <c r="AV338" i="3"/>
  <c r="AU338" i="3"/>
  <c r="BI337" i="3"/>
  <c r="BH337" i="3"/>
  <c r="BG337" i="3"/>
  <c r="BF337" i="3"/>
  <c r="BE337" i="3"/>
  <c r="BD337" i="3"/>
  <c r="BC337" i="3"/>
  <c r="BB337" i="3"/>
  <c r="BA337" i="3"/>
  <c r="AZ337" i="3"/>
  <c r="AY337" i="3"/>
  <c r="AX337" i="3"/>
  <c r="AW337" i="3"/>
  <c r="AV337" i="3"/>
  <c r="C337" i="3" s="1"/>
  <c r="AU337" i="3"/>
  <c r="BI336" i="3"/>
  <c r="BH336" i="3"/>
  <c r="BG336" i="3"/>
  <c r="BF336" i="3"/>
  <c r="BE336" i="3"/>
  <c r="BD336" i="3"/>
  <c r="BC336" i="3"/>
  <c r="BB336" i="3"/>
  <c r="BA336" i="3"/>
  <c r="AZ336" i="3"/>
  <c r="AY336" i="3"/>
  <c r="AX336" i="3"/>
  <c r="AW336" i="3"/>
  <c r="AV336" i="3"/>
  <c r="AU336" i="3"/>
  <c r="BI335" i="3"/>
  <c r="BH335" i="3"/>
  <c r="BG335" i="3"/>
  <c r="BF335" i="3"/>
  <c r="BE335" i="3"/>
  <c r="BD335" i="3"/>
  <c r="BC335" i="3"/>
  <c r="BB335" i="3"/>
  <c r="BA335" i="3"/>
  <c r="AZ335" i="3"/>
  <c r="AY335" i="3"/>
  <c r="AX335" i="3"/>
  <c r="AW335" i="3"/>
  <c r="AV335" i="3"/>
  <c r="AU335" i="3"/>
  <c r="BI334" i="3"/>
  <c r="BH334" i="3"/>
  <c r="BG334" i="3"/>
  <c r="BF334" i="3"/>
  <c r="BE334" i="3"/>
  <c r="BD334" i="3"/>
  <c r="BC334" i="3"/>
  <c r="BB334" i="3"/>
  <c r="BA334" i="3"/>
  <c r="AZ334" i="3"/>
  <c r="AY334" i="3"/>
  <c r="AX334" i="3"/>
  <c r="AW334" i="3"/>
  <c r="AV334" i="3"/>
  <c r="AU334" i="3"/>
  <c r="BI333" i="3"/>
  <c r="BH333" i="3"/>
  <c r="BG333" i="3"/>
  <c r="BF333" i="3"/>
  <c r="BE333" i="3"/>
  <c r="BD333" i="3"/>
  <c r="BC333" i="3"/>
  <c r="BB333" i="3"/>
  <c r="BA333" i="3"/>
  <c r="AZ333" i="3"/>
  <c r="D333" i="3" s="1"/>
  <c r="AY333" i="3"/>
  <c r="AX333" i="3"/>
  <c r="AW333" i="3"/>
  <c r="AV333" i="3"/>
  <c r="AU333" i="3"/>
  <c r="BI332" i="3"/>
  <c r="BH332" i="3"/>
  <c r="BG332" i="3"/>
  <c r="BF332" i="3"/>
  <c r="BE332" i="3"/>
  <c r="BD332" i="3"/>
  <c r="BC332" i="3"/>
  <c r="BB332" i="3"/>
  <c r="BA332" i="3"/>
  <c r="AZ332" i="3"/>
  <c r="AY332" i="3"/>
  <c r="AX332" i="3"/>
  <c r="AW332" i="3"/>
  <c r="AV332" i="3"/>
  <c r="AU332" i="3"/>
  <c r="BI331" i="3"/>
  <c r="BH331" i="3"/>
  <c r="BG331" i="3"/>
  <c r="BF331" i="3"/>
  <c r="BE331" i="3"/>
  <c r="BD331" i="3"/>
  <c r="BC331" i="3"/>
  <c r="BB331" i="3"/>
  <c r="BA331" i="3"/>
  <c r="AZ331" i="3"/>
  <c r="AY331" i="3"/>
  <c r="AX331" i="3"/>
  <c r="AW331" i="3"/>
  <c r="AV331" i="3"/>
  <c r="AU331" i="3"/>
  <c r="BI330" i="3"/>
  <c r="BH330" i="3"/>
  <c r="BG330" i="3"/>
  <c r="BF330" i="3"/>
  <c r="BE330" i="3"/>
  <c r="BD330" i="3"/>
  <c r="BC330" i="3"/>
  <c r="BB330" i="3"/>
  <c r="BA330" i="3"/>
  <c r="AZ330" i="3"/>
  <c r="AY330" i="3"/>
  <c r="AX330" i="3"/>
  <c r="AW330" i="3"/>
  <c r="AV330" i="3"/>
  <c r="AU330" i="3"/>
  <c r="BI329" i="3"/>
  <c r="BH329" i="3"/>
  <c r="BG329" i="3"/>
  <c r="BF329" i="3"/>
  <c r="BE329" i="3"/>
  <c r="BD329" i="3"/>
  <c r="BC329" i="3"/>
  <c r="BB329" i="3"/>
  <c r="BA329" i="3"/>
  <c r="AZ329" i="3"/>
  <c r="AY329" i="3"/>
  <c r="AX329" i="3"/>
  <c r="AW329" i="3"/>
  <c r="AV329" i="3"/>
  <c r="AU329" i="3"/>
  <c r="BI328" i="3"/>
  <c r="BH328" i="3"/>
  <c r="BG328" i="3"/>
  <c r="BF328" i="3"/>
  <c r="BE328" i="3"/>
  <c r="BD328" i="3"/>
  <c r="BC328" i="3"/>
  <c r="BB328" i="3"/>
  <c r="BA328" i="3"/>
  <c r="AZ328" i="3"/>
  <c r="AY328" i="3"/>
  <c r="AX328" i="3"/>
  <c r="AW328" i="3"/>
  <c r="AV328" i="3"/>
  <c r="AU328" i="3"/>
  <c r="BI327" i="3"/>
  <c r="BH327" i="3"/>
  <c r="BG327" i="3"/>
  <c r="BF327" i="3"/>
  <c r="BE327" i="3"/>
  <c r="BD327" i="3"/>
  <c r="BC327" i="3"/>
  <c r="BB327" i="3"/>
  <c r="BA327" i="3"/>
  <c r="AZ327" i="3"/>
  <c r="AY327" i="3"/>
  <c r="AX327" i="3"/>
  <c r="AW327" i="3"/>
  <c r="AV327" i="3"/>
  <c r="AU327" i="3"/>
  <c r="BF326" i="3"/>
  <c r="BE326" i="3"/>
  <c r="BD326" i="3"/>
  <c r="BC326" i="3"/>
  <c r="BB326" i="3"/>
  <c r="BA326" i="3"/>
  <c r="AZ326" i="3"/>
  <c r="AY326" i="3"/>
  <c r="AX326" i="3"/>
  <c r="AW326" i="3"/>
  <c r="AV326" i="3"/>
  <c r="AU326" i="3"/>
  <c r="AT326" i="3"/>
  <c r="AS326" i="3"/>
  <c r="AR326" i="3"/>
  <c r="BF325" i="3"/>
  <c r="BE325" i="3"/>
  <c r="BD325" i="3"/>
  <c r="BC325" i="3"/>
  <c r="BB325" i="3"/>
  <c r="BA325" i="3"/>
  <c r="AZ325" i="3"/>
  <c r="AY325" i="3"/>
  <c r="AX325" i="3"/>
  <c r="AW325" i="3"/>
  <c r="AV325" i="3"/>
  <c r="AU325" i="3"/>
  <c r="AT325" i="3"/>
  <c r="AS325" i="3"/>
  <c r="AR325" i="3"/>
  <c r="BF324" i="3"/>
  <c r="BE324" i="3"/>
  <c r="BD324" i="3"/>
  <c r="BC324" i="3"/>
  <c r="BB324" i="3"/>
  <c r="BA324" i="3"/>
  <c r="AZ324" i="3"/>
  <c r="AY324" i="3"/>
  <c r="AX324" i="3"/>
  <c r="AW324" i="3"/>
  <c r="AV324" i="3"/>
  <c r="AU324" i="3"/>
  <c r="AT324" i="3"/>
  <c r="AS324" i="3"/>
  <c r="AR324" i="3"/>
  <c r="BF323" i="3"/>
  <c r="BE323" i="3"/>
  <c r="BD323" i="3"/>
  <c r="BC323" i="3"/>
  <c r="BB323" i="3"/>
  <c r="BA323" i="3"/>
  <c r="AZ323" i="3"/>
  <c r="AY323" i="3"/>
  <c r="AX323" i="3"/>
  <c r="AW323" i="3"/>
  <c r="AV323" i="3"/>
  <c r="AU323" i="3"/>
  <c r="AT323" i="3"/>
  <c r="AS323" i="3"/>
  <c r="AR323" i="3"/>
  <c r="BF322" i="3"/>
  <c r="BE322" i="3"/>
  <c r="BD322" i="3"/>
  <c r="BC322" i="3"/>
  <c r="BB322" i="3"/>
  <c r="BA322" i="3"/>
  <c r="AZ322" i="3"/>
  <c r="AY322" i="3"/>
  <c r="AX322" i="3"/>
  <c r="AW322" i="3"/>
  <c r="AV322" i="3"/>
  <c r="AU322" i="3"/>
  <c r="AT322" i="3"/>
  <c r="AS322" i="3"/>
  <c r="AR322" i="3"/>
  <c r="BF321" i="3"/>
  <c r="BE321" i="3"/>
  <c r="BD321" i="3"/>
  <c r="BC321" i="3"/>
  <c r="BB321" i="3"/>
  <c r="BA321" i="3"/>
  <c r="AZ321" i="3"/>
  <c r="AY321" i="3"/>
  <c r="AX321" i="3"/>
  <c r="AW321" i="3"/>
  <c r="AV321" i="3"/>
  <c r="AU321" i="3"/>
  <c r="AT321" i="3"/>
  <c r="AS321" i="3"/>
  <c r="AR321" i="3"/>
  <c r="BF320" i="3"/>
  <c r="BE320" i="3"/>
  <c r="BD320" i="3"/>
  <c r="BC320" i="3"/>
  <c r="BB320" i="3"/>
  <c r="BA320" i="3"/>
  <c r="AZ320" i="3"/>
  <c r="AY320" i="3"/>
  <c r="AX320" i="3"/>
  <c r="AW320" i="3"/>
  <c r="AV320" i="3"/>
  <c r="AU320" i="3"/>
  <c r="AT320" i="3"/>
  <c r="AS320" i="3"/>
  <c r="AR320" i="3"/>
  <c r="BF319" i="3"/>
  <c r="BE319" i="3"/>
  <c r="BD319" i="3"/>
  <c r="BC319" i="3"/>
  <c r="BB319" i="3"/>
  <c r="BA319" i="3"/>
  <c r="AZ319" i="3"/>
  <c r="AY319" i="3"/>
  <c r="AX319" i="3"/>
  <c r="AW319" i="3"/>
  <c r="AV319" i="3"/>
  <c r="AU319" i="3"/>
  <c r="AT319" i="3"/>
  <c r="AS319" i="3"/>
  <c r="AR319" i="3"/>
  <c r="BF318" i="3"/>
  <c r="D318" i="3" s="1"/>
  <c r="BE318" i="3"/>
  <c r="BD318" i="3"/>
  <c r="BC318" i="3"/>
  <c r="BB318" i="3"/>
  <c r="BA318" i="3"/>
  <c r="AZ318" i="3"/>
  <c r="AY318" i="3"/>
  <c r="AX318" i="3"/>
  <c r="B318" i="3" s="1"/>
  <c r="AW318" i="3"/>
  <c r="AV318" i="3"/>
  <c r="AU318" i="3"/>
  <c r="AT318" i="3"/>
  <c r="AS318" i="3"/>
  <c r="AR318" i="3"/>
  <c r="BF317" i="3"/>
  <c r="BE317" i="3"/>
  <c r="BD317" i="3"/>
  <c r="BC317" i="3"/>
  <c r="BB317" i="3"/>
  <c r="BA317" i="3"/>
  <c r="AZ317" i="3"/>
  <c r="AY317" i="3"/>
  <c r="AX317" i="3"/>
  <c r="AW317" i="3"/>
  <c r="AV317" i="3"/>
  <c r="AU317" i="3"/>
  <c r="AT317" i="3"/>
  <c r="AS317" i="3"/>
  <c r="AR317" i="3"/>
  <c r="BF316" i="3"/>
  <c r="BE316" i="3"/>
  <c r="BD316" i="3"/>
  <c r="BC316" i="3"/>
  <c r="BB316" i="3"/>
  <c r="BA316" i="3"/>
  <c r="AZ316" i="3"/>
  <c r="AY316" i="3"/>
  <c r="AX316" i="3"/>
  <c r="AW316" i="3"/>
  <c r="AV316" i="3"/>
  <c r="AU316" i="3"/>
  <c r="AT316" i="3"/>
  <c r="AS316" i="3"/>
  <c r="AR316" i="3"/>
  <c r="BF315" i="3"/>
  <c r="BE315" i="3"/>
  <c r="BD315" i="3"/>
  <c r="BC315" i="3"/>
  <c r="BB315" i="3"/>
  <c r="BA315" i="3"/>
  <c r="AZ315" i="3"/>
  <c r="AY315" i="3"/>
  <c r="AX315" i="3"/>
  <c r="AW315" i="3"/>
  <c r="AV315" i="3"/>
  <c r="AU315" i="3"/>
  <c r="AT315" i="3"/>
  <c r="AS315" i="3"/>
  <c r="AR315" i="3"/>
  <c r="BC314" i="3"/>
  <c r="BB314" i="3"/>
  <c r="BA314" i="3"/>
  <c r="AZ314" i="3"/>
  <c r="AY314" i="3"/>
  <c r="AX314" i="3"/>
  <c r="AW314" i="3"/>
  <c r="AV314" i="3"/>
  <c r="AU314" i="3"/>
  <c r="AT314" i="3"/>
  <c r="AS314" i="3"/>
  <c r="AR314" i="3"/>
  <c r="AQ314" i="3"/>
  <c r="AP314" i="3"/>
  <c r="AO314" i="3"/>
  <c r="BC313" i="3"/>
  <c r="BB313" i="3"/>
  <c r="BA313" i="3"/>
  <c r="AZ313" i="3"/>
  <c r="AY313" i="3"/>
  <c r="AX313" i="3"/>
  <c r="AW313" i="3"/>
  <c r="AV313" i="3"/>
  <c r="AU313" i="3"/>
  <c r="AT313" i="3"/>
  <c r="AS313" i="3"/>
  <c r="AR313" i="3"/>
  <c r="AQ313" i="3"/>
  <c r="AP313" i="3"/>
  <c r="C313" i="3" s="1"/>
  <c r="AO313" i="3"/>
  <c r="BC312" i="3"/>
  <c r="BB312" i="3"/>
  <c r="BA312" i="3"/>
  <c r="AZ312" i="3"/>
  <c r="AY312" i="3"/>
  <c r="AX312" i="3"/>
  <c r="AW312" i="3"/>
  <c r="AV312" i="3"/>
  <c r="AU312" i="3"/>
  <c r="AT312" i="3"/>
  <c r="AS312" i="3"/>
  <c r="AR312" i="3"/>
  <c r="AQ312" i="3"/>
  <c r="AP312" i="3"/>
  <c r="AO312" i="3"/>
  <c r="BC311" i="3"/>
  <c r="BB311" i="3"/>
  <c r="BA311" i="3"/>
  <c r="AZ311" i="3"/>
  <c r="AY311" i="3"/>
  <c r="AX311" i="3"/>
  <c r="AW311" i="3"/>
  <c r="AV311" i="3"/>
  <c r="AU311" i="3"/>
  <c r="AT311" i="3"/>
  <c r="AS311" i="3"/>
  <c r="AR311" i="3"/>
  <c r="AQ311" i="3"/>
  <c r="AP311" i="3"/>
  <c r="AO311" i="3"/>
  <c r="BC310" i="3"/>
  <c r="BB310" i="3"/>
  <c r="BA310" i="3"/>
  <c r="AZ310" i="3"/>
  <c r="AY310" i="3"/>
  <c r="AX310" i="3"/>
  <c r="AW310" i="3"/>
  <c r="AV310" i="3"/>
  <c r="AU310" i="3"/>
  <c r="AT310" i="3"/>
  <c r="AS310" i="3"/>
  <c r="AR310" i="3"/>
  <c r="AQ310" i="3"/>
  <c r="AP310" i="3"/>
  <c r="AO310" i="3"/>
  <c r="BC309" i="3"/>
  <c r="BB309" i="3"/>
  <c r="BA309" i="3"/>
  <c r="AZ309" i="3"/>
  <c r="AY309" i="3"/>
  <c r="AX309" i="3"/>
  <c r="AW309" i="3"/>
  <c r="AV309" i="3"/>
  <c r="AU309" i="3"/>
  <c r="AT309" i="3"/>
  <c r="AS309" i="3"/>
  <c r="AR309" i="3"/>
  <c r="AQ309" i="3"/>
  <c r="AP309" i="3"/>
  <c r="AO309" i="3"/>
  <c r="BC308" i="3"/>
  <c r="BB308" i="3"/>
  <c r="BA308" i="3"/>
  <c r="AZ308" i="3"/>
  <c r="AY308" i="3"/>
  <c r="AX308" i="3"/>
  <c r="AW308" i="3"/>
  <c r="AV308" i="3"/>
  <c r="AU308" i="3"/>
  <c r="AT308" i="3"/>
  <c r="AS308" i="3"/>
  <c r="AR308" i="3"/>
  <c r="AQ308" i="3"/>
  <c r="AP308" i="3"/>
  <c r="AO308" i="3"/>
  <c r="BC307" i="3"/>
  <c r="BB307" i="3"/>
  <c r="BA307" i="3"/>
  <c r="AZ307" i="3"/>
  <c r="AY307" i="3"/>
  <c r="AX307" i="3"/>
  <c r="AW307" i="3"/>
  <c r="AV307" i="3"/>
  <c r="AU307" i="3"/>
  <c r="AT307" i="3"/>
  <c r="AS307" i="3"/>
  <c r="AR307" i="3"/>
  <c r="AQ307" i="3"/>
  <c r="AP307" i="3"/>
  <c r="AO307" i="3"/>
  <c r="BC306" i="3"/>
  <c r="BB306" i="3"/>
  <c r="BA306" i="3"/>
  <c r="AZ306" i="3"/>
  <c r="AY306" i="3"/>
  <c r="AX306" i="3"/>
  <c r="AW306" i="3"/>
  <c r="AV306" i="3"/>
  <c r="AU306" i="3"/>
  <c r="AT306" i="3"/>
  <c r="AS306" i="3"/>
  <c r="AR306" i="3"/>
  <c r="AQ306" i="3"/>
  <c r="AP306" i="3"/>
  <c r="AO306" i="3"/>
  <c r="BC305" i="3"/>
  <c r="BB305" i="3"/>
  <c r="BA305" i="3"/>
  <c r="AZ305" i="3"/>
  <c r="AY305" i="3"/>
  <c r="AX305" i="3"/>
  <c r="AW305" i="3"/>
  <c r="AV305" i="3"/>
  <c r="AU305" i="3"/>
  <c r="AT305" i="3"/>
  <c r="AS305" i="3"/>
  <c r="AR305" i="3"/>
  <c r="AQ305" i="3"/>
  <c r="AP305" i="3"/>
  <c r="AO305" i="3"/>
  <c r="BC304" i="3"/>
  <c r="BB304" i="3"/>
  <c r="BA304" i="3"/>
  <c r="AZ304" i="3"/>
  <c r="AY304" i="3"/>
  <c r="AX304" i="3"/>
  <c r="AW304" i="3"/>
  <c r="AV304" i="3"/>
  <c r="AU304" i="3"/>
  <c r="AT304" i="3"/>
  <c r="AS304" i="3"/>
  <c r="AR304" i="3"/>
  <c r="AQ304" i="3"/>
  <c r="AP304" i="3"/>
  <c r="AO304" i="3"/>
  <c r="BC303" i="3"/>
  <c r="BB303" i="3"/>
  <c r="BA303" i="3"/>
  <c r="AZ303" i="3"/>
  <c r="AY303" i="3"/>
  <c r="AX303" i="3"/>
  <c r="AW303" i="3"/>
  <c r="AV303" i="3"/>
  <c r="AU303" i="3"/>
  <c r="AT303" i="3"/>
  <c r="AS303" i="3"/>
  <c r="AR303" i="3"/>
  <c r="AQ303" i="3"/>
  <c r="AP303" i="3"/>
  <c r="AO303" i="3"/>
  <c r="BC302" i="3"/>
  <c r="BB302" i="3"/>
  <c r="BA302" i="3"/>
  <c r="AZ302" i="3"/>
  <c r="AY302" i="3"/>
  <c r="AX302" i="3"/>
  <c r="AW302" i="3"/>
  <c r="AV302" i="3"/>
  <c r="AU302" i="3"/>
  <c r="AT302" i="3"/>
  <c r="AS302" i="3"/>
  <c r="AR302" i="3"/>
  <c r="AQ302" i="3"/>
  <c r="AP302" i="3"/>
  <c r="AO302" i="3"/>
  <c r="BC301" i="3"/>
  <c r="BB301" i="3"/>
  <c r="BA301" i="3"/>
  <c r="AZ301" i="3"/>
  <c r="AY301" i="3"/>
  <c r="AX301" i="3"/>
  <c r="AW301" i="3"/>
  <c r="AV301" i="3"/>
  <c r="AU301" i="3"/>
  <c r="AT301" i="3"/>
  <c r="AS301" i="3"/>
  <c r="AR301" i="3"/>
  <c r="AQ301" i="3"/>
  <c r="AP301" i="3"/>
  <c r="AO301" i="3"/>
  <c r="BC300" i="3"/>
  <c r="BB300" i="3"/>
  <c r="BA300" i="3"/>
  <c r="AZ300" i="3"/>
  <c r="AY300" i="3"/>
  <c r="AX300" i="3"/>
  <c r="AW300" i="3"/>
  <c r="AV300" i="3"/>
  <c r="AU300" i="3"/>
  <c r="AT300" i="3"/>
  <c r="AS300" i="3"/>
  <c r="AR300" i="3"/>
  <c r="AQ300" i="3"/>
  <c r="AP300" i="3"/>
  <c r="AO300" i="3"/>
  <c r="BC299" i="3"/>
  <c r="BB299" i="3"/>
  <c r="BA299" i="3"/>
  <c r="AZ299" i="3"/>
  <c r="AY299" i="3"/>
  <c r="AX299" i="3"/>
  <c r="AW299" i="3"/>
  <c r="AV299" i="3"/>
  <c r="AU299" i="3"/>
  <c r="AT299" i="3"/>
  <c r="AS299" i="3"/>
  <c r="AR299" i="3"/>
  <c r="AQ299" i="3"/>
  <c r="AP299" i="3"/>
  <c r="AO299" i="3"/>
  <c r="BC298" i="3"/>
  <c r="BB298" i="3"/>
  <c r="BA298" i="3"/>
  <c r="AZ298" i="3"/>
  <c r="AY298" i="3"/>
  <c r="AX298" i="3"/>
  <c r="AW298" i="3"/>
  <c r="AV298" i="3"/>
  <c r="AU298" i="3"/>
  <c r="AT298" i="3"/>
  <c r="AS298" i="3"/>
  <c r="AR298" i="3"/>
  <c r="AQ298" i="3"/>
  <c r="AP298" i="3"/>
  <c r="C298" i="3" s="1"/>
  <c r="AO298" i="3"/>
  <c r="BC297" i="3"/>
  <c r="BB297" i="3"/>
  <c r="BA297" i="3"/>
  <c r="AZ297" i="3"/>
  <c r="AY297" i="3"/>
  <c r="AX297" i="3"/>
  <c r="AW297" i="3"/>
  <c r="AV297" i="3"/>
  <c r="AU297" i="3"/>
  <c r="AT297" i="3"/>
  <c r="AS297" i="3"/>
  <c r="AR297" i="3"/>
  <c r="AQ297" i="3"/>
  <c r="AP297" i="3"/>
  <c r="AO297" i="3"/>
  <c r="BC296" i="3"/>
  <c r="BB296" i="3"/>
  <c r="BA296" i="3"/>
  <c r="AZ296" i="3"/>
  <c r="AY296" i="3"/>
  <c r="AX296" i="3"/>
  <c r="AW296" i="3"/>
  <c r="AV296" i="3"/>
  <c r="AU296" i="3"/>
  <c r="AT296" i="3"/>
  <c r="AS296" i="3"/>
  <c r="AR296" i="3"/>
  <c r="AQ296" i="3"/>
  <c r="AP296" i="3"/>
  <c r="AO296" i="3"/>
  <c r="BC295" i="3"/>
  <c r="BB295" i="3"/>
  <c r="BA295" i="3"/>
  <c r="AZ295" i="3"/>
  <c r="AY295" i="3"/>
  <c r="AX295" i="3"/>
  <c r="AW295" i="3"/>
  <c r="AV295" i="3"/>
  <c r="AU295" i="3"/>
  <c r="AT295" i="3"/>
  <c r="AS295" i="3"/>
  <c r="AR295" i="3"/>
  <c r="AQ295" i="3"/>
  <c r="AP295" i="3"/>
  <c r="AO295" i="3"/>
  <c r="BC294" i="3"/>
  <c r="BB294" i="3"/>
  <c r="BA294" i="3"/>
  <c r="AZ294" i="3"/>
  <c r="AY294" i="3"/>
  <c r="AX294" i="3"/>
  <c r="AW294" i="3"/>
  <c r="AV294" i="3"/>
  <c r="AU294" i="3"/>
  <c r="AT294" i="3"/>
  <c r="AS294" i="3"/>
  <c r="AR294" i="3"/>
  <c r="AQ294" i="3"/>
  <c r="AP294" i="3"/>
  <c r="AO294" i="3"/>
  <c r="BC293" i="3"/>
  <c r="BB293" i="3"/>
  <c r="BA293" i="3"/>
  <c r="AZ293" i="3"/>
  <c r="AY293" i="3"/>
  <c r="AX293" i="3"/>
  <c r="AW293" i="3"/>
  <c r="AV293" i="3"/>
  <c r="AU293" i="3"/>
  <c r="AT293" i="3"/>
  <c r="AS293" i="3"/>
  <c r="AR293" i="3"/>
  <c r="AQ293" i="3"/>
  <c r="AP293" i="3"/>
  <c r="AO293" i="3"/>
  <c r="BC292" i="3"/>
  <c r="BB292" i="3"/>
  <c r="BA292" i="3"/>
  <c r="AZ292" i="3"/>
  <c r="AY292" i="3"/>
  <c r="AX292" i="3"/>
  <c r="AW292" i="3"/>
  <c r="AV292" i="3"/>
  <c r="AU292" i="3"/>
  <c r="AT292" i="3"/>
  <c r="AS292" i="3"/>
  <c r="AR292" i="3"/>
  <c r="AQ292" i="3"/>
  <c r="AP292" i="3"/>
  <c r="AO292" i="3"/>
  <c r="BC291" i="3"/>
  <c r="BB291" i="3"/>
  <c r="BA291" i="3"/>
  <c r="AZ291" i="3"/>
  <c r="AY291" i="3"/>
  <c r="AX291" i="3"/>
  <c r="AW291" i="3"/>
  <c r="AV291" i="3"/>
  <c r="AU291" i="3"/>
  <c r="AT291" i="3"/>
  <c r="AS291" i="3"/>
  <c r="AR291" i="3"/>
  <c r="AQ291" i="3"/>
  <c r="AP291" i="3"/>
  <c r="AO291" i="3"/>
  <c r="AW290" i="3"/>
  <c r="AV290" i="3"/>
  <c r="AU290" i="3"/>
  <c r="AT290" i="3"/>
  <c r="AS290" i="3"/>
  <c r="AR290" i="3"/>
  <c r="AQ290" i="3"/>
  <c r="AP290" i="3"/>
  <c r="AO290" i="3"/>
  <c r="AN290" i="3"/>
  <c r="AM290" i="3"/>
  <c r="AL290" i="3"/>
  <c r="AW289" i="3"/>
  <c r="AV289" i="3"/>
  <c r="AU289" i="3"/>
  <c r="AT289" i="3"/>
  <c r="AS289" i="3"/>
  <c r="AR289" i="3"/>
  <c r="AQ289" i="3"/>
  <c r="AP289" i="3"/>
  <c r="AO289" i="3"/>
  <c r="AN289" i="3"/>
  <c r="AM289" i="3"/>
  <c r="AL289" i="3"/>
  <c r="AE289" i="3"/>
  <c r="AD289" i="3"/>
  <c r="AC289" i="3"/>
  <c r="AW288" i="3"/>
  <c r="AV288" i="3"/>
  <c r="AU288" i="3"/>
  <c r="AT288" i="3"/>
  <c r="AS288" i="3"/>
  <c r="AR288" i="3"/>
  <c r="AQ288" i="3"/>
  <c r="AP288" i="3"/>
  <c r="AO288" i="3"/>
  <c r="AN288" i="3"/>
  <c r="AM288" i="3"/>
  <c r="AL288" i="3"/>
  <c r="AE288" i="3"/>
  <c r="AD288" i="3"/>
  <c r="AC288" i="3"/>
  <c r="AW287" i="3"/>
  <c r="AV287" i="3"/>
  <c r="AU287" i="3"/>
  <c r="AT287" i="3"/>
  <c r="AS287" i="3"/>
  <c r="AR287" i="3"/>
  <c r="AQ287" i="3"/>
  <c r="AP287" i="3"/>
  <c r="AO287" i="3"/>
  <c r="AN287" i="3"/>
  <c r="AM287" i="3"/>
  <c r="AL287" i="3"/>
  <c r="AE287" i="3"/>
  <c r="AD287" i="3"/>
  <c r="AC287" i="3"/>
  <c r="AW286" i="3"/>
  <c r="AV286" i="3"/>
  <c r="AU286" i="3"/>
  <c r="AT286" i="3"/>
  <c r="AS286" i="3"/>
  <c r="AR286" i="3"/>
  <c r="AQ286" i="3"/>
  <c r="AP286" i="3"/>
  <c r="AO286" i="3"/>
  <c r="AN286" i="3"/>
  <c r="AM286" i="3"/>
  <c r="AL286" i="3"/>
  <c r="AE286" i="3"/>
  <c r="AD286" i="3"/>
  <c r="AC286" i="3"/>
  <c r="AW285" i="3"/>
  <c r="AV285" i="3"/>
  <c r="AU285" i="3"/>
  <c r="AT285" i="3"/>
  <c r="AS285" i="3"/>
  <c r="AR285" i="3"/>
  <c r="AQ285" i="3"/>
  <c r="AP285" i="3"/>
  <c r="AO285" i="3"/>
  <c r="AN285" i="3"/>
  <c r="AM285" i="3"/>
  <c r="AL285" i="3"/>
  <c r="AE285" i="3"/>
  <c r="AD285" i="3"/>
  <c r="AC285" i="3"/>
  <c r="AW284" i="3"/>
  <c r="AV284" i="3"/>
  <c r="AU284" i="3"/>
  <c r="AT284" i="3"/>
  <c r="AS284" i="3"/>
  <c r="AR284" i="3"/>
  <c r="AQ284" i="3"/>
  <c r="AP284" i="3"/>
  <c r="AO284" i="3"/>
  <c r="AN284" i="3"/>
  <c r="AM284" i="3"/>
  <c r="AL284" i="3"/>
  <c r="AE284" i="3"/>
  <c r="AD284" i="3"/>
  <c r="AC284" i="3"/>
  <c r="AW283" i="3"/>
  <c r="AV283" i="3"/>
  <c r="AU283" i="3"/>
  <c r="AT283" i="3"/>
  <c r="AS283" i="3"/>
  <c r="AR283" i="3"/>
  <c r="AQ283" i="3"/>
  <c r="AP283" i="3"/>
  <c r="AO283" i="3"/>
  <c r="AN283" i="3"/>
  <c r="AM283" i="3"/>
  <c r="AL283" i="3"/>
  <c r="AE283" i="3"/>
  <c r="AD283" i="3"/>
  <c r="AC283" i="3"/>
  <c r="AW282" i="3"/>
  <c r="AV282" i="3"/>
  <c r="AU282" i="3"/>
  <c r="AT282" i="3"/>
  <c r="AS282" i="3"/>
  <c r="AR282" i="3"/>
  <c r="AQ282" i="3"/>
  <c r="AP282" i="3"/>
  <c r="AO282" i="3"/>
  <c r="AN282" i="3"/>
  <c r="AM282" i="3"/>
  <c r="AL282" i="3"/>
  <c r="AE282" i="3"/>
  <c r="AD282" i="3"/>
  <c r="AC282" i="3"/>
  <c r="B282" i="3" s="1"/>
  <c r="AW281" i="3"/>
  <c r="AV281" i="3"/>
  <c r="AU281" i="3"/>
  <c r="AT281" i="3"/>
  <c r="AS281" i="3"/>
  <c r="AR281" i="3"/>
  <c r="AQ281" i="3"/>
  <c r="AP281" i="3"/>
  <c r="AO281" i="3"/>
  <c r="AN281" i="3"/>
  <c r="AM281" i="3"/>
  <c r="AL281" i="3"/>
  <c r="AE281" i="3"/>
  <c r="AD281" i="3"/>
  <c r="AC281" i="3"/>
  <c r="C281" i="3"/>
  <c r="AW280" i="3"/>
  <c r="AV280" i="3"/>
  <c r="AU280" i="3"/>
  <c r="AT280" i="3"/>
  <c r="AS280" i="3"/>
  <c r="AR280" i="3"/>
  <c r="AQ280" i="3"/>
  <c r="AP280" i="3"/>
  <c r="AO280" i="3"/>
  <c r="AN280" i="3"/>
  <c r="AM280" i="3"/>
  <c r="AL280" i="3"/>
  <c r="AE280" i="3"/>
  <c r="AD280" i="3"/>
  <c r="AC280" i="3"/>
  <c r="AW279" i="3"/>
  <c r="AV279" i="3"/>
  <c r="AU279" i="3"/>
  <c r="AT279" i="3"/>
  <c r="AS279" i="3"/>
  <c r="AR279" i="3"/>
  <c r="AQ279" i="3"/>
  <c r="AP279" i="3"/>
  <c r="AO279" i="3"/>
  <c r="AN279" i="3"/>
  <c r="AM279" i="3"/>
  <c r="AL279" i="3"/>
  <c r="AE279" i="3"/>
  <c r="AD279" i="3"/>
  <c r="AC279" i="3"/>
  <c r="AT278" i="3"/>
  <c r="AS278" i="3"/>
  <c r="AR278" i="3"/>
  <c r="AQ278" i="3"/>
  <c r="AP278" i="3"/>
  <c r="AO278" i="3"/>
  <c r="AN278" i="3"/>
  <c r="AM278" i="3"/>
  <c r="AL278" i="3"/>
  <c r="AE278" i="3"/>
  <c r="AD278" i="3"/>
  <c r="AC278" i="3"/>
  <c r="AT277" i="3"/>
  <c r="AS277" i="3"/>
  <c r="AR277" i="3"/>
  <c r="AQ277" i="3"/>
  <c r="AP277" i="3"/>
  <c r="AO277" i="3"/>
  <c r="AN277" i="3"/>
  <c r="AM277" i="3"/>
  <c r="AL277" i="3"/>
  <c r="AK277" i="3"/>
  <c r="AJ277" i="3"/>
  <c r="AI277" i="3"/>
  <c r="AE277" i="3"/>
  <c r="AD277" i="3"/>
  <c r="AC277" i="3"/>
  <c r="AT276" i="3"/>
  <c r="AS276" i="3"/>
  <c r="AR276" i="3"/>
  <c r="AQ276" i="3"/>
  <c r="AP276" i="3"/>
  <c r="AO276" i="3"/>
  <c r="AN276" i="3"/>
  <c r="AM276" i="3"/>
  <c r="AL276" i="3"/>
  <c r="AK276" i="3"/>
  <c r="AJ276" i="3"/>
  <c r="AI276" i="3"/>
  <c r="AE276" i="3"/>
  <c r="AD276" i="3"/>
  <c r="AC276" i="3"/>
  <c r="AT275" i="3"/>
  <c r="AS275" i="3"/>
  <c r="AR275" i="3"/>
  <c r="AQ275" i="3"/>
  <c r="AP275" i="3"/>
  <c r="AO275" i="3"/>
  <c r="AN275" i="3"/>
  <c r="AM275" i="3"/>
  <c r="AL275" i="3"/>
  <c r="AK275" i="3"/>
  <c r="AJ275" i="3"/>
  <c r="AI275" i="3"/>
  <c r="AE275" i="3"/>
  <c r="AD275" i="3"/>
  <c r="AC275" i="3"/>
  <c r="AT274" i="3"/>
  <c r="AS274" i="3"/>
  <c r="AR274" i="3"/>
  <c r="AQ274" i="3"/>
  <c r="AP274" i="3"/>
  <c r="AO274" i="3"/>
  <c r="AN274" i="3"/>
  <c r="AM274" i="3"/>
  <c r="AL274" i="3"/>
  <c r="AK274" i="3"/>
  <c r="AJ274" i="3"/>
  <c r="AI274" i="3"/>
  <c r="AE274" i="3"/>
  <c r="AD274" i="3"/>
  <c r="AC274" i="3"/>
  <c r="AT273" i="3"/>
  <c r="AS273" i="3"/>
  <c r="AR273" i="3"/>
  <c r="AQ273" i="3"/>
  <c r="AP273" i="3"/>
  <c r="AO273" i="3"/>
  <c r="AN273" i="3"/>
  <c r="AM273" i="3"/>
  <c r="AL273" i="3"/>
  <c r="AK273" i="3"/>
  <c r="AJ273" i="3"/>
  <c r="AI273" i="3"/>
  <c r="AE273" i="3"/>
  <c r="AD273" i="3"/>
  <c r="AC273" i="3"/>
  <c r="AT272" i="3"/>
  <c r="AS272" i="3"/>
  <c r="AR272" i="3"/>
  <c r="AQ272" i="3"/>
  <c r="AP272" i="3"/>
  <c r="AO272" i="3"/>
  <c r="AN272" i="3"/>
  <c r="AM272" i="3"/>
  <c r="AL272" i="3"/>
  <c r="AK272" i="3"/>
  <c r="AJ272" i="3"/>
  <c r="AI272" i="3"/>
  <c r="AE272" i="3"/>
  <c r="AD272" i="3"/>
  <c r="AC272" i="3"/>
  <c r="AT271" i="3"/>
  <c r="AS271" i="3"/>
  <c r="C271" i="3" s="1"/>
  <c r="AR271" i="3"/>
  <c r="AQ271" i="3"/>
  <c r="AP271" i="3"/>
  <c r="AO271" i="3"/>
  <c r="AN271" i="3"/>
  <c r="AM271" i="3"/>
  <c r="AL271" i="3"/>
  <c r="AK271" i="3"/>
  <c r="AJ271" i="3"/>
  <c r="AI271" i="3"/>
  <c r="AE271" i="3"/>
  <c r="AD271" i="3"/>
  <c r="AC271" i="3"/>
  <c r="AT270" i="3"/>
  <c r="AS270" i="3"/>
  <c r="AR270" i="3"/>
  <c r="B270" i="3" s="1"/>
  <c r="AQ270" i="3"/>
  <c r="AP270" i="3"/>
  <c r="AO270" i="3"/>
  <c r="AN270" i="3"/>
  <c r="AM270" i="3"/>
  <c r="AL270" i="3"/>
  <c r="AK270" i="3"/>
  <c r="AJ270" i="3"/>
  <c r="AI270" i="3"/>
  <c r="AE270" i="3"/>
  <c r="D270" i="3" s="1"/>
  <c r="AD270" i="3"/>
  <c r="AC270" i="3"/>
  <c r="AT269" i="3"/>
  <c r="AS269" i="3"/>
  <c r="AR269" i="3"/>
  <c r="AQ269" i="3"/>
  <c r="AP269" i="3"/>
  <c r="AO269" i="3"/>
  <c r="AN269" i="3"/>
  <c r="AM269" i="3"/>
  <c r="AL269" i="3"/>
  <c r="AK269" i="3"/>
  <c r="AJ269" i="3"/>
  <c r="AI269" i="3"/>
  <c r="AE269" i="3"/>
  <c r="AD269" i="3"/>
  <c r="AC269" i="3"/>
  <c r="AT268" i="3"/>
  <c r="AS268" i="3"/>
  <c r="AR268" i="3"/>
  <c r="AQ268" i="3"/>
  <c r="AP268" i="3"/>
  <c r="AO268" i="3"/>
  <c r="AN268" i="3"/>
  <c r="AM268" i="3"/>
  <c r="AL268" i="3"/>
  <c r="AK268" i="3"/>
  <c r="AJ268" i="3"/>
  <c r="AI268" i="3"/>
  <c r="AE268" i="3"/>
  <c r="AD268" i="3"/>
  <c r="AC268" i="3"/>
  <c r="AT267" i="3"/>
  <c r="AS267" i="3"/>
  <c r="AR267" i="3"/>
  <c r="AQ267" i="3"/>
  <c r="AP267" i="3"/>
  <c r="AO267" i="3"/>
  <c r="AN267" i="3"/>
  <c r="AM267" i="3"/>
  <c r="AL267" i="3"/>
  <c r="AK267" i="3"/>
  <c r="AJ267" i="3"/>
  <c r="AI267" i="3"/>
  <c r="AE267" i="3"/>
  <c r="AD267" i="3"/>
  <c r="AC267" i="3"/>
  <c r="AQ266" i="3"/>
  <c r="AP266" i="3"/>
  <c r="AO266" i="3"/>
  <c r="AN266" i="3"/>
  <c r="AM266" i="3"/>
  <c r="AL266" i="3"/>
  <c r="AK266" i="3"/>
  <c r="AJ266" i="3"/>
  <c r="AI266" i="3"/>
  <c r="AH266" i="3"/>
  <c r="AG266" i="3"/>
  <c r="AF266" i="3"/>
  <c r="AE266" i="3"/>
  <c r="AD266" i="3"/>
  <c r="AC266" i="3"/>
  <c r="AQ265" i="3"/>
  <c r="AP265" i="3"/>
  <c r="AO265" i="3"/>
  <c r="AN265" i="3"/>
  <c r="AM265" i="3"/>
  <c r="AL265" i="3"/>
  <c r="AK265" i="3"/>
  <c r="AJ265" i="3"/>
  <c r="AI265" i="3"/>
  <c r="AH265" i="3"/>
  <c r="AG265" i="3"/>
  <c r="AF265" i="3"/>
  <c r="AE265" i="3"/>
  <c r="AD265" i="3"/>
  <c r="AC265" i="3"/>
  <c r="AQ264" i="3"/>
  <c r="AP264" i="3"/>
  <c r="AO264" i="3"/>
  <c r="AN264" i="3"/>
  <c r="AM264" i="3"/>
  <c r="AL264" i="3"/>
  <c r="AK264" i="3"/>
  <c r="AJ264" i="3"/>
  <c r="AI264" i="3"/>
  <c r="AH264" i="3"/>
  <c r="AG264" i="3"/>
  <c r="AF264" i="3"/>
  <c r="AE264" i="3"/>
  <c r="AD264" i="3"/>
  <c r="AC264" i="3"/>
  <c r="AQ263" i="3"/>
  <c r="AP263" i="3"/>
  <c r="AO263" i="3"/>
  <c r="AN263" i="3"/>
  <c r="AM263" i="3"/>
  <c r="AL263" i="3"/>
  <c r="AK263" i="3"/>
  <c r="AJ263" i="3"/>
  <c r="AI263" i="3"/>
  <c r="AH263" i="3"/>
  <c r="AG263" i="3"/>
  <c r="AF263" i="3"/>
  <c r="AE263" i="3"/>
  <c r="AD263" i="3"/>
  <c r="AC263" i="3"/>
  <c r="AQ262" i="3"/>
  <c r="AP262" i="3"/>
  <c r="AO262" i="3"/>
  <c r="AN262" i="3"/>
  <c r="AM262" i="3"/>
  <c r="AL262" i="3"/>
  <c r="AK262" i="3"/>
  <c r="AJ262" i="3"/>
  <c r="AI262" i="3"/>
  <c r="AH262" i="3"/>
  <c r="AG262" i="3"/>
  <c r="AF262" i="3"/>
  <c r="AE262" i="3"/>
  <c r="AD262" i="3"/>
  <c r="AC262" i="3"/>
  <c r="AQ261" i="3"/>
  <c r="AP261" i="3"/>
  <c r="AO261" i="3"/>
  <c r="AN261" i="3"/>
  <c r="AM261" i="3"/>
  <c r="AL261" i="3"/>
  <c r="AK261" i="3"/>
  <c r="AJ261" i="3"/>
  <c r="AI261" i="3"/>
  <c r="AH261" i="3"/>
  <c r="AG261" i="3"/>
  <c r="AF261" i="3"/>
  <c r="AE261" i="3"/>
  <c r="AD261" i="3"/>
  <c r="AC261" i="3"/>
  <c r="AQ260" i="3"/>
  <c r="AP260" i="3"/>
  <c r="AO260" i="3"/>
  <c r="C8" i="4" s="1"/>
  <c r="AN260" i="3"/>
  <c r="AM260" i="3"/>
  <c r="AL260" i="3"/>
  <c r="AK260" i="3"/>
  <c r="D7" i="4" s="1"/>
  <c r="AJ260" i="3"/>
  <c r="AI260" i="3"/>
  <c r="C7" i="4" s="1"/>
  <c r="AH260" i="3"/>
  <c r="D11" i="4" s="1"/>
  <c r="AG260" i="3"/>
  <c r="AF260" i="3"/>
  <c r="AE260" i="3"/>
  <c r="AD260" i="3"/>
  <c r="AC260" i="3"/>
  <c r="AQ259" i="3"/>
  <c r="AP259" i="3"/>
  <c r="AO259" i="3"/>
  <c r="AN259" i="3"/>
  <c r="AM259" i="3"/>
  <c r="AL259" i="3"/>
  <c r="AK259" i="3"/>
  <c r="AJ259" i="3"/>
  <c r="AI259" i="3"/>
  <c r="AH259" i="3"/>
  <c r="AG259" i="3"/>
  <c r="AF259" i="3"/>
  <c r="AE259" i="3"/>
  <c r="AD259" i="3"/>
  <c r="AC259" i="3"/>
  <c r="AQ258" i="3"/>
  <c r="AP258" i="3"/>
  <c r="AO258" i="3"/>
  <c r="AN258" i="3"/>
  <c r="AM258" i="3"/>
  <c r="AL258" i="3"/>
  <c r="AK258" i="3"/>
  <c r="AJ258" i="3"/>
  <c r="AI258" i="3"/>
  <c r="AH258" i="3"/>
  <c r="AG258" i="3"/>
  <c r="AF258" i="3"/>
  <c r="AE258" i="3"/>
  <c r="AD258" i="3"/>
  <c r="AC258" i="3"/>
  <c r="AQ257" i="3"/>
  <c r="AP257" i="3"/>
  <c r="AO257" i="3"/>
  <c r="AN257" i="3"/>
  <c r="AM257" i="3"/>
  <c r="AL257" i="3"/>
  <c r="AK257" i="3"/>
  <c r="AJ257" i="3"/>
  <c r="AI257" i="3"/>
  <c r="AH257" i="3"/>
  <c r="AG257" i="3"/>
  <c r="AF257" i="3"/>
  <c r="AE257" i="3"/>
  <c r="AD257" i="3"/>
  <c r="AC257" i="3"/>
  <c r="AQ256" i="3"/>
  <c r="AP256" i="3"/>
  <c r="AO256" i="3"/>
  <c r="AN256" i="3"/>
  <c r="AM256" i="3"/>
  <c r="AL256" i="3"/>
  <c r="AK256" i="3"/>
  <c r="AJ256" i="3"/>
  <c r="AI256" i="3"/>
  <c r="AH256" i="3"/>
  <c r="AG256" i="3"/>
  <c r="AF256" i="3"/>
  <c r="AE256" i="3"/>
  <c r="AD256" i="3"/>
  <c r="AC256" i="3"/>
  <c r="AQ255" i="3"/>
  <c r="AP255" i="3"/>
  <c r="AO255" i="3"/>
  <c r="AN255" i="3"/>
  <c r="AM255" i="3"/>
  <c r="AL255" i="3"/>
  <c r="AK255" i="3"/>
  <c r="AJ255" i="3"/>
  <c r="AI255" i="3"/>
  <c r="AH255" i="3"/>
  <c r="AG255" i="3"/>
  <c r="AF255" i="3"/>
  <c r="AE255" i="3"/>
  <c r="AD255" i="3"/>
  <c r="AC255" i="3"/>
  <c r="AQ254" i="3"/>
  <c r="AP254" i="3"/>
  <c r="AO254" i="3"/>
  <c r="AN254" i="3"/>
  <c r="AM254" i="3"/>
  <c r="AL254" i="3"/>
  <c r="AK254" i="3"/>
  <c r="AJ254" i="3"/>
  <c r="AI254" i="3"/>
  <c r="AH254" i="3"/>
  <c r="AG254" i="3"/>
  <c r="AF254" i="3"/>
  <c r="B254" i="3" s="1"/>
  <c r="AE254" i="3"/>
  <c r="AD254" i="3"/>
  <c r="AC254" i="3"/>
  <c r="AQ253" i="3"/>
  <c r="AP253" i="3"/>
  <c r="AO253" i="3"/>
  <c r="AN253" i="3"/>
  <c r="AM253" i="3"/>
  <c r="AL253" i="3"/>
  <c r="AK253" i="3"/>
  <c r="AJ253" i="3"/>
  <c r="AI253" i="3"/>
  <c r="AH253" i="3"/>
  <c r="D253" i="3" s="1"/>
  <c r="AG253" i="3"/>
  <c r="AF253" i="3"/>
  <c r="AE253" i="3"/>
  <c r="AD253" i="3"/>
  <c r="AC253" i="3"/>
  <c r="AQ252" i="3"/>
  <c r="AP252" i="3"/>
  <c r="AO252" i="3"/>
  <c r="AN252" i="3"/>
  <c r="AM252" i="3"/>
  <c r="AL252" i="3"/>
  <c r="AK252" i="3"/>
  <c r="AJ252" i="3"/>
  <c r="AI252" i="3"/>
  <c r="AH252" i="3"/>
  <c r="AG252" i="3"/>
  <c r="AF252" i="3"/>
  <c r="AE252" i="3"/>
  <c r="AD252" i="3"/>
  <c r="AC252" i="3"/>
  <c r="AQ251" i="3"/>
  <c r="AP251" i="3"/>
  <c r="AO251" i="3"/>
  <c r="AN251" i="3"/>
  <c r="AM251" i="3"/>
  <c r="AL251" i="3"/>
  <c r="AK251" i="3"/>
  <c r="AJ251" i="3"/>
  <c r="AI251" i="3"/>
  <c r="AH251" i="3"/>
  <c r="AG251" i="3"/>
  <c r="AF251" i="3"/>
  <c r="AE251" i="3"/>
  <c r="AD251" i="3"/>
  <c r="AC251" i="3"/>
  <c r="AQ250" i="3"/>
  <c r="AP250" i="3"/>
  <c r="AO250" i="3"/>
  <c r="AN250" i="3"/>
  <c r="AM250" i="3"/>
  <c r="AL250" i="3"/>
  <c r="AK250" i="3"/>
  <c r="AJ250" i="3"/>
  <c r="AI250" i="3"/>
  <c r="AH250" i="3"/>
  <c r="AG250" i="3"/>
  <c r="AF250" i="3"/>
  <c r="AE250" i="3"/>
  <c r="AD250" i="3"/>
  <c r="AC250" i="3"/>
  <c r="AQ249" i="3"/>
  <c r="AP249" i="3"/>
  <c r="AO249" i="3"/>
  <c r="AN249" i="3"/>
  <c r="AM249" i="3"/>
  <c r="AL249" i="3"/>
  <c r="AK249" i="3"/>
  <c r="AJ249" i="3"/>
  <c r="AI249" i="3"/>
  <c r="AH249" i="3"/>
  <c r="AG249" i="3"/>
  <c r="AF249" i="3"/>
  <c r="AE249" i="3"/>
  <c r="AD249" i="3"/>
  <c r="AC249" i="3"/>
  <c r="AQ248" i="3"/>
  <c r="AP248" i="3"/>
  <c r="AO248" i="3"/>
  <c r="AN248" i="3"/>
  <c r="AM248" i="3"/>
  <c r="AL248" i="3"/>
  <c r="AK248" i="3"/>
  <c r="AJ248" i="3"/>
  <c r="AI248" i="3"/>
  <c r="AH248" i="3"/>
  <c r="AG248" i="3"/>
  <c r="AF248" i="3"/>
  <c r="AE248" i="3"/>
  <c r="AD248" i="3"/>
  <c r="AC248" i="3"/>
  <c r="AQ247" i="3"/>
  <c r="AP247" i="3"/>
  <c r="AO247" i="3"/>
  <c r="AN247" i="3"/>
  <c r="AM247" i="3"/>
  <c r="AL247" i="3"/>
  <c r="AK247" i="3"/>
  <c r="AJ247" i="3"/>
  <c r="AI247" i="3"/>
  <c r="AH247" i="3"/>
  <c r="AG247" i="3"/>
  <c r="AF247" i="3"/>
  <c r="AE247" i="3"/>
  <c r="AD247" i="3"/>
  <c r="AC247" i="3"/>
  <c r="AQ246" i="3"/>
  <c r="AP246" i="3"/>
  <c r="AO246" i="3"/>
  <c r="AN246" i="3"/>
  <c r="AM246" i="3"/>
  <c r="AL246" i="3"/>
  <c r="AK246" i="3"/>
  <c r="AJ246" i="3"/>
  <c r="AI246" i="3"/>
  <c r="AH246" i="3"/>
  <c r="AG246" i="3"/>
  <c r="AF246" i="3"/>
  <c r="AE246" i="3"/>
  <c r="AD246" i="3"/>
  <c r="AC246" i="3"/>
  <c r="AQ245" i="3"/>
  <c r="AP245" i="3"/>
  <c r="AO245" i="3"/>
  <c r="AN245" i="3"/>
  <c r="AM245" i="3"/>
  <c r="AL245" i="3"/>
  <c r="AK245" i="3"/>
  <c r="AJ245" i="3"/>
  <c r="AI245" i="3"/>
  <c r="AH245" i="3"/>
  <c r="AG245" i="3"/>
  <c r="AF245" i="3"/>
  <c r="AE245" i="3"/>
  <c r="AD245" i="3"/>
  <c r="AC245" i="3"/>
  <c r="AQ244" i="3"/>
  <c r="AP244" i="3"/>
  <c r="AO244" i="3"/>
  <c r="AN244" i="3"/>
  <c r="AM244" i="3"/>
  <c r="AL244" i="3"/>
  <c r="AK244" i="3"/>
  <c r="AJ244" i="3"/>
  <c r="AI244" i="3"/>
  <c r="AH244" i="3"/>
  <c r="AG244" i="3"/>
  <c r="AF244" i="3"/>
  <c r="AE244" i="3"/>
  <c r="AD244" i="3"/>
  <c r="AC244" i="3"/>
  <c r="AQ243" i="3"/>
  <c r="AP243" i="3"/>
  <c r="AO243" i="3"/>
  <c r="AN243" i="3"/>
  <c r="AM243" i="3"/>
  <c r="AL243" i="3"/>
  <c r="AK243" i="3"/>
  <c r="AJ243" i="3"/>
  <c r="AI243" i="3"/>
  <c r="AH243" i="3"/>
  <c r="AG243" i="3"/>
  <c r="AF243" i="3"/>
  <c r="AE243" i="3"/>
  <c r="AD243" i="3"/>
  <c r="AC243" i="3"/>
  <c r="AQ242" i="3"/>
  <c r="AP242" i="3"/>
  <c r="AO242" i="3"/>
  <c r="AN242" i="3"/>
  <c r="AM242" i="3"/>
  <c r="AL242" i="3"/>
  <c r="AK242" i="3"/>
  <c r="AJ242" i="3"/>
  <c r="AI242" i="3"/>
  <c r="AH242" i="3"/>
  <c r="AG242" i="3"/>
  <c r="AF242" i="3"/>
  <c r="AE242" i="3"/>
  <c r="AD242" i="3"/>
  <c r="AC242" i="3"/>
  <c r="AQ241" i="3"/>
  <c r="AP241" i="3"/>
  <c r="AO241" i="3"/>
  <c r="AN241" i="3"/>
  <c r="AM241" i="3"/>
  <c r="AL241" i="3"/>
  <c r="AK241" i="3"/>
  <c r="AJ241" i="3"/>
  <c r="AI241" i="3"/>
  <c r="AH241" i="3"/>
  <c r="AG241" i="3"/>
  <c r="AF241" i="3"/>
  <c r="AE241" i="3"/>
  <c r="AD241" i="3"/>
  <c r="AC241" i="3"/>
  <c r="AQ240" i="3"/>
  <c r="AP240" i="3"/>
  <c r="AO240" i="3"/>
  <c r="AN240" i="3"/>
  <c r="AM240" i="3"/>
  <c r="AL240" i="3"/>
  <c r="AK240" i="3"/>
  <c r="AJ240" i="3"/>
  <c r="AI240" i="3"/>
  <c r="AH240" i="3"/>
  <c r="AG240" i="3"/>
  <c r="AF240" i="3"/>
  <c r="AE240" i="3"/>
  <c r="AD240" i="3"/>
  <c r="AC240" i="3"/>
  <c r="AQ239" i="3"/>
  <c r="AP239" i="3"/>
  <c r="AO239" i="3"/>
  <c r="AN239" i="3"/>
  <c r="AM239" i="3"/>
  <c r="AL239" i="3"/>
  <c r="AK239" i="3"/>
  <c r="AJ239" i="3"/>
  <c r="AI239" i="3"/>
  <c r="AH239" i="3"/>
  <c r="AG239" i="3"/>
  <c r="AF239" i="3"/>
  <c r="AE239" i="3"/>
  <c r="AD239" i="3"/>
  <c r="AC239" i="3"/>
  <c r="AQ238" i="3"/>
  <c r="AP238" i="3"/>
  <c r="AO238" i="3"/>
  <c r="AN238" i="3"/>
  <c r="AM238" i="3"/>
  <c r="AL238" i="3"/>
  <c r="AK238" i="3"/>
  <c r="AJ238" i="3"/>
  <c r="AI238" i="3"/>
  <c r="AH238" i="3"/>
  <c r="AG238" i="3"/>
  <c r="AF238" i="3"/>
  <c r="AE238" i="3"/>
  <c r="AD238" i="3"/>
  <c r="AC238" i="3"/>
  <c r="AQ237" i="3"/>
  <c r="AP237" i="3"/>
  <c r="AO237" i="3"/>
  <c r="AN237" i="3"/>
  <c r="AM237" i="3"/>
  <c r="AL237" i="3"/>
  <c r="AK237" i="3"/>
  <c r="AJ237" i="3"/>
  <c r="AI237" i="3"/>
  <c r="AH237" i="3"/>
  <c r="AG237" i="3"/>
  <c r="AF237" i="3"/>
  <c r="AE237" i="3"/>
  <c r="AD237" i="3"/>
  <c r="AC237" i="3"/>
  <c r="AQ236" i="3"/>
  <c r="AP236" i="3"/>
  <c r="AO236" i="3"/>
  <c r="AN236" i="3"/>
  <c r="AM236" i="3"/>
  <c r="AL236" i="3"/>
  <c r="AK236" i="3"/>
  <c r="AJ236" i="3"/>
  <c r="AI236" i="3"/>
  <c r="AH236" i="3"/>
  <c r="AG236" i="3"/>
  <c r="AF236" i="3"/>
  <c r="AE236" i="3"/>
  <c r="AD236" i="3"/>
  <c r="AC236" i="3"/>
  <c r="AQ235" i="3"/>
  <c r="AP235" i="3"/>
  <c r="AO235" i="3"/>
  <c r="AN235" i="3"/>
  <c r="AM235" i="3"/>
  <c r="AL235" i="3"/>
  <c r="AK235" i="3"/>
  <c r="AJ235" i="3"/>
  <c r="AI235" i="3"/>
  <c r="AH235" i="3"/>
  <c r="AG235" i="3"/>
  <c r="AF235" i="3"/>
  <c r="AE235" i="3"/>
  <c r="AD235" i="3"/>
  <c r="AC235" i="3"/>
  <c r="AQ234" i="3"/>
  <c r="AP234" i="3"/>
  <c r="AO234" i="3"/>
  <c r="AN234" i="3"/>
  <c r="AM234" i="3"/>
  <c r="AL234" i="3"/>
  <c r="AK234" i="3"/>
  <c r="AJ234" i="3"/>
  <c r="AI234" i="3"/>
  <c r="AH234" i="3"/>
  <c r="AG234" i="3"/>
  <c r="AF234" i="3"/>
  <c r="AE234" i="3"/>
  <c r="AD234" i="3"/>
  <c r="AC234" i="3"/>
  <c r="AQ233" i="3"/>
  <c r="AP233" i="3"/>
  <c r="AO233" i="3"/>
  <c r="AN233" i="3"/>
  <c r="AM233" i="3"/>
  <c r="AL233" i="3"/>
  <c r="AK233" i="3"/>
  <c r="AJ233" i="3"/>
  <c r="AI233" i="3"/>
  <c r="AH233" i="3"/>
  <c r="AG233" i="3"/>
  <c r="AF233" i="3"/>
  <c r="AE233" i="3"/>
  <c r="AD233" i="3"/>
  <c r="AC233" i="3"/>
  <c r="AQ232" i="3"/>
  <c r="AP232" i="3"/>
  <c r="AO232" i="3"/>
  <c r="AN232" i="3"/>
  <c r="AM232" i="3"/>
  <c r="AL232" i="3"/>
  <c r="AK232" i="3"/>
  <c r="AJ232" i="3"/>
  <c r="AI232" i="3"/>
  <c r="AH232" i="3"/>
  <c r="AG232" i="3"/>
  <c r="AF232" i="3"/>
  <c r="AE232" i="3"/>
  <c r="AD232" i="3"/>
  <c r="AC232" i="3"/>
  <c r="AQ231" i="3"/>
  <c r="AP231" i="3"/>
  <c r="AO231" i="3"/>
  <c r="AN231" i="3"/>
  <c r="AM231" i="3"/>
  <c r="AL231" i="3"/>
  <c r="AK231" i="3"/>
  <c r="AJ231" i="3"/>
  <c r="AI231" i="3"/>
  <c r="AH231" i="3"/>
  <c r="AG231" i="3"/>
  <c r="AF231" i="3"/>
  <c r="AE231" i="3"/>
  <c r="AD231" i="3"/>
  <c r="AC231" i="3"/>
  <c r="AQ230" i="3"/>
  <c r="AP230" i="3"/>
  <c r="AO230" i="3"/>
  <c r="AN230" i="3"/>
  <c r="AM230" i="3"/>
  <c r="AL230" i="3"/>
  <c r="AK230" i="3"/>
  <c r="AJ230" i="3"/>
  <c r="AI230" i="3"/>
  <c r="AH230" i="3"/>
  <c r="D230" i="3" s="1"/>
  <c r="AG230" i="3"/>
  <c r="AF230" i="3"/>
  <c r="AE230" i="3"/>
  <c r="AD230" i="3"/>
  <c r="AC230" i="3"/>
  <c r="AQ229" i="3"/>
  <c r="AP229" i="3"/>
  <c r="AO229" i="3"/>
  <c r="AN229" i="3"/>
  <c r="AM229" i="3"/>
  <c r="AL229" i="3"/>
  <c r="AK229" i="3"/>
  <c r="AJ229" i="3"/>
  <c r="AI229" i="3"/>
  <c r="AH229" i="3"/>
  <c r="AG229" i="3"/>
  <c r="AF229" i="3"/>
  <c r="AE229" i="3"/>
  <c r="D229" i="3" s="1"/>
  <c r="AD229" i="3"/>
  <c r="AC229" i="3"/>
  <c r="AQ228" i="3"/>
  <c r="AP228" i="3"/>
  <c r="AO228" i="3"/>
  <c r="AN228" i="3"/>
  <c r="AM228" i="3"/>
  <c r="AL228" i="3"/>
  <c r="AK228" i="3"/>
  <c r="AJ228" i="3"/>
  <c r="AI228" i="3"/>
  <c r="AH228" i="3"/>
  <c r="AG228" i="3"/>
  <c r="AF228" i="3"/>
  <c r="AE228" i="3"/>
  <c r="AD228" i="3"/>
  <c r="AC228" i="3"/>
  <c r="AQ227" i="3"/>
  <c r="AP227" i="3"/>
  <c r="AO227" i="3"/>
  <c r="AN227" i="3"/>
  <c r="AM227" i="3"/>
  <c r="AL227" i="3"/>
  <c r="AK227" i="3"/>
  <c r="AJ227" i="3"/>
  <c r="AI227" i="3"/>
  <c r="AH227" i="3"/>
  <c r="AG227" i="3"/>
  <c r="AF227" i="3"/>
  <c r="B227" i="3" s="1"/>
  <c r="AE227" i="3"/>
  <c r="AD227" i="3"/>
  <c r="AC227" i="3"/>
  <c r="AQ226" i="3"/>
  <c r="AP226" i="3"/>
  <c r="AO226" i="3"/>
  <c r="AN226" i="3"/>
  <c r="AM226" i="3"/>
  <c r="AL226" i="3"/>
  <c r="AK226" i="3"/>
  <c r="AJ226" i="3"/>
  <c r="AI226" i="3"/>
  <c r="AH226" i="3"/>
  <c r="AG226" i="3"/>
  <c r="AF226" i="3"/>
  <c r="AE226" i="3"/>
  <c r="AD226" i="3"/>
  <c r="AC226" i="3"/>
  <c r="AQ225" i="3"/>
  <c r="AP225" i="3"/>
  <c r="AO225" i="3"/>
  <c r="AN225" i="3"/>
  <c r="AM225" i="3"/>
  <c r="AL225" i="3"/>
  <c r="AK225" i="3"/>
  <c r="AJ225" i="3"/>
  <c r="AI225" i="3"/>
  <c r="AH225" i="3"/>
  <c r="AG225" i="3"/>
  <c r="AF225" i="3"/>
  <c r="AE225" i="3"/>
  <c r="AD225" i="3"/>
  <c r="AC225" i="3"/>
  <c r="AQ224" i="3"/>
  <c r="AP224" i="3"/>
  <c r="AO224" i="3"/>
  <c r="AN224" i="3"/>
  <c r="AM224" i="3"/>
  <c r="AL224" i="3"/>
  <c r="AK224" i="3"/>
  <c r="AJ224" i="3"/>
  <c r="AI224" i="3"/>
  <c r="AH224" i="3"/>
  <c r="AG224" i="3"/>
  <c r="AF224" i="3"/>
  <c r="AE224" i="3"/>
  <c r="AD224" i="3"/>
  <c r="AC224" i="3"/>
  <c r="AQ223" i="3"/>
  <c r="AP223" i="3"/>
  <c r="AO223" i="3"/>
  <c r="AN223" i="3"/>
  <c r="AM223" i="3"/>
  <c r="AL223" i="3"/>
  <c r="AK223" i="3"/>
  <c r="AJ223" i="3"/>
  <c r="AI223" i="3"/>
  <c r="AH223" i="3"/>
  <c r="AG223" i="3"/>
  <c r="AF223" i="3"/>
  <c r="AE223" i="3"/>
  <c r="AD223" i="3"/>
  <c r="AC223" i="3"/>
  <c r="C223" i="3"/>
  <c r="AQ222" i="3"/>
  <c r="AP222" i="3"/>
  <c r="AO222" i="3"/>
  <c r="AN222" i="3"/>
  <c r="AM222" i="3"/>
  <c r="AL222" i="3"/>
  <c r="AK222" i="3"/>
  <c r="AJ222" i="3"/>
  <c r="AI222" i="3"/>
  <c r="AH222" i="3"/>
  <c r="AG222" i="3"/>
  <c r="AF222" i="3"/>
  <c r="AE222" i="3"/>
  <c r="AD222" i="3"/>
  <c r="AC222" i="3"/>
  <c r="AQ221" i="3"/>
  <c r="AP221" i="3"/>
  <c r="AO221" i="3"/>
  <c r="AN221" i="3"/>
  <c r="AM221" i="3"/>
  <c r="AL221" i="3"/>
  <c r="AK221" i="3"/>
  <c r="AJ221" i="3"/>
  <c r="AI221" i="3"/>
  <c r="AH221" i="3"/>
  <c r="AG221" i="3"/>
  <c r="AF221" i="3"/>
  <c r="AE221" i="3"/>
  <c r="AD221" i="3"/>
  <c r="AC221" i="3"/>
  <c r="AQ220" i="3"/>
  <c r="AP220" i="3"/>
  <c r="AO220" i="3"/>
  <c r="AN220" i="3"/>
  <c r="AM220" i="3"/>
  <c r="AL220" i="3"/>
  <c r="AK220" i="3"/>
  <c r="AJ220" i="3"/>
  <c r="AI220" i="3"/>
  <c r="AH220" i="3"/>
  <c r="AG220" i="3"/>
  <c r="AF220" i="3"/>
  <c r="AE220" i="3"/>
  <c r="AD220" i="3"/>
  <c r="AC220" i="3"/>
  <c r="AQ219" i="3"/>
  <c r="AP219" i="3"/>
  <c r="AO219" i="3"/>
  <c r="AN219" i="3"/>
  <c r="AM219" i="3"/>
  <c r="AL219" i="3"/>
  <c r="AK219" i="3"/>
  <c r="AJ219" i="3"/>
  <c r="AI219" i="3"/>
  <c r="AH219" i="3"/>
  <c r="AG219" i="3"/>
  <c r="AF219" i="3"/>
  <c r="AE219" i="3"/>
  <c r="AD219" i="3"/>
  <c r="AC219" i="3"/>
  <c r="AN218" i="3"/>
  <c r="AM218" i="3"/>
  <c r="AL218" i="3"/>
  <c r="AK218" i="3"/>
  <c r="AJ218" i="3"/>
  <c r="AI218" i="3"/>
  <c r="AH218" i="3"/>
  <c r="AG218" i="3"/>
  <c r="AF218" i="3"/>
  <c r="AE218" i="3"/>
  <c r="AD218" i="3"/>
  <c r="AC218" i="3"/>
  <c r="V218" i="3"/>
  <c r="U218" i="3"/>
  <c r="T218" i="3"/>
  <c r="AN217" i="3"/>
  <c r="AM217" i="3"/>
  <c r="AL217" i="3"/>
  <c r="AK217" i="3"/>
  <c r="AJ217" i="3"/>
  <c r="AI217" i="3"/>
  <c r="AH217" i="3"/>
  <c r="AG217" i="3"/>
  <c r="AF217" i="3"/>
  <c r="AE217" i="3"/>
  <c r="AD217" i="3"/>
  <c r="AC217" i="3"/>
  <c r="V217" i="3"/>
  <c r="U217" i="3"/>
  <c r="T217" i="3"/>
  <c r="AN216" i="3"/>
  <c r="AM216" i="3"/>
  <c r="AL216" i="3"/>
  <c r="AK216" i="3"/>
  <c r="AJ216" i="3"/>
  <c r="AI216" i="3"/>
  <c r="AH216" i="3"/>
  <c r="AG216" i="3"/>
  <c r="AF216" i="3"/>
  <c r="AE216" i="3"/>
  <c r="AD216" i="3"/>
  <c r="AC216" i="3"/>
  <c r="V216" i="3"/>
  <c r="U216" i="3"/>
  <c r="T216" i="3"/>
  <c r="AN215" i="3"/>
  <c r="AM215" i="3"/>
  <c r="AL215" i="3"/>
  <c r="AK215" i="3"/>
  <c r="AJ215" i="3"/>
  <c r="AI215" i="3"/>
  <c r="AH215" i="3"/>
  <c r="AG215" i="3"/>
  <c r="AF215" i="3"/>
  <c r="AE215" i="3"/>
  <c r="AD215" i="3"/>
  <c r="AC215" i="3"/>
  <c r="V215" i="3"/>
  <c r="U215" i="3"/>
  <c r="T215" i="3"/>
  <c r="B215" i="3" s="1"/>
  <c r="AN214" i="3"/>
  <c r="AM214" i="3"/>
  <c r="AL214" i="3"/>
  <c r="AK214" i="3"/>
  <c r="AJ214" i="3"/>
  <c r="AI214" i="3"/>
  <c r="AH214" i="3"/>
  <c r="AG214" i="3"/>
  <c r="AF214" i="3"/>
  <c r="AE214" i="3"/>
  <c r="AD214" i="3"/>
  <c r="AC214" i="3"/>
  <c r="V214" i="3"/>
  <c r="U214" i="3"/>
  <c r="T214" i="3"/>
  <c r="AN213" i="3"/>
  <c r="AM213" i="3"/>
  <c r="AL213" i="3"/>
  <c r="AK213" i="3"/>
  <c r="AJ213" i="3"/>
  <c r="AI213" i="3"/>
  <c r="AH213" i="3"/>
  <c r="AG213" i="3"/>
  <c r="AF213" i="3"/>
  <c r="AE213" i="3"/>
  <c r="AD213" i="3"/>
  <c r="AC213" i="3"/>
  <c r="V213" i="3"/>
  <c r="U213" i="3"/>
  <c r="T213" i="3"/>
  <c r="AN212" i="3"/>
  <c r="AM212" i="3"/>
  <c r="AL212" i="3"/>
  <c r="AK212" i="3"/>
  <c r="AJ212" i="3"/>
  <c r="AI212" i="3"/>
  <c r="AH212" i="3"/>
  <c r="AG212" i="3"/>
  <c r="AF212" i="3"/>
  <c r="AE212" i="3"/>
  <c r="AD212" i="3"/>
  <c r="AC212" i="3"/>
  <c r="V212" i="3"/>
  <c r="U212" i="3"/>
  <c r="T212" i="3"/>
  <c r="AN211" i="3"/>
  <c r="AM211" i="3"/>
  <c r="AL211" i="3"/>
  <c r="AK211" i="3"/>
  <c r="AJ211" i="3"/>
  <c r="AI211" i="3"/>
  <c r="AH211" i="3"/>
  <c r="AG211" i="3"/>
  <c r="AF211" i="3"/>
  <c r="AE211" i="3"/>
  <c r="AD211" i="3"/>
  <c r="AC211" i="3"/>
  <c r="V211" i="3"/>
  <c r="U211" i="3"/>
  <c r="T211" i="3"/>
  <c r="AN210" i="3"/>
  <c r="AM210" i="3"/>
  <c r="AL210" i="3"/>
  <c r="AK210" i="3"/>
  <c r="AJ210" i="3"/>
  <c r="AI210" i="3"/>
  <c r="AH210" i="3"/>
  <c r="AG210" i="3"/>
  <c r="AF210" i="3"/>
  <c r="AE210" i="3"/>
  <c r="AD210" i="3"/>
  <c r="AC210" i="3"/>
  <c r="V210" i="3"/>
  <c r="U210" i="3"/>
  <c r="T210" i="3"/>
  <c r="AN209" i="3"/>
  <c r="AM209" i="3"/>
  <c r="AL209" i="3"/>
  <c r="AK209" i="3"/>
  <c r="AJ209" i="3"/>
  <c r="AI209" i="3"/>
  <c r="AH209" i="3"/>
  <c r="AG209" i="3"/>
  <c r="AF209" i="3"/>
  <c r="AE209" i="3"/>
  <c r="AD209" i="3"/>
  <c r="AC209" i="3"/>
  <c r="V209" i="3"/>
  <c r="U209" i="3"/>
  <c r="T209" i="3"/>
  <c r="AN208" i="3"/>
  <c r="AM208" i="3"/>
  <c r="AL208" i="3"/>
  <c r="AK208" i="3"/>
  <c r="AJ208" i="3"/>
  <c r="AI208" i="3"/>
  <c r="AH208" i="3"/>
  <c r="AG208" i="3"/>
  <c r="AF208" i="3"/>
  <c r="AE208" i="3"/>
  <c r="AD208" i="3"/>
  <c r="AC208" i="3"/>
  <c r="V208" i="3"/>
  <c r="U208" i="3"/>
  <c r="T208" i="3"/>
  <c r="AN207" i="3"/>
  <c r="AM207" i="3"/>
  <c r="AL207" i="3"/>
  <c r="AK207" i="3"/>
  <c r="AJ207" i="3"/>
  <c r="AI207" i="3"/>
  <c r="AH207" i="3"/>
  <c r="AG207" i="3"/>
  <c r="AF207" i="3"/>
  <c r="AE207" i="3"/>
  <c r="AD207" i="3"/>
  <c r="AC207" i="3"/>
  <c r="V207" i="3"/>
  <c r="U207" i="3"/>
  <c r="T207" i="3"/>
  <c r="AN206" i="3"/>
  <c r="AM206" i="3"/>
  <c r="AL206" i="3"/>
  <c r="AK206" i="3"/>
  <c r="AJ206" i="3"/>
  <c r="AI206" i="3"/>
  <c r="AH206" i="3"/>
  <c r="AG206" i="3"/>
  <c r="AF206" i="3"/>
  <c r="AE206" i="3"/>
  <c r="AD206" i="3"/>
  <c r="AC206" i="3"/>
  <c r="V206" i="3"/>
  <c r="U206" i="3"/>
  <c r="T206" i="3"/>
  <c r="AN205" i="3"/>
  <c r="AM205" i="3"/>
  <c r="AL205" i="3"/>
  <c r="AK205" i="3"/>
  <c r="AJ205" i="3"/>
  <c r="AI205" i="3"/>
  <c r="AH205" i="3"/>
  <c r="AG205" i="3"/>
  <c r="AF205" i="3"/>
  <c r="AE205" i="3"/>
  <c r="AD205" i="3"/>
  <c r="AC205" i="3"/>
  <c r="V205" i="3"/>
  <c r="U205" i="3"/>
  <c r="T205" i="3"/>
  <c r="B205" i="3" s="1"/>
  <c r="AN204" i="3"/>
  <c r="AM204" i="3"/>
  <c r="AL204" i="3"/>
  <c r="AK204" i="3"/>
  <c r="AJ204" i="3"/>
  <c r="AI204" i="3"/>
  <c r="AH204" i="3"/>
  <c r="AG204" i="3"/>
  <c r="AF204" i="3"/>
  <c r="AE204" i="3"/>
  <c r="AD204" i="3"/>
  <c r="AC204" i="3"/>
  <c r="V204" i="3"/>
  <c r="U204" i="3"/>
  <c r="T204" i="3"/>
  <c r="AN203" i="3"/>
  <c r="AM203" i="3"/>
  <c r="AL203" i="3"/>
  <c r="AK203" i="3"/>
  <c r="AJ203" i="3"/>
  <c r="AI203" i="3"/>
  <c r="AH203" i="3"/>
  <c r="AG203" i="3"/>
  <c r="AF203" i="3"/>
  <c r="AE203" i="3"/>
  <c r="AD203" i="3"/>
  <c r="AC203" i="3"/>
  <c r="V203" i="3"/>
  <c r="U203" i="3"/>
  <c r="T203" i="3"/>
  <c r="AN202" i="3"/>
  <c r="AM202" i="3"/>
  <c r="AL202" i="3"/>
  <c r="AK202" i="3"/>
  <c r="AJ202" i="3"/>
  <c r="AI202" i="3"/>
  <c r="AH202" i="3"/>
  <c r="AG202" i="3"/>
  <c r="AF202" i="3"/>
  <c r="AE202" i="3"/>
  <c r="AD202" i="3"/>
  <c r="AC202" i="3"/>
  <c r="V202" i="3"/>
  <c r="U202" i="3"/>
  <c r="T202" i="3"/>
  <c r="AN201" i="3"/>
  <c r="AM201" i="3"/>
  <c r="AL201" i="3"/>
  <c r="AK201" i="3"/>
  <c r="AJ201" i="3"/>
  <c r="AI201" i="3"/>
  <c r="AH201" i="3"/>
  <c r="AG201" i="3"/>
  <c r="AF201" i="3"/>
  <c r="AE201" i="3"/>
  <c r="AD201" i="3"/>
  <c r="AC201" i="3"/>
  <c r="V201" i="3"/>
  <c r="U201" i="3"/>
  <c r="T201" i="3"/>
  <c r="AN200" i="3"/>
  <c r="AM200" i="3"/>
  <c r="AL200" i="3"/>
  <c r="AK200" i="3"/>
  <c r="AJ200" i="3"/>
  <c r="AI200" i="3"/>
  <c r="AH200" i="3"/>
  <c r="AG200" i="3"/>
  <c r="AF200" i="3"/>
  <c r="AE200" i="3"/>
  <c r="AD200" i="3"/>
  <c r="AC200" i="3"/>
  <c r="V200" i="3"/>
  <c r="U200" i="3"/>
  <c r="T200" i="3"/>
  <c r="AN199" i="3"/>
  <c r="AM199" i="3"/>
  <c r="AL199" i="3"/>
  <c r="AK199" i="3"/>
  <c r="AJ199" i="3"/>
  <c r="AI199" i="3"/>
  <c r="AH199" i="3"/>
  <c r="AG199" i="3"/>
  <c r="AF199" i="3"/>
  <c r="AE199" i="3"/>
  <c r="AD199" i="3"/>
  <c r="AC199" i="3"/>
  <c r="V199" i="3"/>
  <c r="U199" i="3"/>
  <c r="T199" i="3"/>
  <c r="AN198" i="3"/>
  <c r="AM198" i="3"/>
  <c r="AL198" i="3"/>
  <c r="AK198" i="3"/>
  <c r="AJ198" i="3"/>
  <c r="AI198" i="3"/>
  <c r="AH198" i="3"/>
  <c r="AG198" i="3"/>
  <c r="AF198" i="3"/>
  <c r="AE198" i="3"/>
  <c r="AD198" i="3"/>
  <c r="AC198" i="3"/>
  <c r="V198" i="3"/>
  <c r="U198" i="3"/>
  <c r="T198" i="3"/>
  <c r="AN197" i="3"/>
  <c r="AM197" i="3"/>
  <c r="AL197" i="3"/>
  <c r="AK197" i="3"/>
  <c r="AJ197" i="3"/>
  <c r="AI197" i="3"/>
  <c r="AH197" i="3"/>
  <c r="AG197" i="3"/>
  <c r="AF197" i="3"/>
  <c r="AE197" i="3"/>
  <c r="AD197" i="3"/>
  <c r="AC197" i="3"/>
  <c r="V197" i="3"/>
  <c r="U197" i="3"/>
  <c r="T197" i="3"/>
  <c r="B197" i="3" s="1"/>
  <c r="AN196" i="3"/>
  <c r="AM196" i="3"/>
  <c r="AL196" i="3"/>
  <c r="AK196" i="3"/>
  <c r="AJ196" i="3"/>
  <c r="AI196" i="3"/>
  <c r="AH196" i="3"/>
  <c r="AG196" i="3"/>
  <c r="AF196" i="3"/>
  <c r="AE196" i="3"/>
  <c r="AD196" i="3"/>
  <c r="AC196" i="3"/>
  <c r="V196" i="3"/>
  <c r="U196" i="3"/>
  <c r="T196" i="3"/>
  <c r="AN195" i="3"/>
  <c r="AM195" i="3"/>
  <c r="AL195" i="3"/>
  <c r="AK195" i="3"/>
  <c r="AJ195" i="3"/>
  <c r="AI195" i="3"/>
  <c r="AH195" i="3"/>
  <c r="AG195" i="3"/>
  <c r="AF195" i="3"/>
  <c r="AE195" i="3"/>
  <c r="AD195" i="3"/>
  <c r="AC195" i="3"/>
  <c r="V195" i="3"/>
  <c r="U195" i="3"/>
  <c r="T195" i="3"/>
  <c r="AK194" i="3"/>
  <c r="AJ194" i="3"/>
  <c r="AI194" i="3"/>
  <c r="AH194" i="3"/>
  <c r="AG194" i="3"/>
  <c r="AF194" i="3"/>
  <c r="AE194" i="3"/>
  <c r="AD194" i="3"/>
  <c r="AC194" i="3"/>
  <c r="V194" i="3"/>
  <c r="U194" i="3"/>
  <c r="T194" i="3"/>
  <c r="P194" i="3"/>
  <c r="O194" i="3"/>
  <c r="N194" i="3"/>
  <c r="AK193" i="3"/>
  <c r="AJ193" i="3"/>
  <c r="AI193" i="3"/>
  <c r="AH193" i="3"/>
  <c r="AG193" i="3"/>
  <c r="AF193" i="3"/>
  <c r="AE193" i="3"/>
  <c r="AD193" i="3"/>
  <c r="AC193" i="3"/>
  <c r="V193" i="3"/>
  <c r="U193" i="3"/>
  <c r="T193" i="3"/>
  <c r="P193" i="3"/>
  <c r="O193" i="3"/>
  <c r="N193" i="3"/>
  <c r="AK192" i="3"/>
  <c r="AJ192" i="3"/>
  <c r="AI192" i="3"/>
  <c r="AH192" i="3"/>
  <c r="AG192" i="3"/>
  <c r="AF192" i="3"/>
  <c r="AE192" i="3"/>
  <c r="AD192" i="3"/>
  <c r="AC192" i="3"/>
  <c r="V192" i="3"/>
  <c r="U192" i="3"/>
  <c r="T192" i="3"/>
  <c r="P192" i="3"/>
  <c r="O192" i="3"/>
  <c r="N192" i="3"/>
  <c r="AK191" i="3"/>
  <c r="AJ191" i="3"/>
  <c r="AI191" i="3"/>
  <c r="AH191" i="3"/>
  <c r="AG191" i="3"/>
  <c r="AF191" i="3"/>
  <c r="AE191" i="3"/>
  <c r="AD191" i="3"/>
  <c r="AC191" i="3"/>
  <c r="V191" i="3"/>
  <c r="U191" i="3"/>
  <c r="T191" i="3"/>
  <c r="P191" i="3"/>
  <c r="O191" i="3"/>
  <c r="N191" i="3"/>
  <c r="AK190" i="3"/>
  <c r="AJ190" i="3"/>
  <c r="AI190" i="3"/>
  <c r="AH190" i="3"/>
  <c r="AG190" i="3"/>
  <c r="AF190" i="3"/>
  <c r="AE190" i="3"/>
  <c r="AD190" i="3"/>
  <c r="AC190" i="3"/>
  <c r="V190" i="3"/>
  <c r="U190" i="3"/>
  <c r="T190" i="3"/>
  <c r="P190" i="3"/>
  <c r="O190" i="3"/>
  <c r="N190" i="3"/>
  <c r="AK189" i="3"/>
  <c r="AJ189" i="3"/>
  <c r="AI189" i="3"/>
  <c r="AH189" i="3"/>
  <c r="AG189" i="3"/>
  <c r="AF189" i="3"/>
  <c r="AE189" i="3"/>
  <c r="AD189" i="3"/>
  <c r="AC189" i="3"/>
  <c r="V189" i="3"/>
  <c r="U189" i="3"/>
  <c r="T189" i="3"/>
  <c r="P189" i="3"/>
  <c r="O189" i="3"/>
  <c r="N189" i="3"/>
  <c r="AK188" i="3"/>
  <c r="AJ188" i="3"/>
  <c r="AI188" i="3"/>
  <c r="AH188" i="3"/>
  <c r="AG188" i="3"/>
  <c r="AF188" i="3"/>
  <c r="AE188" i="3"/>
  <c r="AD188" i="3"/>
  <c r="AC188" i="3"/>
  <c r="V188" i="3"/>
  <c r="U188" i="3"/>
  <c r="T188" i="3"/>
  <c r="P188" i="3"/>
  <c r="O188" i="3"/>
  <c r="N188" i="3"/>
  <c r="AK187" i="3"/>
  <c r="AJ187" i="3"/>
  <c r="AI187" i="3"/>
  <c r="AH187" i="3"/>
  <c r="AG187" i="3"/>
  <c r="AF187" i="3"/>
  <c r="AE187" i="3"/>
  <c r="AD187" i="3"/>
  <c r="AC187" i="3"/>
  <c r="V187" i="3"/>
  <c r="U187" i="3"/>
  <c r="T187" i="3"/>
  <c r="P187" i="3"/>
  <c r="O187" i="3"/>
  <c r="N187" i="3"/>
  <c r="AK186" i="3"/>
  <c r="AJ186" i="3"/>
  <c r="AI186" i="3"/>
  <c r="AH186" i="3"/>
  <c r="AG186" i="3"/>
  <c r="AF186" i="3"/>
  <c r="AE186" i="3"/>
  <c r="AD186" i="3"/>
  <c r="AC186" i="3"/>
  <c r="V186" i="3"/>
  <c r="U186" i="3"/>
  <c r="T186" i="3"/>
  <c r="P186" i="3"/>
  <c r="O186" i="3"/>
  <c r="N186" i="3"/>
  <c r="AK185" i="3"/>
  <c r="AJ185" i="3"/>
  <c r="AI185" i="3"/>
  <c r="AH185" i="3"/>
  <c r="AG185" i="3"/>
  <c r="AF185" i="3"/>
  <c r="AE185" i="3"/>
  <c r="AD185" i="3"/>
  <c r="AC185" i="3"/>
  <c r="V185" i="3"/>
  <c r="U185" i="3"/>
  <c r="T185" i="3"/>
  <c r="P185" i="3"/>
  <c r="O185" i="3"/>
  <c r="N185" i="3"/>
  <c r="AK184" i="3"/>
  <c r="AJ184" i="3"/>
  <c r="AI184" i="3"/>
  <c r="AH184" i="3"/>
  <c r="AG184" i="3"/>
  <c r="AF184" i="3"/>
  <c r="AE184" i="3"/>
  <c r="AD184" i="3"/>
  <c r="AC184" i="3"/>
  <c r="V184" i="3"/>
  <c r="U184" i="3"/>
  <c r="T184" i="3"/>
  <c r="P184" i="3"/>
  <c r="O184" i="3"/>
  <c r="N184" i="3"/>
  <c r="AK183" i="3"/>
  <c r="AJ183" i="3"/>
  <c r="AI183" i="3"/>
  <c r="AH183" i="3"/>
  <c r="AG183" i="3"/>
  <c r="AF183" i="3"/>
  <c r="AE183" i="3"/>
  <c r="AD183" i="3"/>
  <c r="AC183" i="3"/>
  <c r="V183" i="3"/>
  <c r="U183" i="3"/>
  <c r="T183" i="3"/>
  <c r="P183" i="3"/>
  <c r="O183" i="3"/>
  <c r="N183" i="3"/>
  <c r="AH182" i="3"/>
  <c r="AG182" i="3"/>
  <c r="AF182" i="3"/>
  <c r="AE182" i="3"/>
  <c r="AD182" i="3"/>
  <c r="AC182" i="3"/>
  <c r="AB182" i="3"/>
  <c r="AA182" i="3"/>
  <c r="Z182" i="3"/>
  <c r="V182" i="3"/>
  <c r="U182" i="3"/>
  <c r="T182" i="3"/>
  <c r="P182" i="3"/>
  <c r="O182" i="3"/>
  <c r="N182" i="3"/>
  <c r="AH181" i="3"/>
  <c r="AG181" i="3"/>
  <c r="AF181" i="3"/>
  <c r="AE181" i="3"/>
  <c r="AD181" i="3"/>
  <c r="AC181" i="3"/>
  <c r="AB181" i="3"/>
  <c r="AA181" i="3"/>
  <c r="Z181" i="3"/>
  <c r="V181" i="3"/>
  <c r="U181" i="3"/>
  <c r="T181" i="3"/>
  <c r="P181" i="3"/>
  <c r="O181" i="3"/>
  <c r="N181" i="3"/>
  <c r="AH180" i="3"/>
  <c r="AG180" i="3"/>
  <c r="AF180" i="3"/>
  <c r="AE180" i="3"/>
  <c r="AD180" i="3"/>
  <c r="AC180" i="3"/>
  <c r="AB180" i="3"/>
  <c r="AA180" i="3"/>
  <c r="Z180" i="3"/>
  <c r="V180" i="3"/>
  <c r="U180" i="3"/>
  <c r="T180" i="3"/>
  <c r="P180" i="3"/>
  <c r="O180" i="3"/>
  <c r="N180" i="3"/>
  <c r="AH179" i="3"/>
  <c r="AG179" i="3"/>
  <c r="AF179" i="3"/>
  <c r="AE179" i="3"/>
  <c r="AD179" i="3"/>
  <c r="AC179" i="3"/>
  <c r="AB179" i="3"/>
  <c r="AA179" i="3"/>
  <c r="Z179" i="3"/>
  <c r="V179" i="3"/>
  <c r="U179" i="3"/>
  <c r="T179" i="3"/>
  <c r="P179" i="3"/>
  <c r="O179" i="3"/>
  <c r="N179" i="3"/>
  <c r="AH178" i="3"/>
  <c r="AG178" i="3"/>
  <c r="AF178" i="3"/>
  <c r="AE178" i="3"/>
  <c r="AD178" i="3"/>
  <c r="AC178" i="3"/>
  <c r="AB178" i="3"/>
  <c r="AA178" i="3"/>
  <c r="Z178" i="3"/>
  <c r="V178" i="3"/>
  <c r="D178" i="3" s="1"/>
  <c r="U178" i="3"/>
  <c r="T178" i="3"/>
  <c r="P178" i="3"/>
  <c r="O178" i="3"/>
  <c r="N178" i="3"/>
  <c r="AH177" i="3"/>
  <c r="AG177" i="3"/>
  <c r="AF177" i="3"/>
  <c r="AE177" i="3"/>
  <c r="AD177" i="3"/>
  <c r="AC177" i="3"/>
  <c r="AB177" i="3"/>
  <c r="AA177" i="3"/>
  <c r="Z177" i="3"/>
  <c r="V177" i="3"/>
  <c r="U177" i="3"/>
  <c r="T177" i="3"/>
  <c r="P177" i="3"/>
  <c r="O177" i="3"/>
  <c r="N177" i="3"/>
  <c r="AH176" i="3"/>
  <c r="AG176" i="3"/>
  <c r="AF176" i="3"/>
  <c r="AE176" i="3"/>
  <c r="AD176" i="3"/>
  <c r="AC176" i="3"/>
  <c r="AB176" i="3"/>
  <c r="AA176" i="3"/>
  <c r="Z176" i="3"/>
  <c r="V176" i="3"/>
  <c r="U176" i="3"/>
  <c r="T176" i="3"/>
  <c r="P176" i="3"/>
  <c r="O176" i="3"/>
  <c r="N176" i="3"/>
  <c r="AH175" i="3"/>
  <c r="AG175" i="3"/>
  <c r="AF175" i="3"/>
  <c r="AE175" i="3"/>
  <c r="AD175" i="3"/>
  <c r="AC175" i="3"/>
  <c r="AB175" i="3"/>
  <c r="AA175" i="3"/>
  <c r="Z175" i="3"/>
  <c r="V175" i="3"/>
  <c r="U175" i="3"/>
  <c r="T175" i="3"/>
  <c r="P175" i="3"/>
  <c r="O175" i="3"/>
  <c r="N175" i="3"/>
  <c r="AE174" i="3"/>
  <c r="AD174" i="3"/>
  <c r="AC174" i="3"/>
  <c r="AB174" i="3"/>
  <c r="AA174" i="3"/>
  <c r="Z174" i="3"/>
  <c r="V174" i="3"/>
  <c r="U174" i="3"/>
  <c r="T174" i="3"/>
  <c r="P174" i="3"/>
  <c r="O174" i="3"/>
  <c r="N174" i="3"/>
  <c r="C174" i="3"/>
  <c r="AE173" i="3"/>
  <c r="AD173" i="3"/>
  <c r="AC173" i="3"/>
  <c r="AB173" i="3"/>
  <c r="AA173" i="3"/>
  <c r="Z173" i="3"/>
  <c r="V173" i="3"/>
  <c r="U173" i="3"/>
  <c r="T173" i="3"/>
  <c r="P173" i="3"/>
  <c r="O173" i="3"/>
  <c r="N173" i="3"/>
  <c r="AE172" i="3"/>
  <c r="AD172" i="3"/>
  <c r="AC172" i="3"/>
  <c r="AB172" i="3"/>
  <c r="D172" i="3" s="1"/>
  <c r="AA172" i="3"/>
  <c r="Z172" i="3"/>
  <c r="V172" i="3"/>
  <c r="U172" i="3"/>
  <c r="T172" i="3"/>
  <c r="P172" i="3"/>
  <c r="O172" i="3"/>
  <c r="N172" i="3"/>
  <c r="AE171" i="3"/>
  <c r="AD171" i="3"/>
  <c r="AC171" i="3"/>
  <c r="AB171" i="3"/>
  <c r="AA171" i="3"/>
  <c r="Z171" i="3"/>
  <c r="V171" i="3"/>
  <c r="U171" i="3"/>
  <c r="T171" i="3"/>
  <c r="P171" i="3"/>
  <c r="O171" i="3"/>
  <c r="N171" i="3"/>
  <c r="AE170" i="3"/>
  <c r="AD170" i="3"/>
  <c r="AC170" i="3"/>
  <c r="AB170" i="3"/>
  <c r="AA170" i="3"/>
  <c r="Z170" i="3"/>
  <c r="Y170" i="3"/>
  <c r="X170" i="3"/>
  <c r="W170" i="3"/>
  <c r="V170" i="3"/>
  <c r="U170" i="3"/>
  <c r="T170" i="3"/>
  <c r="P170" i="3"/>
  <c r="O170" i="3"/>
  <c r="N170" i="3"/>
  <c r="AE169" i="3"/>
  <c r="AD169" i="3"/>
  <c r="AC169" i="3"/>
  <c r="AB169" i="3"/>
  <c r="AA169" i="3"/>
  <c r="Z169" i="3"/>
  <c r="Y169" i="3"/>
  <c r="X169" i="3"/>
  <c r="W169" i="3"/>
  <c r="V169" i="3"/>
  <c r="U169" i="3"/>
  <c r="T169" i="3"/>
  <c r="P169" i="3"/>
  <c r="O169" i="3"/>
  <c r="N169" i="3"/>
  <c r="AE168" i="3"/>
  <c r="AD168" i="3"/>
  <c r="AC168" i="3"/>
  <c r="AB168" i="3"/>
  <c r="AA168" i="3"/>
  <c r="Z168" i="3"/>
  <c r="Y168" i="3"/>
  <c r="X168" i="3"/>
  <c r="W168" i="3"/>
  <c r="V168" i="3"/>
  <c r="U168" i="3"/>
  <c r="T168" i="3"/>
  <c r="P168" i="3"/>
  <c r="O168" i="3"/>
  <c r="N168" i="3"/>
  <c r="AE167" i="3"/>
  <c r="AD167" i="3"/>
  <c r="AC167" i="3"/>
  <c r="AB167" i="3"/>
  <c r="AA167" i="3"/>
  <c r="Z167" i="3"/>
  <c r="Y167" i="3"/>
  <c r="X167" i="3"/>
  <c r="W167" i="3"/>
  <c r="V167" i="3"/>
  <c r="U167" i="3"/>
  <c r="T167" i="3"/>
  <c r="P167" i="3"/>
  <c r="O167" i="3"/>
  <c r="N167" i="3"/>
  <c r="B167" i="3" s="1"/>
  <c r="AE166" i="3"/>
  <c r="AD166" i="3"/>
  <c r="AC166" i="3"/>
  <c r="AB166" i="3"/>
  <c r="AA166" i="3"/>
  <c r="Z166" i="3"/>
  <c r="Y166" i="3"/>
  <c r="X166" i="3"/>
  <c r="W166" i="3"/>
  <c r="V166" i="3"/>
  <c r="U166" i="3"/>
  <c r="T166" i="3"/>
  <c r="P166" i="3"/>
  <c r="O166" i="3"/>
  <c r="N166" i="3"/>
  <c r="AE165" i="3"/>
  <c r="AD165" i="3"/>
  <c r="AC165" i="3"/>
  <c r="AB165" i="3"/>
  <c r="AA165" i="3"/>
  <c r="Z165" i="3"/>
  <c r="Y165" i="3"/>
  <c r="X165" i="3"/>
  <c r="W165" i="3"/>
  <c r="V165" i="3"/>
  <c r="U165" i="3"/>
  <c r="T165" i="3"/>
  <c r="P165" i="3"/>
  <c r="O165" i="3"/>
  <c r="N165" i="3"/>
  <c r="AE164" i="3"/>
  <c r="AD164" i="3"/>
  <c r="AC164" i="3"/>
  <c r="AB164" i="3"/>
  <c r="AA164" i="3"/>
  <c r="Z164" i="3"/>
  <c r="Y164" i="3"/>
  <c r="X164" i="3"/>
  <c r="W164" i="3"/>
  <c r="V164" i="3"/>
  <c r="U164" i="3"/>
  <c r="T164" i="3"/>
  <c r="P164" i="3"/>
  <c r="O164" i="3"/>
  <c r="N164" i="3"/>
  <c r="AE163" i="3"/>
  <c r="AD163" i="3"/>
  <c r="AC163" i="3"/>
  <c r="AB163" i="3"/>
  <c r="AA163" i="3"/>
  <c r="Z163" i="3"/>
  <c r="Y163" i="3"/>
  <c r="X163" i="3"/>
  <c r="W163" i="3"/>
  <c r="V163" i="3"/>
  <c r="U163" i="3"/>
  <c r="T163" i="3"/>
  <c r="P163" i="3"/>
  <c r="O163" i="3"/>
  <c r="N163" i="3"/>
  <c r="AE162" i="3"/>
  <c r="AD162" i="3"/>
  <c r="AC162" i="3"/>
  <c r="AB162" i="3"/>
  <c r="AA162" i="3"/>
  <c r="Z162" i="3"/>
  <c r="Y162" i="3"/>
  <c r="X162" i="3"/>
  <c r="W162" i="3"/>
  <c r="V162" i="3"/>
  <c r="U162" i="3"/>
  <c r="T162" i="3"/>
  <c r="P162" i="3"/>
  <c r="O162" i="3"/>
  <c r="N162" i="3"/>
  <c r="AE161" i="3"/>
  <c r="AD161" i="3"/>
  <c r="AC161" i="3"/>
  <c r="AB161" i="3"/>
  <c r="AA161" i="3"/>
  <c r="Z161" i="3"/>
  <c r="Y161" i="3"/>
  <c r="X161" i="3"/>
  <c r="W161" i="3"/>
  <c r="V161" i="3"/>
  <c r="U161" i="3"/>
  <c r="T161" i="3"/>
  <c r="P161" i="3"/>
  <c r="O161" i="3"/>
  <c r="N161" i="3"/>
  <c r="AE160" i="3"/>
  <c r="AD160" i="3"/>
  <c r="AC160" i="3"/>
  <c r="AB160" i="3"/>
  <c r="AA160" i="3"/>
  <c r="Z160" i="3"/>
  <c r="Y160" i="3"/>
  <c r="X160" i="3"/>
  <c r="W160" i="3"/>
  <c r="V160" i="3"/>
  <c r="U160" i="3"/>
  <c r="T160" i="3"/>
  <c r="P160" i="3"/>
  <c r="O160" i="3"/>
  <c r="N160" i="3"/>
  <c r="AE159" i="3"/>
  <c r="AD159" i="3"/>
  <c r="AC159" i="3"/>
  <c r="AB159" i="3"/>
  <c r="AA159" i="3"/>
  <c r="Z159" i="3"/>
  <c r="Y159" i="3"/>
  <c r="X159" i="3"/>
  <c r="W159" i="3"/>
  <c r="V159" i="3"/>
  <c r="U159" i="3"/>
  <c r="T159" i="3"/>
  <c r="P159" i="3"/>
  <c r="O159" i="3"/>
  <c r="N159" i="3"/>
  <c r="AE158" i="3"/>
  <c r="AD158" i="3"/>
  <c r="AC158" i="3"/>
  <c r="AB158" i="3"/>
  <c r="AA158" i="3"/>
  <c r="Z158" i="3"/>
  <c r="Y158" i="3"/>
  <c r="X158" i="3"/>
  <c r="W158" i="3"/>
  <c r="V158" i="3"/>
  <c r="U158" i="3"/>
  <c r="T158" i="3"/>
  <c r="P158" i="3"/>
  <c r="O158" i="3"/>
  <c r="N158" i="3"/>
  <c r="AE157" i="3"/>
  <c r="AD157" i="3"/>
  <c r="AC157" i="3"/>
  <c r="B157" i="3" s="1"/>
  <c r="AB157" i="3"/>
  <c r="AA157" i="3"/>
  <c r="Z157" i="3"/>
  <c r="Y157" i="3"/>
  <c r="X157" i="3"/>
  <c r="W157" i="3"/>
  <c r="V157" i="3"/>
  <c r="U157" i="3"/>
  <c r="T157" i="3"/>
  <c r="P157" i="3"/>
  <c r="O157" i="3"/>
  <c r="N157" i="3"/>
  <c r="AE156" i="3"/>
  <c r="AD156" i="3"/>
  <c r="AC156" i="3"/>
  <c r="AB156" i="3"/>
  <c r="AA156" i="3"/>
  <c r="Z156" i="3"/>
  <c r="Y156" i="3"/>
  <c r="X156" i="3"/>
  <c r="W156" i="3"/>
  <c r="V156" i="3"/>
  <c r="U156" i="3"/>
  <c r="T156" i="3"/>
  <c r="P156" i="3"/>
  <c r="O156" i="3"/>
  <c r="N156" i="3"/>
  <c r="AE155" i="3"/>
  <c r="AD155" i="3"/>
  <c r="AC155" i="3"/>
  <c r="AB155" i="3"/>
  <c r="AA155" i="3"/>
  <c r="Z155" i="3"/>
  <c r="Y155" i="3"/>
  <c r="X155" i="3"/>
  <c r="W155" i="3"/>
  <c r="V155" i="3"/>
  <c r="U155" i="3"/>
  <c r="T155" i="3"/>
  <c r="P155" i="3"/>
  <c r="O155" i="3"/>
  <c r="N155" i="3"/>
  <c r="AE154" i="3"/>
  <c r="AD154" i="3"/>
  <c r="AC154" i="3"/>
  <c r="AB154" i="3"/>
  <c r="AA154" i="3"/>
  <c r="Z154" i="3"/>
  <c r="Y154" i="3"/>
  <c r="X154" i="3"/>
  <c r="W154" i="3"/>
  <c r="V154" i="3"/>
  <c r="U154" i="3"/>
  <c r="T154" i="3"/>
  <c r="P154" i="3"/>
  <c r="O154" i="3"/>
  <c r="N154" i="3"/>
  <c r="AE153" i="3"/>
  <c r="AD153" i="3"/>
  <c r="AC153" i="3"/>
  <c r="AB153" i="3"/>
  <c r="AA153" i="3"/>
  <c r="Z153" i="3"/>
  <c r="Y153" i="3"/>
  <c r="X153" i="3"/>
  <c r="W153" i="3"/>
  <c r="V153" i="3"/>
  <c r="U153" i="3"/>
  <c r="T153" i="3"/>
  <c r="P153" i="3"/>
  <c r="O153" i="3"/>
  <c r="N153" i="3"/>
  <c r="AB152" i="3"/>
  <c r="AA152" i="3"/>
  <c r="Z152" i="3"/>
  <c r="Y152" i="3"/>
  <c r="X152" i="3"/>
  <c r="W152" i="3"/>
  <c r="V152" i="3"/>
  <c r="U152" i="3"/>
  <c r="T152" i="3"/>
  <c r="P152" i="3"/>
  <c r="O152" i="3"/>
  <c r="N152" i="3"/>
  <c r="AB151" i="3"/>
  <c r="AA151" i="3"/>
  <c r="Z151" i="3"/>
  <c r="Y151" i="3"/>
  <c r="X151" i="3"/>
  <c r="W151" i="3"/>
  <c r="V151" i="3"/>
  <c r="U151" i="3"/>
  <c r="T151" i="3"/>
  <c r="P151" i="3"/>
  <c r="O151" i="3"/>
  <c r="N151" i="3"/>
  <c r="AB150" i="3"/>
  <c r="AA150" i="3"/>
  <c r="Z150" i="3"/>
  <c r="Y150" i="3"/>
  <c r="X150" i="3"/>
  <c r="W150" i="3"/>
  <c r="V150" i="3"/>
  <c r="U150" i="3"/>
  <c r="T150" i="3"/>
  <c r="P150" i="3"/>
  <c r="O150" i="3"/>
  <c r="N150" i="3"/>
  <c r="AB149" i="3"/>
  <c r="AA149" i="3"/>
  <c r="Z149" i="3"/>
  <c r="Y149" i="3"/>
  <c r="X149" i="3"/>
  <c r="W149" i="3"/>
  <c r="V149" i="3"/>
  <c r="U149" i="3"/>
  <c r="T149" i="3"/>
  <c r="P149" i="3"/>
  <c r="O149" i="3"/>
  <c r="C149" i="3" s="1"/>
  <c r="N149" i="3"/>
  <c r="AB148" i="3"/>
  <c r="AA148" i="3"/>
  <c r="Z148" i="3"/>
  <c r="Y148" i="3"/>
  <c r="X148" i="3"/>
  <c r="W148" i="3"/>
  <c r="V148" i="3"/>
  <c r="U148" i="3"/>
  <c r="T148" i="3"/>
  <c r="P148" i="3"/>
  <c r="O148" i="3"/>
  <c r="N148" i="3"/>
  <c r="AB147" i="3"/>
  <c r="AA147" i="3"/>
  <c r="Z147" i="3"/>
  <c r="Y147" i="3"/>
  <c r="X147" i="3"/>
  <c r="W147" i="3"/>
  <c r="V147" i="3"/>
  <c r="U147" i="3"/>
  <c r="T147" i="3"/>
  <c r="P147" i="3"/>
  <c r="O147" i="3"/>
  <c r="N147" i="3"/>
  <c r="AB146" i="3"/>
  <c r="AA146" i="3"/>
  <c r="Z146" i="3"/>
  <c r="Y146" i="3"/>
  <c r="X146" i="3"/>
  <c r="W146" i="3"/>
  <c r="V146" i="3"/>
  <c r="U146" i="3"/>
  <c r="T146" i="3"/>
  <c r="P146" i="3"/>
  <c r="O146" i="3"/>
  <c r="N146" i="3"/>
  <c r="AB145" i="3"/>
  <c r="AA145" i="3"/>
  <c r="Z145" i="3"/>
  <c r="Y145" i="3"/>
  <c r="X145" i="3"/>
  <c r="W145" i="3"/>
  <c r="V145" i="3"/>
  <c r="U145" i="3"/>
  <c r="T145" i="3"/>
  <c r="S145" i="3"/>
  <c r="R145" i="3"/>
  <c r="Q145" i="3"/>
  <c r="P145" i="3"/>
  <c r="O145" i="3"/>
  <c r="N145" i="3"/>
  <c r="AB144" i="3"/>
  <c r="AA144" i="3"/>
  <c r="C144" i="3" s="1"/>
  <c r="Z144" i="3"/>
  <c r="Y144" i="3"/>
  <c r="X144" i="3"/>
  <c r="W144" i="3"/>
  <c r="V144" i="3"/>
  <c r="U144" i="3"/>
  <c r="T144" i="3"/>
  <c r="S144" i="3"/>
  <c r="R144" i="3"/>
  <c r="Q144" i="3"/>
  <c r="P144" i="3"/>
  <c r="O144" i="3"/>
  <c r="N144" i="3"/>
  <c r="AB143" i="3"/>
  <c r="AA143" i="3"/>
  <c r="Z143" i="3"/>
  <c r="Y143" i="3"/>
  <c r="X143" i="3"/>
  <c r="W143" i="3"/>
  <c r="V143" i="3"/>
  <c r="U143" i="3"/>
  <c r="T143" i="3"/>
  <c r="S143" i="3"/>
  <c r="R143" i="3"/>
  <c r="Q143" i="3"/>
  <c r="P143" i="3"/>
  <c r="O143" i="3"/>
  <c r="N143" i="3"/>
  <c r="AB142" i="3"/>
  <c r="AA142" i="3"/>
  <c r="Z142" i="3"/>
  <c r="Y142" i="3"/>
  <c r="X142" i="3"/>
  <c r="W142" i="3"/>
  <c r="V142" i="3"/>
  <c r="U142" i="3"/>
  <c r="T142" i="3"/>
  <c r="S142" i="3"/>
  <c r="R142" i="3"/>
  <c r="Q142" i="3"/>
  <c r="P142" i="3"/>
  <c r="O142" i="3"/>
  <c r="N142" i="3"/>
  <c r="AB141" i="3"/>
  <c r="AA141" i="3"/>
  <c r="Z141" i="3"/>
  <c r="Y141" i="3"/>
  <c r="X141" i="3"/>
  <c r="W141" i="3"/>
  <c r="V141" i="3"/>
  <c r="U141" i="3"/>
  <c r="T141" i="3"/>
  <c r="S141" i="3"/>
  <c r="R141" i="3"/>
  <c r="Q141" i="3"/>
  <c r="P141" i="3"/>
  <c r="O141" i="3"/>
  <c r="N141" i="3"/>
  <c r="AB140" i="3"/>
  <c r="AA140" i="3"/>
  <c r="Z140" i="3"/>
  <c r="Y140" i="3"/>
  <c r="X140" i="3"/>
  <c r="W140" i="3"/>
  <c r="V140" i="3"/>
  <c r="U140" i="3"/>
  <c r="T140" i="3"/>
  <c r="S140" i="3"/>
  <c r="R140" i="3"/>
  <c r="Q140" i="3"/>
  <c r="P140" i="3"/>
  <c r="O140" i="3"/>
  <c r="N140" i="3"/>
  <c r="AB139" i="3"/>
  <c r="AA139" i="3"/>
  <c r="Z139" i="3"/>
  <c r="Y139" i="3"/>
  <c r="X139" i="3"/>
  <c r="W139" i="3"/>
  <c r="V139" i="3"/>
  <c r="U139" i="3"/>
  <c r="T139" i="3"/>
  <c r="S139" i="3"/>
  <c r="R139" i="3"/>
  <c r="Q139" i="3"/>
  <c r="P139" i="3"/>
  <c r="O139" i="3"/>
  <c r="N139" i="3"/>
  <c r="AB138" i="3"/>
  <c r="AA138" i="3"/>
  <c r="Z138" i="3"/>
  <c r="Y138" i="3"/>
  <c r="X138" i="3"/>
  <c r="W138" i="3"/>
  <c r="V138" i="3"/>
  <c r="U138" i="3"/>
  <c r="T138" i="3"/>
  <c r="S138" i="3"/>
  <c r="R138" i="3"/>
  <c r="Q138" i="3"/>
  <c r="P138" i="3"/>
  <c r="O138" i="3"/>
  <c r="N138" i="3"/>
  <c r="AB137" i="3"/>
  <c r="AA137" i="3"/>
  <c r="Z137" i="3"/>
  <c r="Y137" i="3"/>
  <c r="X137" i="3"/>
  <c r="W137" i="3"/>
  <c r="V137" i="3"/>
  <c r="U137" i="3"/>
  <c r="T137" i="3"/>
  <c r="S137" i="3"/>
  <c r="R137" i="3"/>
  <c r="Q137" i="3"/>
  <c r="P137" i="3"/>
  <c r="O137" i="3"/>
  <c r="N137" i="3"/>
  <c r="AB136" i="3"/>
  <c r="AA136" i="3"/>
  <c r="Z136" i="3"/>
  <c r="Y136" i="3"/>
  <c r="X136" i="3"/>
  <c r="W136" i="3"/>
  <c r="V136" i="3"/>
  <c r="U136" i="3"/>
  <c r="T136" i="3"/>
  <c r="S136" i="3"/>
  <c r="R136" i="3"/>
  <c r="C136" i="3" s="1"/>
  <c r="Q136" i="3"/>
  <c r="P136" i="3"/>
  <c r="O136" i="3"/>
  <c r="N136" i="3"/>
  <c r="AB135" i="3"/>
  <c r="AA135" i="3"/>
  <c r="Z135" i="3"/>
  <c r="Y135" i="3"/>
  <c r="X135" i="3"/>
  <c r="W135" i="3"/>
  <c r="V135" i="3"/>
  <c r="U135" i="3"/>
  <c r="T135" i="3"/>
  <c r="S135" i="3"/>
  <c r="R135" i="3"/>
  <c r="Q135" i="3"/>
  <c r="P135" i="3"/>
  <c r="O135" i="3"/>
  <c r="N135" i="3"/>
  <c r="AB134" i="3"/>
  <c r="AA134" i="3"/>
  <c r="Z134" i="3"/>
  <c r="Y134" i="3"/>
  <c r="X134" i="3"/>
  <c r="W134" i="3"/>
  <c r="V134" i="3"/>
  <c r="U134" i="3"/>
  <c r="T134" i="3"/>
  <c r="S134" i="3"/>
  <c r="R134" i="3"/>
  <c r="Q134" i="3"/>
  <c r="P134" i="3"/>
  <c r="O134" i="3"/>
  <c r="N134" i="3"/>
  <c r="AB133" i="3"/>
  <c r="AA133" i="3"/>
  <c r="Z133" i="3"/>
  <c r="Y133" i="3"/>
  <c r="X133" i="3"/>
  <c r="W133" i="3"/>
  <c r="V133" i="3"/>
  <c r="U133" i="3"/>
  <c r="T133" i="3"/>
  <c r="S133" i="3"/>
  <c r="R133" i="3"/>
  <c r="Q133" i="3"/>
  <c r="P133" i="3"/>
  <c r="O133" i="3"/>
  <c r="N133" i="3"/>
  <c r="AB132" i="3"/>
  <c r="AA132" i="3"/>
  <c r="Z132" i="3"/>
  <c r="Y132" i="3"/>
  <c r="X132" i="3"/>
  <c r="W132" i="3"/>
  <c r="V132" i="3"/>
  <c r="U132" i="3"/>
  <c r="T132" i="3"/>
  <c r="S132" i="3"/>
  <c r="R132" i="3"/>
  <c r="Q132" i="3"/>
  <c r="P132" i="3"/>
  <c r="O132" i="3"/>
  <c r="N132" i="3"/>
  <c r="AB131" i="3"/>
  <c r="AA131" i="3"/>
  <c r="Z131" i="3"/>
  <c r="Y131" i="3"/>
  <c r="X131" i="3"/>
  <c r="W131" i="3"/>
  <c r="V131" i="3"/>
  <c r="U131" i="3"/>
  <c r="T131" i="3"/>
  <c r="S131" i="3"/>
  <c r="R131" i="3"/>
  <c r="Q131" i="3"/>
  <c r="P131" i="3"/>
  <c r="O131" i="3"/>
  <c r="N131" i="3"/>
  <c r="AB130" i="3"/>
  <c r="AA130" i="3"/>
  <c r="Z130" i="3"/>
  <c r="Y130" i="3"/>
  <c r="X130" i="3"/>
  <c r="W130" i="3"/>
  <c r="V130" i="3"/>
  <c r="U130" i="3"/>
  <c r="T130" i="3"/>
  <c r="S130" i="3"/>
  <c r="R130" i="3"/>
  <c r="Q130" i="3"/>
  <c r="P130" i="3"/>
  <c r="O130" i="3"/>
  <c r="N130" i="3"/>
  <c r="AB129" i="3"/>
  <c r="AA129" i="3"/>
  <c r="Z129" i="3"/>
  <c r="Y129" i="3"/>
  <c r="X129" i="3"/>
  <c r="W129" i="3"/>
  <c r="V129" i="3"/>
  <c r="U129" i="3"/>
  <c r="T129" i="3"/>
  <c r="S129" i="3"/>
  <c r="R129" i="3"/>
  <c r="Q129" i="3"/>
  <c r="P129" i="3"/>
  <c r="O129" i="3"/>
  <c r="N129" i="3"/>
  <c r="AB128" i="3"/>
  <c r="D128" i="3" s="1"/>
  <c r="AA128" i="3"/>
  <c r="Z128" i="3"/>
  <c r="Y128" i="3"/>
  <c r="X128" i="3"/>
  <c r="W128" i="3"/>
  <c r="V128" i="3"/>
  <c r="U128" i="3"/>
  <c r="T128" i="3"/>
  <c r="S128" i="3"/>
  <c r="R128" i="3"/>
  <c r="Q128" i="3"/>
  <c r="P128" i="3"/>
  <c r="O128" i="3"/>
  <c r="N128" i="3"/>
  <c r="AB127" i="3"/>
  <c r="AA127" i="3"/>
  <c r="Z127" i="3"/>
  <c r="Y127" i="3"/>
  <c r="X127" i="3"/>
  <c r="W127" i="3"/>
  <c r="V127" i="3"/>
  <c r="U127" i="3"/>
  <c r="T127" i="3"/>
  <c r="S127" i="3"/>
  <c r="R127" i="3"/>
  <c r="Q127" i="3"/>
  <c r="P127" i="3"/>
  <c r="O127" i="3"/>
  <c r="N127" i="3"/>
  <c r="AB126" i="3"/>
  <c r="AA126" i="3"/>
  <c r="Z126" i="3"/>
  <c r="Y126" i="3"/>
  <c r="X126" i="3"/>
  <c r="W126" i="3"/>
  <c r="V126" i="3"/>
  <c r="U126" i="3"/>
  <c r="T126" i="3"/>
  <c r="S126" i="3"/>
  <c r="R126" i="3"/>
  <c r="Q126" i="3"/>
  <c r="P126" i="3"/>
  <c r="D126" i="3" s="1"/>
  <c r="O126" i="3"/>
  <c r="N126" i="3"/>
  <c r="AB125" i="3"/>
  <c r="AA125" i="3"/>
  <c r="Z125" i="3"/>
  <c r="Y125" i="3"/>
  <c r="X125" i="3"/>
  <c r="W125" i="3"/>
  <c r="V125" i="3"/>
  <c r="U125" i="3"/>
  <c r="T125" i="3"/>
  <c r="S125" i="3"/>
  <c r="R125" i="3"/>
  <c r="Q125" i="3"/>
  <c r="P125" i="3"/>
  <c r="O125" i="3"/>
  <c r="N125" i="3"/>
  <c r="AB124" i="3"/>
  <c r="AA124" i="3"/>
  <c r="Z124" i="3"/>
  <c r="Y124" i="3"/>
  <c r="X124" i="3"/>
  <c r="W124" i="3"/>
  <c r="V124" i="3"/>
  <c r="U124" i="3"/>
  <c r="T124" i="3"/>
  <c r="S124" i="3"/>
  <c r="R124" i="3"/>
  <c r="Q124" i="3"/>
  <c r="P124" i="3"/>
  <c r="O124" i="3"/>
  <c r="N124" i="3"/>
  <c r="AB123" i="3"/>
  <c r="AA123" i="3"/>
  <c r="Z123" i="3"/>
  <c r="Y123" i="3"/>
  <c r="X123" i="3"/>
  <c r="W123" i="3"/>
  <c r="V123" i="3"/>
  <c r="U123" i="3"/>
  <c r="T123" i="3"/>
  <c r="S123" i="3"/>
  <c r="R123" i="3"/>
  <c r="Q123" i="3"/>
  <c r="P123" i="3"/>
  <c r="O123" i="3"/>
  <c r="N123" i="3"/>
  <c r="AB122" i="3"/>
  <c r="AA122" i="3"/>
  <c r="Z122" i="3"/>
  <c r="Y122" i="3"/>
  <c r="X122" i="3"/>
  <c r="W122" i="3"/>
  <c r="V122" i="3"/>
  <c r="U122" i="3"/>
  <c r="T122" i="3"/>
  <c r="S122" i="3"/>
  <c r="R122" i="3"/>
  <c r="Q122" i="3"/>
  <c r="P122" i="3"/>
  <c r="O122" i="3"/>
  <c r="N122" i="3"/>
  <c r="AB121" i="3"/>
  <c r="AA121" i="3"/>
  <c r="Z121" i="3"/>
  <c r="Y121" i="3"/>
  <c r="X121" i="3"/>
  <c r="W121" i="3"/>
  <c r="V121" i="3"/>
  <c r="U121" i="3"/>
  <c r="T121" i="3"/>
  <c r="S121" i="3"/>
  <c r="R121" i="3"/>
  <c r="Q121" i="3"/>
  <c r="P121" i="3"/>
  <c r="O121" i="3"/>
  <c r="N121" i="3"/>
  <c r="AB120" i="3"/>
  <c r="AA120" i="3"/>
  <c r="Z120" i="3"/>
  <c r="Y120" i="3"/>
  <c r="X120" i="3"/>
  <c r="W120" i="3"/>
  <c r="V120" i="3"/>
  <c r="U120" i="3"/>
  <c r="T120" i="3"/>
  <c r="S120" i="3"/>
  <c r="R120" i="3"/>
  <c r="Q120" i="3"/>
  <c r="P120" i="3"/>
  <c r="O120" i="3"/>
  <c r="N120" i="3"/>
  <c r="AB119" i="3"/>
  <c r="AA119" i="3"/>
  <c r="Z119" i="3"/>
  <c r="Y119" i="3"/>
  <c r="X119" i="3"/>
  <c r="W119" i="3"/>
  <c r="V119" i="3"/>
  <c r="U119" i="3"/>
  <c r="T119" i="3"/>
  <c r="S119" i="3"/>
  <c r="R119" i="3"/>
  <c r="Q119" i="3"/>
  <c r="P119" i="3"/>
  <c r="O119" i="3"/>
  <c r="N119" i="3"/>
  <c r="AB118" i="3"/>
  <c r="AA118" i="3"/>
  <c r="Z118" i="3"/>
  <c r="Y118" i="3"/>
  <c r="X118" i="3"/>
  <c r="W118" i="3"/>
  <c r="V118" i="3"/>
  <c r="U118" i="3"/>
  <c r="T118" i="3"/>
  <c r="S118" i="3"/>
  <c r="R118" i="3"/>
  <c r="Q118" i="3"/>
  <c r="P118" i="3"/>
  <c r="O118" i="3"/>
  <c r="N118" i="3"/>
  <c r="AB117" i="3"/>
  <c r="AA117" i="3"/>
  <c r="Z117" i="3"/>
  <c r="Y117" i="3"/>
  <c r="X117" i="3"/>
  <c r="W117" i="3"/>
  <c r="V117" i="3"/>
  <c r="U117" i="3"/>
  <c r="T117" i="3"/>
  <c r="S117" i="3"/>
  <c r="R117" i="3"/>
  <c r="Q117" i="3"/>
  <c r="P117" i="3"/>
  <c r="O117" i="3"/>
  <c r="N117" i="3"/>
  <c r="AB116" i="3"/>
  <c r="AA116" i="3"/>
  <c r="Z116" i="3"/>
  <c r="Y116" i="3"/>
  <c r="X116" i="3"/>
  <c r="W116" i="3"/>
  <c r="V116" i="3"/>
  <c r="U116" i="3"/>
  <c r="T116" i="3"/>
  <c r="S116" i="3"/>
  <c r="R116" i="3"/>
  <c r="Q116" i="3"/>
  <c r="P116" i="3"/>
  <c r="O116" i="3"/>
  <c r="N116" i="3"/>
  <c r="AB115" i="3"/>
  <c r="AA115" i="3"/>
  <c r="Z115" i="3"/>
  <c r="Y115" i="3"/>
  <c r="X115" i="3"/>
  <c r="W115" i="3"/>
  <c r="V115" i="3"/>
  <c r="U115" i="3"/>
  <c r="T115" i="3"/>
  <c r="S115" i="3"/>
  <c r="R115" i="3"/>
  <c r="Q115" i="3"/>
  <c r="P115" i="3"/>
  <c r="O115" i="3"/>
  <c r="N115" i="3"/>
  <c r="AB114" i="3"/>
  <c r="AA114" i="3"/>
  <c r="Z114" i="3"/>
  <c r="Y114" i="3"/>
  <c r="X114" i="3"/>
  <c r="W114" i="3"/>
  <c r="V114" i="3"/>
  <c r="U114" i="3"/>
  <c r="T114" i="3"/>
  <c r="S114" i="3"/>
  <c r="R114" i="3"/>
  <c r="Q114" i="3"/>
  <c r="P114" i="3"/>
  <c r="O114" i="3"/>
  <c r="N114" i="3"/>
  <c r="AB113" i="3"/>
  <c r="AA113" i="3"/>
  <c r="Z113" i="3"/>
  <c r="Y113" i="3"/>
  <c r="X113" i="3"/>
  <c r="W113" i="3"/>
  <c r="V113" i="3"/>
  <c r="U113" i="3"/>
  <c r="T113" i="3"/>
  <c r="S113" i="3"/>
  <c r="R113" i="3"/>
  <c r="Q113" i="3"/>
  <c r="P113" i="3"/>
  <c r="O113" i="3"/>
  <c r="N113" i="3"/>
  <c r="AB112" i="3"/>
  <c r="AA112" i="3"/>
  <c r="Z112" i="3"/>
  <c r="Y112" i="3"/>
  <c r="X112" i="3"/>
  <c r="W112" i="3"/>
  <c r="V112" i="3"/>
  <c r="U112" i="3"/>
  <c r="T112" i="3"/>
  <c r="S112" i="3"/>
  <c r="R112" i="3"/>
  <c r="Q112" i="3"/>
  <c r="P112" i="3"/>
  <c r="O112" i="3"/>
  <c r="N112" i="3"/>
  <c r="AB111" i="3"/>
  <c r="AA111" i="3"/>
  <c r="Z111" i="3"/>
  <c r="Y111" i="3"/>
  <c r="X111" i="3"/>
  <c r="W111" i="3"/>
  <c r="V111" i="3"/>
  <c r="U111" i="3"/>
  <c r="T111" i="3"/>
  <c r="S111" i="3"/>
  <c r="R111" i="3"/>
  <c r="Q111" i="3"/>
  <c r="B111" i="3" s="1"/>
  <c r="P111" i="3"/>
  <c r="O111" i="3"/>
  <c r="N111" i="3"/>
  <c r="AB110" i="3"/>
  <c r="AA110" i="3"/>
  <c r="Z110" i="3"/>
  <c r="Y110" i="3"/>
  <c r="X110" i="3"/>
  <c r="W110" i="3"/>
  <c r="V110" i="3"/>
  <c r="U110" i="3"/>
  <c r="T110" i="3"/>
  <c r="S110" i="3"/>
  <c r="R110" i="3"/>
  <c r="Q110" i="3"/>
  <c r="P110" i="3"/>
  <c r="O110" i="3"/>
  <c r="N110" i="3"/>
  <c r="AB109" i="3"/>
  <c r="AA109" i="3"/>
  <c r="Z109" i="3"/>
  <c r="Y109" i="3"/>
  <c r="X109" i="3"/>
  <c r="W109" i="3"/>
  <c r="V109" i="3"/>
  <c r="U109" i="3"/>
  <c r="T109" i="3"/>
  <c r="S109" i="3"/>
  <c r="R109" i="3"/>
  <c r="Q109" i="3"/>
  <c r="P109" i="3"/>
  <c r="O109" i="3"/>
  <c r="N109" i="3"/>
  <c r="AB108" i="3"/>
  <c r="AA108" i="3"/>
  <c r="Z108" i="3"/>
  <c r="Y108" i="3"/>
  <c r="X108" i="3"/>
  <c r="W108" i="3"/>
  <c r="V108" i="3"/>
  <c r="U108" i="3"/>
  <c r="T108" i="3"/>
  <c r="S108" i="3"/>
  <c r="R108" i="3"/>
  <c r="Q108" i="3"/>
  <c r="P108" i="3"/>
  <c r="O108" i="3"/>
  <c r="N108" i="3"/>
  <c r="AB107" i="3"/>
  <c r="AA107" i="3"/>
  <c r="Z107" i="3"/>
  <c r="Y107" i="3"/>
  <c r="X107" i="3"/>
  <c r="W107" i="3"/>
  <c r="V107" i="3"/>
  <c r="U107" i="3"/>
  <c r="T107" i="3"/>
  <c r="S107" i="3"/>
  <c r="R107" i="3"/>
  <c r="Q107" i="3"/>
  <c r="P107" i="3"/>
  <c r="O107" i="3"/>
  <c r="N107" i="3"/>
  <c r="AB106" i="3"/>
  <c r="AA106" i="3"/>
  <c r="Z106" i="3"/>
  <c r="Y106" i="3"/>
  <c r="X106" i="3"/>
  <c r="W106" i="3"/>
  <c r="V106" i="3"/>
  <c r="U106" i="3"/>
  <c r="T106" i="3"/>
  <c r="S106" i="3"/>
  <c r="R106" i="3"/>
  <c r="Q106" i="3"/>
  <c r="P106" i="3"/>
  <c r="O106" i="3"/>
  <c r="N106" i="3"/>
  <c r="AB105" i="3"/>
  <c r="AA105" i="3"/>
  <c r="Z105" i="3"/>
  <c r="Y105" i="3"/>
  <c r="X105" i="3"/>
  <c r="W105" i="3"/>
  <c r="V105" i="3"/>
  <c r="U105" i="3"/>
  <c r="T105" i="3"/>
  <c r="S105" i="3"/>
  <c r="R105" i="3"/>
  <c r="Q105" i="3"/>
  <c r="P105" i="3"/>
  <c r="O105" i="3"/>
  <c r="N105" i="3"/>
  <c r="AB104" i="3"/>
  <c r="AA104" i="3"/>
  <c r="Z104" i="3"/>
  <c r="Y104" i="3"/>
  <c r="X104" i="3"/>
  <c r="W104" i="3"/>
  <c r="V104" i="3"/>
  <c r="U104" i="3"/>
  <c r="T104" i="3"/>
  <c r="S104" i="3"/>
  <c r="R104" i="3"/>
  <c r="Q104" i="3"/>
  <c r="P104" i="3"/>
  <c r="O104" i="3"/>
  <c r="N104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AB102" i="3"/>
  <c r="AA102" i="3"/>
  <c r="Z102" i="3"/>
  <c r="Y102" i="3"/>
  <c r="X102" i="3"/>
  <c r="W102" i="3"/>
  <c r="V102" i="3"/>
  <c r="U102" i="3"/>
  <c r="T102" i="3"/>
  <c r="S102" i="3"/>
  <c r="R102" i="3"/>
  <c r="Q102" i="3"/>
  <c r="P102" i="3"/>
  <c r="O102" i="3"/>
  <c r="N102" i="3"/>
  <c r="AB101" i="3"/>
  <c r="AA101" i="3"/>
  <c r="Z101" i="3"/>
  <c r="Y101" i="3"/>
  <c r="X101" i="3"/>
  <c r="W101" i="3"/>
  <c r="V101" i="3"/>
  <c r="U101" i="3"/>
  <c r="T101" i="3"/>
  <c r="S101" i="3"/>
  <c r="R101" i="3"/>
  <c r="Q101" i="3"/>
  <c r="P101" i="3"/>
  <c r="O101" i="3"/>
  <c r="N101" i="3"/>
  <c r="AB100" i="3"/>
  <c r="AA100" i="3"/>
  <c r="Z100" i="3"/>
  <c r="Y100" i="3"/>
  <c r="X100" i="3"/>
  <c r="W100" i="3"/>
  <c r="V100" i="3"/>
  <c r="U100" i="3"/>
  <c r="T100" i="3"/>
  <c r="S100" i="3"/>
  <c r="R100" i="3"/>
  <c r="Q100" i="3"/>
  <c r="P100" i="3"/>
  <c r="O100" i="3"/>
  <c r="N100" i="3"/>
  <c r="AB99" i="3"/>
  <c r="AA99" i="3"/>
  <c r="Z99" i="3"/>
  <c r="Y99" i="3"/>
  <c r="X99" i="3"/>
  <c r="W99" i="3"/>
  <c r="V99" i="3"/>
  <c r="U99" i="3"/>
  <c r="C99" i="3" s="1"/>
  <c r="T99" i="3"/>
  <c r="S99" i="3"/>
  <c r="R99" i="3"/>
  <c r="Q99" i="3"/>
  <c r="P99" i="3"/>
  <c r="O99" i="3"/>
  <c r="N99" i="3"/>
  <c r="AB98" i="3"/>
  <c r="AA98" i="3"/>
  <c r="Z98" i="3"/>
  <c r="Y98" i="3"/>
  <c r="X98" i="3"/>
  <c r="W98" i="3"/>
  <c r="V98" i="3"/>
  <c r="U98" i="3"/>
  <c r="T98" i="3"/>
  <c r="S98" i="3"/>
  <c r="R98" i="3"/>
  <c r="Q98" i="3"/>
  <c r="P98" i="3"/>
  <c r="O98" i="3"/>
  <c r="N98" i="3"/>
  <c r="AB97" i="3"/>
  <c r="AA97" i="3"/>
  <c r="Z97" i="3"/>
  <c r="Y97" i="3"/>
  <c r="X97" i="3"/>
  <c r="W97" i="3"/>
  <c r="V97" i="3"/>
  <c r="U97" i="3"/>
  <c r="T97" i="3"/>
  <c r="S97" i="3"/>
  <c r="D97" i="3" s="1"/>
  <c r="R97" i="3"/>
  <c r="Q97" i="3"/>
  <c r="P97" i="3"/>
  <c r="O97" i="3"/>
  <c r="N97" i="3"/>
  <c r="AB96" i="3"/>
  <c r="AA96" i="3"/>
  <c r="Z96" i="3"/>
  <c r="Y96" i="3"/>
  <c r="X96" i="3"/>
  <c r="W96" i="3"/>
  <c r="V96" i="3"/>
  <c r="U96" i="3"/>
  <c r="T96" i="3"/>
  <c r="S96" i="3"/>
  <c r="R96" i="3"/>
  <c r="Q96" i="3"/>
  <c r="P96" i="3"/>
  <c r="O96" i="3"/>
  <c r="N96" i="3"/>
  <c r="AB95" i="3"/>
  <c r="AA95" i="3"/>
  <c r="Z95" i="3"/>
  <c r="Y95" i="3"/>
  <c r="X95" i="3"/>
  <c r="W95" i="3"/>
  <c r="V95" i="3"/>
  <c r="U95" i="3"/>
  <c r="T95" i="3"/>
  <c r="S95" i="3"/>
  <c r="R95" i="3"/>
  <c r="Q95" i="3"/>
  <c r="P95" i="3"/>
  <c r="O95" i="3"/>
  <c r="N95" i="3"/>
  <c r="AB94" i="3"/>
  <c r="AA94" i="3"/>
  <c r="Z94" i="3"/>
  <c r="Y94" i="3"/>
  <c r="X94" i="3"/>
  <c r="W94" i="3"/>
  <c r="V94" i="3"/>
  <c r="U94" i="3"/>
  <c r="T94" i="3"/>
  <c r="S94" i="3"/>
  <c r="R94" i="3"/>
  <c r="Q94" i="3"/>
  <c r="P94" i="3"/>
  <c r="O94" i="3"/>
  <c r="N94" i="3"/>
  <c r="AB93" i="3"/>
  <c r="AA93" i="3"/>
  <c r="Z93" i="3"/>
  <c r="Y93" i="3"/>
  <c r="X93" i="3"/>
  <c r="W93" i="3"/>
  <c r="B93" i="3" s="1"/>
  <c r="V93" i="3"/>
  <c r="U93" i="3"/>
  <c r="T93" i="3"/>
  <c r="S93" i="3"/>
  <c r="R93" i="3"/>
  <c r="Q93" i="3"/>
  <c r="P93" i="3"/>
  <c r="O93" i="3"/>
  <c r="C93" i="3" s="1"/>
  <c r="N93" i="3"/>
  <c r="AB92" i="3"/>
  <c r="AA92" i="3"/>
  <c r="Z92" i="3"/>
  <c r="Y92" i="3"/>
  <c r="X92" i="3"/>
  <c r="W92" i="3"/>
  <c r="V92" i="3"/>
  <c r="U92" i="3"/>
  <c r="T92" i="3"/>
  <c r="S92" i="3"/>
  <c r="R92" i="3"/>
  <c r="Q92" i="3"/>
  <c r="P92" i="3"/>
  <c r="O92" i="3"/>
  <c r="N92" i="3"/>
  <c r="AB91" i="3"/>
  <c r="AA91" i="3"/>
  <c r="Z91" i="3"/>
  <c r="Y91" i="3"/>
  <c r="X91" i="3"/>
  <c r="W91" i="3"/>
  <c r="V91" i="3"/>
  <c r="U91" i="3"/>
  <c r="T91" i="3"/>
  <c r="S91" i="3"/>
  <c r="R91" i="3"/>
  <c r="Q91" i="3"/>
  <c r="P91" i="3"/>
  <c r="O91" i="3"/>
  <c r="N91" i="3"/>
  <c r="AB90" i="3"/>
  <c r="AA90" i="3"/>
  <c r="Z90" i="3"/>
  <c r="Y90" i="3"/>
  <c r="X90" i="3"/>
  <c r="W90" i="3"/>
  <c r="V90" i="3"/>
  <c r="U90" i="3"/>
  <c r="T90" i="3"/>
  <c r="S90" i="3"/>
  <c r="R90" i="3"/>
  <c r="Q90" i="3"/>
  <c r="P90" i="3"/>
  <c r="O90" i="3"/>
  <c r="N90" i="3"/>
  <c r="AB89" i="3"/>
  <c r="AA89" i="3"/>
  <c r="C89" i="3" s="1"/>
  <c r="Z89" i="3"/>
  <c r="Y89" i="3"/>
  <c r="X89" i="3"/>
  <c r="W89" i="3"/>
  <c r="V89" i="3"/>
  <c r="U89" i="3"/>
  <c r="T89" i="3"/>
  <c r="S89" i="3"/>
  <c r="R89" i="3"/>
  <c r="Q89" i="3"/>
  <c r="P89" i="3"/>
  <c r="O89" i="3"/>
  <c r="N89" i="3"/>
  <c r="AB88" i="3"/>
  <c r="AA88" i="3"/>
  <c r="Z88" i="3"/>
  <c r="Y88" i="3"/>
  <c r="X88" i="3"/>
  <c r="W88" i="3"/>
  <c r="V88" i="3"/>
  <c r="U88" i="3"/>
  <c r="T88" i="3"/>
  <c r="S88" i="3"/>
  <c r="R88" i="3"/>
  <c r="Q88" i="3"/>
  <c r="P88" i="3"/>
  <c r="O88" i="3"/>
  <c r="N88" i="3"/>
  <c r="AB87" i="3"/>
  <c r="AA87" i="3"/>
  <c r="C87" i="3" s="1"/>
  <c r="Z87" i="3"/>
  <c r="Y87" i="3"/>
  <c r="X87" i="3"/>
  <c r="W87" i="3"/>
  <c r="V87" i="3"/>
  <c r="U87" i="3"/>
  <c r="T87" i="3"/>
  <c r="S87" i="3"/>
  <c r="R87" i="3"/>
  <c r="Q87" i="3"/>
  <c r="P87" i="3"/>
  <c r="O87" i="3"/>
  <c r="N87" i="3"/>
  <c r="AB86" i="3"/>
  <c r="AA86" i="3"/>
  <c r="Z86" i="3"/>
  <c r="Y86" i="3"/>
  <c r="X86" i="3"/>
  <c r="W86" i="3"/>
  <c r="V86" i="3"/>
  <c r="U86" i="3"/>
  <c r="T86" i="3"/>
  <c r="S86" i="3"/>
  <c r="R86" i="3"/>
  <c r="Q86" i="3"/>
  <c r="P86" i="3"/>
  <c r="O86" i="3"/>
  <c r="N86" i="3"/>
  <c r="AB85" i="3"/>
  <c r="AA85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AB84" i="3"/>
  <c r="AA84" i="3"/>
  <c r="Z84" i="3"/>
  <c r="Y84" i="3"/>
  <c r="X84" i="3"/>
  <c r="W84" i="3"/>
  <c r="V84" i="3"/>
  <c r="U84" i="3"/>
  <c r="T84" i="3"/>
  <c r="S84" i="3"/>
  <c r="R84" i="3"/>
  <c r="Q84" i="3"/>
  <c r="P84" i="3"/>
  <c r="O84" i="3"/>
  <c r="N84" i="3"/>
  <c r="AB83" i="3"/>
  <c r="AA83" i="3"/>
  <c r="Z83" i="3"/>
  <c r="Y83" i="3"/>
  <c r="X83" i="3"/>
  <c r="W83" i="3"/>
  <c r="V83" i="3"/>
  <c r="U83" i="3"/>
  <c r="T83" i="3"/>
  <c r="S83" i="3"/>
  <c r="R83" i="3"/>
  <c r="Q83" i="3"/>
  <c r="P83" i="3"/>
  <c r="O83" i="3"/>
  <c r="N83" i="3"/>
  <c r="AB82" i="3"/>
  <c r="AA82" i="3"/>
  <c r="Z82" i="3"/>
  <c r="Y82" i="3"/>
  <c r="X82" i="3"/>
  <c r="W82" i="3"/>
  <c r="V82" i="3"/>
  <c r="U82" i="3"/>
  <c r="T82" i="3"/>
  <c r="S82" i="3"/>
  <c r="R82" i="3"/>
  <c r="Q82" i="3"/>
  <c r="P82" i="3"/>
  <c r="O82" i="3"/>
  <c r="N82" i="3"/>
  <c r="AB81" i="3"/>
  <c r="AA81" i="3"/>
  <c r="Z81" i="3"/>
  <c r="Y81" i="3"/>
  <c r="X81" i="3"/>
  <c r="W81" i="3"/>
  <c r="V81" i="3"/>
  <c r="U81" i="3"/>
  <c r="T81" i="3"/>
  <c r="S81" i="3"/>
  <c r="R81" i="3"/>
  <c r="Q81" i="3"/>
  <c r="P81" i="3"/>
  <c r="O81" i="3"/>
  <c r="N81" i="3"/>
  <c r="AB80" i="3"/>
  <c r="AA80" i="3"/>
  <c r="Z80" i="3"/>
  <c r="Y80" i="3"/>
  <c r="X80" i="3"/>
  <c r="W80" i="3"/>
  <c r="V80" i="3"/>
  <c r="U80" i="3"/>
  <c r="T80" i="3"/>
  <c r="S80" i="3"/>
  <c r="R80" i="3"/>
  <c r="Q80" i="3"/>
  <c r="P80" i="3"/>
  <c r="O80" i="3"/>
  <c r="N80" i="3"/>
  <c r="AB79" i="3"/>
  <c r="AA79" i="3"/>
  <c r="Z79" i="3"/>
  <c r="Y79" i="3"/>
  <c r="X79" i="3"/>
  <c r="W79" i="3"/>
  <c r="V79" i="3"/>
  <c r="U79" i="3"/>
  <c r="T79" i="3"/>
  <c r="S79" i="3"/>
  <c r="R79" i="3"/>
  <c r="Q79" i="3"/>
  <c r="P79" i="3"/>
  <c r="O79" i="3"/>
  <c r="N79" i="3"/>
  <c r="AB78" i="3"/>
  <c r="AA78" i="3"/>
  <c r="Z78" i="3"/>
  <c r="Y78" i="3"/>
  <c r="X78" i="3"/>
  <c r="W78" i="3"/>
  <c r="V78" i="3"/>
  <c r="U78" i="3"/>
  <c r="T78" i="3"/>
  <c r="S78" i="3"/>
  <c r="R78" i="3"/>
  <c r="Q78" i="3"/>
  <c r="P78" i="3"/>
  <c r="O78" i="3"/>
  <c r="N78" i="3"/>
  <c r="AB77" i="3"/>
  <c r="AA77" i="3"/>
  <c r="Z77" i="3"/>
  <c r="Y77" i="3"/>
  <c r="X77" i="3"/>
  <c r="W77" i="3"/>
  <c r="V77" i="3"/>
  <c r="U77" i="3"/>
  <c r="T77" i="3"/>
  <c r="S77" i="3"/>
  <c r="R77" i="3"/>
  <c r="Q77" i="3"/>
  <c r="P77" i="3"/>
  <c r="O77" i="3"/>
  <c r="N77" i="3"/>
  <c r="AB76" i="3"/>
  <c r="AA76" i="3"/>
  <c r="Z76" i="3"/>
  <c r="Y76" i="3"/>
  <c r="X76" i="3"/>
  <c r="W76" i="3"/>
  <c r="V76" i="3"/>
  <c r="U76" i="3"/>
  <c r="T76" i="3"/>
  <c r="S76" i="3"/>
  <c r="R76" i="3"/>
  <c r="Q76" i="3"/>
  <c r="P76" i="3"/>
  <c r="O76" i="3"/>
  <c r="N76" i="3"/>
  <c r="AB75" i="3"/>
  <c r="AA75" i="3"/>
  <c r="Z75" i="3"/>
  <c r="Y75" i="3"/>
  <c r="X75" i="3"/>
  <c r="W75" i="3"/>
  <c r="V75" i="3"/>
  <c r="U75" i="3"/>
  <c r="T75" i="3"/>
  <c r="S75" i="3"/>
  <c r="R75" i="3"/>
  <c r="Q75" i="3"/>
  <c r="P75" i="3"/>
  <c r="O75" i="3"/>
  <c r="N75" i="3"/>
  <c r="AB74" i="3"/>
  <c r="AA74" i="3"/>
  <c r="Z74" i="3"/>
  <c r="Y74" i="3"/>
  <c r="X74" i="3"/>
  <c r="W74" i="3"/>
  <c r="V74" i="3"/>
  <c r="U74" i="3"/>
  <c r="T74" i="3"/>
  <c r="S74" i="3"/>
  <c r="R74" i="3"/>
  <c r="C74" i="3" s="1"/>
  <c r="Q74" i="3"/>
  <c r="P74" i="3"/>
  <c r="O74" i="3"/>
  <c r="N74" i="3"/>
  <c r="AB73" i="3"/>
  <c r="AA73" i="3"/>
  <c r="Z73" i="3"/>
  <c r="Y73" i="3"/>
  <c r="X73" i="3"/>
  <c r="W73" i="3"/>
  <c r="V73" i="3"/>
  <c r="U73" i="3"/>
  <c r="T73" i="3"/>
  <c r="S73" i="3"/>
  <c r="R73" i="3"/>
  <c r="Q73" i="3"/>
  <c r="P73" i="3"/>
  <c r="O73" i="3"/>
  <c r="N73" i="3"/>
  <c r="AB72" i="3"/>
  <c r="AA72" i="3"/>
  <c r="Z72" i="3"/>
  <c r="Y72" i="3"/>
  <c r="X72" i="3"/>
  <c r="W72" i="3"/>
  <c r="V72" i="3"/>
  <c r="U72" i="3"/>
  <c r="T72" i="3"/>
  <c r="S72" i="3"/>
  <c r="R72" i="3"/>
  <c r="Q72" i="3"/>
  <c r="P72" i="3"/>
  <c r="D72" i="3" s="1"/>
  <c r="O72" i="3"/>
  <c r="N72" i="3"/>
  <c r="AB71" i="3"/>
  <c r="AA71" i="3"/>
  <c r="Z71" i="3"/>
  <c r="Y71" i="3"/>
  <c r="X71" i="3"/>
  <c r="W71" i="3"/>
  <c r="V71" i="3"/>
  <c r="U71" i="3"/>
  <c r="T71" i="3"/>
  <c r="S71" i="3"/>
  <c r="R71" i="3"/>
  <c r="Q71" i="3"/>
  <c r="P71" i="3"/>
  <c r="D71" i="3" s="1"/>
  <c r="O71" i="3"/>
  <c r="N71" i="3"/>
  <c r="AB70" i="3"/>
  <c r="AA70" i="3"/>
  <c r="Z70" i="3"/>
  <c r="Y70" i="3"/>
  <c r="X70" i="3"/>
  <c r="W70" i="3"/>
  <c r="V70" i="3"/>
  <c r="U70" i="3"/>
  <c r="T70" i="3"/>
  <c r="S70" i="3"/>
  <c r="R70" i="3"/>
  <c r="Q70" i="3"/>
  <c r="P70" i="3"/>
  <c r="O70" i="3"/>
  <c r="N70" i="3"/>
  <c r="AB69" i="3"/>
  <c r="AA69" i="3"/>
  <c r="Z69" i="3"/>
  <c r="Y69" i="3"/>
  <c r="X69" i="3"/>
  <c r="W69" i="3"/>
  <c r="V69" i="3"/>
  <c r="U69" i="3"/>
  <c r="T69" i="3"/>
  <c r="S69" i="3"/>
  <c r="R69" i="3"/>
  <c r="Q69" i="3"/>
  <c r="P69" i="3"/>
  <c r="O69" i="3"/>
  <c r="N69" i="3"/>
  <c r="AB68" i="3"/>
  <c r="AA68" i="3"/>
  <c r="Z68" i="3"/>
  <c r="Y68" i="3"/>
  <c r="X68" i="3"/>
  <c r="W68" i="3"/>
  <c r="V68" i="3"/>
  <c r="U68" i="3"/>
  <c r="T68" i="3"/>
  <c r="S68" i="3"/>
  <c r="R68" i="3"/>
  <c r="Q68" i="3"/>
  <c r="P68" i="3"/>
  <c r="O68" i="3"/>
  <c r="N68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AB66" i="3"/>
  <c r="AA66" i="3"/>
  <c r="Z66" i="3"/>
  <c r="Y66" i="3"/>
  <c r="X66" i="3"/>
  <c r="W66" i="3"/>
  <c r="V66" i="3"/>
  <c r="U66" i="3"/>
  <c r="T66" i="3"/>
  <c r="S66" i="3"/>
  <c r="R66" i="3"/>
  <c r="Q66" i="3"/>
  <c r="P66" i="3"/>
  <c r="O66" i="3"/>
  <c r="N66" i="3"/>
  <c r="AB65" i="3"/>
  <c r="AA65" i="3"/>
  <c r="Z65" i="3"/>
  <c r="Y65" i="3"/>
  <c r="X65" i="3"/>
  <c r="W65" i="3"/>
  <c r="V65" i="3"/>
  <c r="U65" i="3"/>
  <c r="T65" i="3"/>
  <c r="S65" i="3"/>
  <c r="R65" i="3"/>
  <c r="Q65" i="3"/>
  <c r="P65" i="3"/>
  <c r="O65" i="3"/>
  <c r="N65" i="3"/>
  <c r="AB64" i="3"/>
  <c r="AA64" i="3"/>
  <c r="Z64" i="3"/>
  <c r="Y64" i="3"/>
  <c r="X64" i="3"/>
  <c r="W64" i="3"/>
  <c r="V64" i="3"/>
  <c r="U64" i="3"/>
  <c r="T64" i="3"/>
  <c r="S64" i="3"/>
  <c r="R64" i="3"/>
  <c r="Q64" i="3"/>
  <c r="P64" i="3"/>
  <c r="O64" i="3"/>
  <c r="N64" i="3"/>
  <c r="AB63" i="3"/>
  <c r="AA63" i="3"/>
  <c r="Z63" i="3"/>
  <c r="Y63" i="3"/>
  <c r="X63" i="3"/>
  <c r="W63" i="3"/>
  <c r="V63" i="3"/>
  <c r="U63" i="3"/>
  <c r="T63" i="3"/>
  <c r="S63" i="3"/>
  <c r="R63" i="3"/>
  <c r="Q63" i="3"/>
  <c r="P63" i="3"/>
  <c r="O63" i="3"/>
  <c r="N63" i="3"/>
  <c r="AB62" i="3"/>
  <c r="AA62" i="3"/>
  <c r="Z62" i="3"/>
  <c r="Y62" i="3"/>
  <c r="X62" i="3"/>
  <c r="W62" i="3"/>
  <c r="V62" i="3"/>
  <c r="U62" i="3"/>
  <c r="T62" i="3"/>
  <c r="S62" i="3"/>
  <c r="R62" i="3"/>
  <c r="Q62" i="3"/>
  <c r="P62" i="3"/>
  <c r="O62" i="3"/>
  <c r="N62" i="3"/>
  <c r="AB61" i="3"/>
  <c r="AA61" i="3"/>
  <c r="Z61" i="3"/>
  <c r="Y61" i="3"/>
  <c r="X61" i="3"/>
  <c r="W61" i="3"/>
  <c r="V61" i="3"/>
  <c r="U61" i="3"/>
  <c r="T61" i="3"/>
  <c r="S61" i="3"/>
  <c r="R61" i="3"/>
  <c r="Q61" i="3"/>
  <c r="P61" i="3"/>
  <c r="O61" i="3"/>
  <c r="C61" i="3" s="1"/>
  <c r="N61" i="3"/>
  <c r="AB60" i="3"/>
  <c r="AA60" i="3"/>
  <c r="Z60" i="3"/>
  <c r="Y60" i="3"/>
  <c r="X60" i="3"/>
  <c r="W60" i="3"/>
  <c r="V60" i="3"/>
  <c r="U60" i="3"/>
  <c r="T60" i="3"/>
  <c r="S60" i="3"/>
  <c r="R60" i="3"/>
  <c r="Q60" i="3"/>
  <c r="P60" i="3"/>
  <c r="O60" i="3"/>
  <c r="N60" i="3"/>
  <c r="AB59" i="3"/>
  <c r="AA59" i="3"/>
  <c r="Z59" i="3"/>
  <c r="Y59" i="3"/>
  <c r="X59" i="3"/>
  <c r="W59" i="3"/>
  <c r="V59" i="3"/>
  <c r="U59" i="3"/>
  <c r="T59" i="3"/>
  <c r="S59" i="3"/>
  <c r="R59" i="3"/>
  <c r="Q59" i="3"/>
  <c r="P59" i="3"/>
  <c r="O59" i="3"/>
  <c r="N59" i="3"/>
  <c r="AB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AB57" i="3"/>
  <c r="AA57" i="3"/>
  <c r="Z57" i="3"/>
  <c r="Y57" i="3"/>
  <c r="X57" i="3"/>
  <c r="W57" i="3"/>
  <c r="V57" i="3"/>
  <c r="U57" i="3"/>
  <c r="T57" i="3"/>
  <c r="S57" i="3"/>
  <c r="R57" i="3"/>
  <c r="Q57" i="3"/>
  <c r="P57" i="3"/>
  <c r="O57" i="3"/>
  <c r="N57" i="3"/>
  <c r="AB56" i="3"/>
  <c r="AA56" i="3"/>
  <c r="Z56" i="3"/>
  <c r="Y56" i="3"/>
  <c r="X56" i="3"/>
  <c r="W56" i="3"/>
  <c r="V56" i="3"/>
  <c r="U56" i="3"/>
  <c r="T56" i="3"/>
  <c r="S56" i="3"/>
  <c r="R56" i="3"/>
  <c r="Q56" i="3"/>
  <c r="P56" i="3"/>
  <c r="O56" i="3"/>
  <c r="N56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AB54" i="3"/>
  <c r="AA54" i="3"/>
  <c r="Z54" i="3"/>
  <c r="Y54" i="3"/>
  <c r="X54" i="3"/>
  <c r="W54" i="3"/>
  <c r="V54" i="3"/>
  <c r="U54" i="3"/>
  <c r="T54" i="3"/>
  <c r="S54" i="3"/>
  <c r="R54" i="3"/>
  <c r="Q54" i="3"/>
  <c r="P54" i="3"/>
  <c r="O54" i="3"/>
  <c r="N54" i="3"/>
  <c r="AB53" i="3"/>
  <c r="AA53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AB51" i="3"/>
  <c r="AA51" i="3"/>
  <c r="Z51" i="3"/>
  <c r="Y51" i="3"/>
  <c r="X51" i="3"/>
  <c r="W51" i="3"/>
  <c r="V51" i="3"/>
  <c r="U51" i="3"/>
  <c r="T51" i="3"/>
  <c r="S51" i="3"/>
  <c r="R51" i="3"/>
  <c r="Q51" i="3"/>
  <c r="P51" i="3"/>
  <c r="O51" i="3"/>
  <c r="N51" i="3"/>
  <c r="AB50" i="3"/>
  <c r="AA50" i="3"/>
  <c r="Z50" i="3"/>
  <c r="Y50" i="3"/>
  <c r="X50" i="3"/>
  <c r="W50" i="3"/>
  <c r="V50" i="3"/>
  <c r="U50" i="3"/>
  <c r="T50" i="3"/>
  <c r="S50" i="3"/>
  <c r="R50" i="3"/>
  <c r="Q50" i="3"/>
  <c r="P50" i="3"/>
  <c r="O50" i="3"/>
  <c r="N50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AB48" i="3"/>
  <c r="AA48" i="3"/>
  <c r="Z48" i="3"/>
  <c r="Y48" i="3"/>
  <c r="X48" i="3"/>
  <c r="W48" i="3"/>
  <c r="V48" i="3"/>
  <c r="U48" i="3"/>
  <c r="T48" i="3"/>
  <c r="S48" i="3"/>
  <c r="R48" i="3"/>
  <c r="Q48" i="3"/>
  <c r="P48" i="3"/>
  <c r="O48" i="3"/>
  <c r="N48" i="3"/>
  <c r="AB47" i="3"/>
  <c r="AA47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AB45" i="3"/>
  <c r="AA45" i="3"/>
  <c r="Z45" i="3"/>
  <c r="Y45" i="3"/>
  <c r="X45" i="3"/>
  <c r="W45" i="3"/>
  <c r="V45" i="3"/>
  <c r="U45" i="3"/>
  <c r="T45" i="3"/>
  <c r="S45" i="3"/>
  <c r="R45" i="3"/>
  <c r="Q45" i="3"/>
  <c r="P45" i="3"/>
  <c r="O45" i="3"/>
  <c r="N45" i="3"/>
  <c r="AB44" i="3"/>
  <c r="AA44" i="3"/>
  <c r="Z44" i="3"/>
  <c r="Y44" i="3"/>
  <c r="X44" i="3"/>
  <c r="W44" i="3"/>
  <c r="V44" i="3"/>
  <c r="D44" i="3" s="1"/>
  <c r="U44" i="3"/>
  <c r="T44" i="3"/>
  <c r="S44" i="3"/>
  <c r="R44" i="3"/>
  <c r="Q44" i="3"/>
  <c r="P44" i="3"/>
  <c r="O44" i="3"/>
  <c r="N44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AB41" i="3"/>
  <c r="AA41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V38" i="3"/>
  <c r="U38" i="3"/>
  <c r="T38" i="3"/>
  <c r="S38" i="3"/>
  <c r="R38" i="3"/>
  <c r="Q38" i="3"/>
  <c r="P38" i="3"/>
  <c r="O38" i="3"/>
  <c r="N38" i="3"/>
  <c r="M38" i="3"/>
  <c r="L38" i="3"/>
  <c r="K38" i="3"/>
  <c r="G38" i="3"/>
  <c r="F38" i="3"/>
  <c r="E38" i="3"/>
  <c r="V37" i="3"/>
  <c r="U37" i="3"/>
  <c r="T37" i="3"/>
  <c r="S37" i="3"/>
  <c r="R37" i="3"/>
  <c r="Q37" i="3"/>
  <c r="P37" i="3"/>
  <c r="O37" i="3"/>
  <c r="N37" i="3"/>
  <c r="M37" i="3"/>
  <c r="L37" i="3"/>
  <c r="K37" i="3"/>
  <c r="G37" i="3"/>
  <c r="F37" i="3"/>
  <c r="E37" i="3"/>
  <c r="V36" i="3"/>
  <c r="U36" i="3"/>
  <c r="T36" i="3"/>
  <c r="S36" i="3"/>
  <c r="R36" i="3"/>
  <c r="Q36" i="3"/>
  <c r="P36" i="3"/>
  <c r="O36" i="3"/>
  <c r="N36" i="3"/>
  <c r="M36" i="3"/>
  <c r="L36" i="3"/>
  <c r="K36" i="3"/>
  <c r="G36" i="3"/>
  <c r="F36" i="3"/>
  <c r="E36" i="3"/>
  <c r="V35" i="3"/>
  <c r="U35" i="3"/>
  <c r="T35" i="3"/>
  <c r="S35" i="3"/>
  <c r="R35" i="3"/>
  <c r="Q35" i="3"/>
  <c r="P35" i="3"/>
  <c r="O35" i="3"/>
  <c r="N35" i="3"/>
  <c r="M35" i="3"/>
  <c r="L35" i="3"/>
  <c r="K35" i="3"/>
  <c r="G35" i="3"/>
  <c r="F35" i="3"/>
  <c r="E35" i="3"/>
  <c r="V34" i="3"/>
  <c r="U34" i="3"/>
  <c r="T34" i="3"/>
  <c r="S34" i="3"/>
  <c r="R34" i="3"/>
  <c r="Q34" i="3"/>
  <c r="P34" i="3"/>
  <c r="O34" i="3"/>
  <c r="N34" i="3"/>
  <c r="M34" i="3"/>
  <c r="L34" i="3"/>
  <c r="K34" i="3"/>
  <c r="G34" i="3"/>
  <c r="F34" i="3"/>
  <c r="E34" i="3"/>
  <c r="V33" i="3"/>
  <c r="U33" i="3"/>
  <c r="T33" i="3"/>
  <c r="S33" i="3"/>
  <c r="R33" i="3"/>
  <c r="Q33" i="3"/>
  <c r="P33" i="3"/>
  <c r="O33" i="3"/>
  <c r="N33" i="3"/>
  <c r="M33" i="3"/>
  <c r="L33" i="3"/>
  <c r="K33" i="3"/>
  <c r="G33" i="3"/>
  <c r="F33" i="3"/>
  <c r="E33" i="3"/>
  <c r="V32" i="3"/>
  <c r="U32" i="3"/>
  <c r="T32" i="3"/>
  <c r="S32" i="3"/>
  <c r="R32" i="3"/>
  <c r="Q32" i="3"/>
  <c r="P32" i="3"/>
  <c r="O32" i="3"/>
  <c r="N32" i="3"/>
  <c r="M32" i="3"/>
  <c r="L32" i="3"/>
  <c r="K32" i="3"/>
  <c r="G32" i="3"/>
  <c r="F32" i="3"/>
  <c r="E32" i="3"/>
  <c r="V31" i="3"/>
  <c r="U31" i="3"/>
  <c r="T31" i="3"/>
  <c r="S31" i="3"/>
  <c r="R31" i="3"/>
  <c r="Q31" i="3"/>
  <c r="P31" i="3"/>
  <c r="O31" i="3"/>
  <c r="N31" i="3"/>
  <c r="M31" i="3"/>
  <c r="L31" i="3"/>
  <c r="K31" i="3"/>
  <c r="G31" i="3"/>
  <c r="F31" i="3"/>
  <c r="E31" i="3"/>
  <c r="V30" i="3"/>
  <c r="U30" i="3"/>
  <c r="T30" i="3"/>
  <c r="S30" i="3"/>
  <c r="R30" i="3"/>
  <c r="Q30" i="3"/>
  <c r="P30" i="3"/>
  <c r="O30" i="3"/>
  <c r="N30" i="3"/>
  <c r="M30" i="3"/>
  <c r="L30" i="3"/>
  <c r="K30" i="3"/>
  <c r="G30" i="3"/>
  <c r="F30" i="3"/>
  <c r="E30" i="3"/>
  <c r="V29" i="3"/>
  <c r="U29" i="3"/>
  <c r="T29" i="3"/>
  <c r="S29" i="3"/>
  <c r="R29" i="3"/>
  <c r="Q29" i="3"/>
  <c r="P29" i="3"/>
  <c r="O29" i="3"/>
  <c r="N29" i="3"/>
  <c r="M29" i="3"/>
  <c r="L29" i="3"/>
  <c r="K29" i="3"/>
  <c r="G29" i="3"/>
  <c r="F29" i="3"/>
  <c r="E29" i="3"/>
  <c r="V28" i="3"/>
  <c r="U28" i="3"/>
  <c r="T28" i="3"/>
  <c r="S28" i="3"/>
  <c r="R28" i="3"/>
  <c r="Q28" i="3"/>
  <c r="P28" i="3"/>
  <c r="D28" i="3" s="1"/>
  <c r="O28" i="3"/>
  <c r="N28" i="3"/>
  <c r="M28" i="3"/>
  <c r="L28" i="3"/>
  <c r="K28" i="3"/>
  <c r="G28" i="3"/>
  <c r="F28" i="3"/>
  <c r="E28" i="3"/>
  <c r="V27" i="3"/>
  <c r="U27" i="3"/>
  <c r="T27" i="3"/>
  <c r="S27" i="3"/>
  <c r="R27" i="3"/>
  <c r="Q27" i="3"/>
  <c r="P27" i="3"/>
  <c r="O27" i="3"/>
  <c r="N27" i="3"/>
  <c r="M27" i="3"/>
  <c r="L27" i="3"/>
  <c r="K27" i="3"/>
  <c r="G27" i="3"/>
  <c r="F27" i="3"/>
  <c r="E27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S14" i="3"/>
  <c r="R14" i="3"/>
  <c r="Q14" i="3"/>
  <c r="P14" i="3"/>
  <c r="O14" i="3"/>
  <c r="N14" i="3"/>
  <c r="M14" i="3"/>
  <c r="L14" i="3"/>
  <c r="K14" i="3"/>
  <c r="J14" i="3"/>
  <c r="I14" i="3"/>
  <c r="H14" i="3"/>
  <c r="B14" i="3" s="1"/>
  <c r="G14" i="3"/>
  <c r="F14" i="3"/>
  <c r="E14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S5" i="3"/>
  <c r="R5" i="3"/>
  <c r="Q5" i="3"/>
  <c r="P5" i="3"/>
  <c r="O5" i="3"/>
  <c r="N5" i="3"/>
  <c r="M5" i="3"/>
  <c r="L5" i="3"/>
  <c r="K5" i="3"/>
  <c r="J5" i="3"/>
  <c r="I5" i="3"/>
  <c r="H5" i="3"/>
  <c r="G5" i="3"/>
  <c r="D5" i="3" s="1"/>
  <c r="F5" i="3"/>
  <c r="E5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C4" i="3" s="1"/>
  <c r="E4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C294" i="3" l="1"/>
  <c r="B329" i="3"/>
  <c r="E10" i="4"/>
  <c r="AD10" i="4"/>
  <c r="C30" i="3"/>
  <c r="B61" i="3"/>
  <c r="B81" i="3"/>
  <c r="D84" i="3"/>
  <c r="C88" i="3"/>
  <c r="B101" i="3"/>
  <c r="B105" i="3"/>
  <c r="D105" i="3"/>
  <c r="B129" i="3"/>
  <c r="B133" i="3"/>
  <c r="B148" i="3"/>
  <c r="B151" i="3"/>
  <c r="B158" i="3"/>
  <c r="B169" i="3"/>
  <c r="D171" i="3"/>
  <c r="C209" i="3"/>
  <c r="C213" i="3"/>
  <c r="D281" i="3"/>
  <c r="D297" i="3"/>
  <c r="B309" i="3"/>
  <c r="C326" i="3"/>
  <c r="D327" i="3"/>
  <c r="B333" i="3"/>
  <c r="D335" i="3"/>
  <c r="B341" i="3"/>
  <c r="B344" i="3"/>
  <c r="B349" i="3"/>
  <c r="C351" i="3"/>
  <c r="D352" i="3"/>
  <c r="B358" i="3"/>
  <c r="B366" i="3"/>
  <c r="D368" i="3"/>
  <c r="D372" i="3"/>
  <c r="D376" i="3"/>
  <c r="J7" i="4"/>
  <c r="I8" i="4"/>
  <c r="H9" i="4"/>
  <c r="B10" i="4"/>
  <c r="K10" i="4"/>
  <c r="J11" i="4"/>
  <c r="AH9" i="4"/>
  <c r="AI8" i="4"/>
  <c r="AJ7" i="4"/>
  <c r="AJ11" i="4"/>
  <c r="AK10" i="4"/>
  <c r="AL9" i="4"/>
  <c r="C22" i="4" s="1"/>
  <c r="AM8" i="4"/>
  <c r="C23" i="4" s="1"/>
  <c r="D13" i="3"/>
  <c r="D14" i="3"/>
  <c r="C14" i="3"/>
  <c r="B17" i="3"/>
  <c r="C29" i="3"/>
  <c r="D34" i="3"/>
  <c r="B64" i="3"/>
  <c r="B154" i="3"/>
  <c r="B6" i="3"/>
  <c r="D7" i="3"/>
  <c r="C10" i="3"/>
  <c r="B13" i="3"/>
  <c r="C15" i="3"/>
  <c r="D16" i="3"/>
  <c r="C31" i="3"/>
  <c r="D32" i="3"/>
  <c r="C47" i="3"/>
  <c r="D48" i="3"/>
  <c r="D60" i="3"/>
  <c r="C140" i="3"/>
  <c r="C146" i="3"/>
  <c r="D147" i="3"/>
  <c r="C180" i="3"/>
  <c r="C208" i="3"/>
  <c r="C212" i="3"/>
  <c r="C247" i="3"/>
  <c r="B275" i="3"/>
  <c r="D279" i="3"/>
  <c r="B306" i="3"/>
  <c r="D314" i="3"/>
  <c r="B316" i="3"/>
  <c r="D329" i="3"/>
  <c r="B343" i="3"/>
  <c r="D345" i="3"/>
  <c r="B365" i="3"/>
  <c r="D370" i="3"/>
  <c r="C370" i="3"/>
  <c r="E7" i="4"/>
  <c r="D8" i="4"/>
  <c r="C38" i="4" s="1"/>
  <c r="C9" i="4"/>
  <c r="C37" i="4" s="1"/>
  <c r="E11" i="4"/>
  <c r="AA10" i="4"/>
  <c r="AB9" i="4"/>
  <c r="AC8" i="4"/>
  <c r="C42" i="4" s="1"/>
  <c r="AD7" i="4"/>
  <c r="AD11" i="4"/>
  <c r="AE10" i="4"/>
  <c r="AF9" i="4"/>
  <c r="B23" i="4" s="1"/>
  <c r="B18" i="3"/>
  <c r="D23" i="3"/>
  <c r="C27" i="3"/>
  <c r="B34" i="3"/>
  <c r="D39" i="3"/>
  <c r="C43" i="3"/>
  <c r="B50" i="3"/>
  <c r="C59" i="3"/>
  <c r="D68" i="3"/>
  <c r="B69" i="3"/>
  <c r="B10" i="3"/>
  <c r="D18" i="3"/>
  <c r="C45" i="3"/>
  <c r="D50" i="3"/>
  <c r="D62" i="3"/>
  <c r="C65" i="3"/>
  <c r="D66" i="3"/>
  <c r="D151" i="3"/>
  <c r="D9" i="3"/>
  <c r="B12" i="3"/>
  <c r="B24" i="3"/>
  <c r="C25" i="3"/>
  <c r="B29" i="3"/>
  <c r="B40" i="3"/>
  <c r="C41" i="3"/>
  <c r="B45" i="3"/>
  <c r="B56" i="3"/>
  <c r="C57" i="3"/>
  <c r="C62" i="3"/>
  <c r="D63" i="3"/>
  <c r="B79" i="3"/>
  <c r="C80" i="3"/>
  <c r="B87" i="3"/>
  <c r="D108" i="3"/>
  <c r="D140" i="3"/>
  <c r="B164" i="3"/>
  <c r="B165" i="3"/>
  <c r="D166" i="3"/>
  <c r="C195" i="3"/>
  <c r="C207" i="3"/>
  <c r="C211" i="3"/>
  <c r="C245" i="3"/>
  <c r="B262" i="3"/>
  <c r="D273" i="3"/>
  <c r="C291" i="3"/>
  <c r="D292" i="3"/>
  <c r="B302" i="3"/>
  <c r="D302" i="3"/>
  <c r="B307" i="3"/>
  <c r="D309" i="3"/>
  <c r="B310" i="3"/>
  <c r="D317" i="3"/>
  <c r="B321" i="3"/>
  <c r="C322" i="3"/>
  <c r="B339" i="3"/>
  <c r="D361" i="3"/>
  <c r="D369" i="3"/>
  <c r="B7" i="4"/>
  <c r="K7" i="4"/>
  <c r="J8" i="4"/>
  <c r="I9" i="4"/>
  <c r="H10" i="4"/>
  <c r="B11" i="4"/>
  <c r="K11" i="4"/>
  <c r="AH10" i="4"/>
  <c r="AI9" i="4"/>
  <c r="AJ8" i="4"/>
  <c r="AK7" i="4"/>
  <c r="AK11" i="4"/>
  <c r="AL10" i="4"/>
  <c r="F43" i="4" s="1"/>
  <c r="AM9" i="4"/>
  <c r="B78" i="3"/>
  <c r="D78" i="3"/>
  <c r="C79" i="3"/>
  <c r="B86" i="3"/>
  <c r="C106" i="3"/>
  <c r="C128" i="3"/>
  <c r="C139" i="3"/>
  <c r="B171" i="3"/>
  <c r="D187" i="3"/>
  <c r="C206" i="3"/>
  <c r="C210" i="3"/>
  <c r="D219" i="3"/>
  <c r="C227" i="3"/>
  <c r="D235" i="3"/>
  <c r="C236" i="3"/>
  <c r="C244" i="3"/>
  <c r="B269" i="3"/>
  <c r="C285" i="3"/>
  <c r="D286" i="3"/>
  <c r="C315" i="3"/>
  <c r="D316" i="3"/>
  <c r="D320" i="3"/>
  <c r="D324" i="3"/>
  <c r="D340" i="3"/>
  <c r="E8" i="4"/>
  <c r="D9" i="4"/>
  <c r="C10" i="4"/>
  <c r="AA7" i="4"/>
  <c r="AA11" i="4"/>
  <c r="AB10" i="4"/>
  <c r="AC9" i="4"/>
  <c r="B20" i="4" s="1"/>
  <c r="AD8" i="4"/>
  <c r="AE7" i="4"/>
  <c r="AE11" i="4"/>
  <c r="AF10" i="4"/>
  <c r="B19" i="3"/>
  <c r="D21" i="3"/>
  <c r="C24" i="3"/>
  <c r="B35" i="3"/>
  <c r="D37" i="3"/>
  <c r="C40" i="3"/>
  <c r="B51" i="3"/>
  <c r="D53" i="3"/>
  <c r="C56" i="3"/>
  <c r="B67" i="3"/>
  <c r="C73" i="3"/>
  <c r="B77" i="3"/>
  <c r="C78" i="3"/>
  <c r="C100" i="3"/>
  <c r="B109" i="3"/>
  <c r="C114" i="3"/>
  <c r="B117" i="3"/>
  <c r="D122" i="3"/>
  <c r="C127" i="3"/>
  <c r="C138" i="3"/>
  <c r="C163" i="3"/>
  <c r="B170" i="3"/>
  <c r="C185" i="3"/>
  <c r="D186" i="3"/>
  <c r="D194" i="3"/>
  <c r="B203" i="3"/>
  <c r="B208" i="3"/>
  <c r="D208" i="3"/>
  <c r="B216" i="3"/>
  <c r="C217" i="3"/>
  <c r="D254" i="3"/>
  <c r="C261" i="3"/>
  <c r="D262" i="3"/>
  <c r="B268" i="3"/>
  <c r="C306" i="3"/>
  <c r="B319" i="3"/>
  <c r="B354" i="3"/>
  <c r="C355" i="3"/>
  <c r="D356" i="3"/>
  <c r="B362" i="3"/>
  <c r="D364" i="3"/>
  <c r="J9" i="4"/>
  <c r="AJ9" i="4"/>
  <c r="B175" i="3"/>
  <c r="B183" i="3"/>
  <c r="E9" i="4"/>
  <c r="D10" i="4"/>
  <c r="C11" i="4"/>
  <c r="AA8" i="4"/>
  <c r="AB7" i="4"/>
  <c r="AB11" i="4"/>
  <c r="AD9" i="4"/>
  <c r="D55" i="3"/>
  <c r="B33" i="3"/>
  <c r="C46" i="3"/>
  <c r="B49" i="3"/>
  <c r="B68" i="3"/>
  <c r="D77" i="3"/>
  <c r="D96" i="3"/>
  <c r="C98" i="3"/>
  <c r="C125" i="3"/>
  <c r="B131" i="3"/>
  <c r="C135" i="3"/>
  <c r="D157" i="3"/>
  <c r="B161" i="3"/>
  <c r="D165" i="3"/>
  <c r="D170" i="3"/>
  <c r="C172" i="3"/>
  <c r="D175" i="3"/>
  <c r="B182" i="3"/>
  <c r="B206" i="3"/>
  <c r="D211" i="3"/>
  <c r="C221" i="3"/>
  <c r="B222" i="3"/>
  <c r="C225" i="3"/>
  <c r="D245" i="3"/>
  <c r="D261" i="3"/>
  <c r="B281" i="3"/>
  <c r="C282" i="3"/>
  <c r="D283" i="3"/>
  <c r="B327" i="3"/>
  <c r="C336" i="3"/>
  <c r="I7" i="4"/>
  <c r="B32" i="4" s="1"/>
  <c r="H8" i="4"/>
  <c r="C27" i="4" s="1"/>
  <c r="K9" i="4"/>
  <c r="J10" i="4"/>
  <c r="I11" i="4"/>
  <c r="AH8" i="4"/>
  <c r="C18" i="4" s="1"/>
  <c r="AI7" i="4"/>
  <c r="C31" i="4" s="1"/>
  <c r="AI11" i="4"/>
  <c r="B36" i="3"/>
  <c r="B59" i="3"/>
  <c r="D124" i="3"/>
  <c r="B127" i="3"/>
  <c r="D149" i="3"/>
  <c r="D154" i="3"/>
  <c r="C159" i="3"/>
  <c r="B190" i="3"/>
  <c r="D3" i="3"/>
  <c r="B27" i="3"/>
  <c r="C110" i="3"/>
  <c r="B115" i="3"/>
  <c r="B118" i="3"/>
  <c r="B124" i="3"/>
  <c r="C133" i="3"/>
  <c r="C20" i="3"/>
  <c r="B31" i="3"/>
  <c r="D86" i="3"/>
  <c r="B88" i="3"/>
  <c r="D100" i="3"/>
  <c r="B102" i="3"/>
  <c r="C103" i="3"/>
  <c r="D104" i="3"/>
  <c r="B113" i="3"/>
  <c r="B114" i="3"/>
  <c r="C115" i="3"/>
  <c r="D116" i="3"/>
  <c r="C118" i="3"/>
  <c r="C122" i="3"/>
  <c r="B123" i="3"/>
  <c r="C132" i="3"/>
  <c r="B138" i="3"/>
  <c r="B139" i="3"/>
  <c r="D144" i="3"/>
  <c r="C152" i="3"/>
  <c r="D168" i="3"/>
  <c r="B285" i="3"/>
  <c r="D343" i="3"/>
  <c r="B351" i="3"/>
  <c r="D10" i="3"/>
  <c r="C13" i="3"/>
  <c r="C16" i="3"/>
  <c r="D24" i="3"/>
  <c r="D167" i="3"/>
  <c r="D176" i="3"/>
  <c r="D182" i="3"/>
  <c r="B212" i="3"/>
  <c r="D221" i="3"/>
  <c r="B239" i="3"/>
  <c r="C249" i="3"/>
  <c r="B251" i="3"/>
  <c r="C276" i="3"/>
  <c r="B276" i="3"/>
  <c r="D277" i="3"/>
  <c r="B280" i="3"/>
  <c r="D280" i="3"/>
  <c r="B289" i="3"/>
  <c r="D296" i="3"/>
  <c r="D365" i="3"/>
  <c r="B122" i="3"/>
  <c r="B125" i="3"/>
  <c r="B126" i="3"/>
  <c r="B3" i="3"/>
  <c r="C36" i="3"/>
  <c r="C52" i="3"/>
  <c r="D6" i="3"/>
  <c r="C6" i="3"/>
  <c r="C9" i="3"/>
  <c r="C12" i="3"/>
  <c r="D15" i="3"/>
  <c r="C23" i="3"/>
  <c r="C26" i="3"/>
  <c r="D27" i="3"/>
  <c r="D31" i="3"/>
  <c r="C39" i="3"/>
  <c r="C42" i="3"/>
  <c r="D90" i="3"/>
  <c r="B91" i="3"/>
  <c r="D103" i="3"/>
  <c r="C145" i="3"/>
  <c r="C147" i="3"/>
  <c r="D152" i="3"/>
  <c r="C11" i="3"/>
  <c r="B15" i="3"/>
  <c r="D19" i="3"/>
  <c r="D35" i="3"/>
  <c r="B39" i="3"/>
  <c r="D42" i="3"/>
  <c r="C48" i="3"/>
  <c r="C51" i="3"/>
  <c r="B55" i="3"/>
  <c r="D58" i="3"/>
  <c r="C70" i="3"/>
  <c r="C71" i="3"/>
  <c r="D81" i="3"/>
  <c r="C85" i="3"/>
  <c r="B99" i="3"/>
  <c r="B103" i="3"/>
  <c r="B107" i="3"/>
  <c r="D117" i="3"/>
  <c r="C117" i="3"/>
  <c r="C121" i="3"/>
  <c r="C130" i="3"/>
  <c r="D132" i="3"/>
  <c r="C143" i="3"/>
  <c r="C150" i="3"/>
  <c r="C177" i="3"/>
  <c r="D181" i="3"/>
  <c r="D216" i="3"/>
  <c r="C219" i="3"/>
  <c r="B220" i="3"/>
  <c r="C239" i="3"/>
  <c r="C303" i="3"/>
  <c r="D304" i="3"/>
  <c r="B20" i="3"/>
  <c r="B28" i="3"/>
  <c r="D40" i="3"/>
  <c r="B43" i="3"/>
  <c r="B44" i="3"/>
  <c r="B52" i="3"/>
  <c r="D56" i="3"/>
  <c r="D92" i="3"/>
  <c r="C94" i="3"/>
  <c r="C104" i="3"/>
  <c r="D43" i="3"/>
  <c r="D47" i="3"/>
  <c r="C64" i="3"/>
  <c r="C67" i="3"/>
  <c r="D70" i="3"/>
  <c r="D76" i="3"/>
  <c r="C92" i="3"/>
  <c r="D121" i="3"/>
  <c r="C123" i="3"/>
  <c r="C131" i="3"/>
  <c r="C148" i="3"/>
  <c r="B8" i="3"/>
  <c r="B9" i="3"/>
  <c r="D12" i="3"/>
  <c r="C19" i="3"/>
  <c r="B23" i="3"/>
  <c r="D26" i="3"/>
  <c r="C32" i="3"/>
  <c r="C35" i="3"/>
  <c r="D51" i="3"/>
  <c r="B63" i="3"/>
  <c r="D75" i="3"/>
  <c r="B85" i="3"/>
  <c r="B95" i="3"/>
  <c r="B97" i="3"/>
  <c r="B98" i="3"/>
  <c r="C101" i="3"/>
  <c r="D102" i="3"/>
  <c r="C112" i="3"/>
  <c r="D113" i="3"/>
  <c r="C5" i="3"/>
  <c r="C8" i="3"/>
  <c r="D11" i="3"/>
  <c r="B21" i="3"/>
  <c r="C22" i="3"/>
  <c r="D30" i="3"/>
  <c r="B37" i="3"/>
  <c r="C38" i="3"/>
  <c r="B47" i="3"/>
  <c r="B53" i="3"/>
  <c r="C54" i="3"/>
  <c r="C66" i="3"/>
  <c r="C69" i="3"/>
  <c r="D80" i="3"/>
  <c r="C84" i="3"/>
  <c r="D85" i="3"/>
  <c r="C90" i="3"/>
  <c r="B90" i="3"/>
  <c r="D94" i="3"/>
  <c r="C96" i="3"/>
  <c r="D101" i="3"/>
  <c r="B106" i="3"/>
  <c r="D106" i="3"/>
  <c r="D112" i="3"/>
  <c r="C120" i="3"/>
  <c r="C126" i="3"/>
  <c r="C129" i="3"/>
  <c r="C142" i="3"/>
  <c r="B156" i="3"/>
  <c r="D156" i="3"/>
  <c r="B159" i="3"/>
  <c r="D159" i="3"/>
  <c r="D163" i="3"/>
  <c r="C171" i="3"/>
  <c r="C179" i="3"/>
  <c r="B181" i="3"/>
  <c r="D215" i="3"/>
  <c r="B223" i="3"/>
  <c r="B259" i="3"/>
  <c r="D269" i="3"/>
  <c r="D275" i="3"/>
  <c r="B315" i="3"/>
  <c r="B330" i="3"/>
  <c r="B369" i="3"/>
  <c r="C378" i="3"/>
  <c r="C55" i="3"/>
  <c r="C58" i="3"/>
  <c r="D59" i="3"/>
  <c r="D67" i="3"/>
  <c r="B72" i="3"/>
  <c r="C75" i="3"/>
  <c r="C109" i="3"/>
  <c r="B4" i="3"/>
  <c r="B5" i="3"/>
  <c r="C7" i="3"/>
  <c r="D8" i="3"/>
  <c r="B11" i="3"/>
  <c r="C18" i="3"/>
  <c r="C21" i="3"/>
  <c r="D22" i="3"/>
  <c r="B25" i="3"/>
  <c r="C34" i="3"/>
  <c r="C37" i="3"/>
  <c r="D38" i="3"/>
  <c r="B41" i="3"/>
  <c r="C50" i="3"/>
  <c r="C53" i="3"/>
  <c r="D54" i="3"/>
  <c r="B57" i="3"/>
  <c r="B65" i="3"/>
  <c r="B66" i="3"/>
  <c r="B75" i="3"/>
  <c r="D95" i="3"/>
  <c r="C95" i="3"/>
  <c r="B108" i="3"/>
  <c r="C111" i="3"/>
  <c r="B146" i="3"/>
  <c r="B155" i="3"/>
  <c r="D160" i="3"/>
  <c r="C168" i="3"/>
  <c r="D169" i="3"/>
  <c r="C173" i="3"/>
  <c r="B176" i="3"/>
  <c r="C178" i="3"/>
  <c r="B178" i="3"/>
  <c r="D179" i="3"/>
  <c r="D214" i="3"/>
  <c r="B236" i="3"/>
  <c r="C237" i="3"/>
  <c r="B263" i="3"/>
  <c r="D265" i="3"/>
  <c r="D288" i="3"/>
  <c r="D328" i="3"/>
  <c r="B342" i="3"/>
  <c r="C3" i="3"/>
  <c r="D4" i="3"/>
  <c r="B7" i="3"/>
  <c r="B16" i="3"/>
  <c r="C17" i="3"/>
  <c r="D20" i="3"/>
  <c r="C28" i="3"/>
  <c r="B32" i="3"/>
  <c r="C33" i="3"/>
  <c r="D36" i="3"/>
  <c r="C44" i="3"/>
  <c r="D46" i="3"/>
  <c r="B48" i="3"/>
  <c r="C49" i="3"/>
  <c r="D52" i="3"/>
  <c r="C60" i="3"/>
  <c r="C82" i="3"/>
  <c r="B116" i="3"/>
  <c r="D118" i="3"/>
  <c r="B119" i="3"/>
  <c r="C134" i="3"/>
  <c r="B150" i="3"/>
  <c r="D150" i="3"/>
  <c r="B153" i="3"/>
  <c r="D153" i="3"/>
  <c r="D155" i="3"/>
  <c r="D158" i="3"/>
  <c r="C162" i="3"/>
  <c r="C175" i="3"/>
  <c r="B177" i="3"/>
  <c r="D185" i="3"/>
  <c r="D308" i="3"/>
  <c r="D360" i="3"/>
  <c r="B166" i="3"/>
  <c r="B179" i="3"/>
  <c r="B186" i="3"/>
  <c r="D193" i="3"/>
  <c r="C201" i="3"/>
  <c r="D239" i="3"/>
  <c r="B240" i="3"/>
  <c r="D242" i="3"/>
  <c r="D246" i="3"/>
  <c r="B271" i="3"/>
  <c r="C274" i="3"/>
  <c r="D276" i="3"/>
  <c r="C314" i="3"/>
  <c r="C318" i="3"/>
  <c r="C334" i="3"/>
  <c r="D349" i="3"/>
  <c r="D184" i="3"/>
  <c r="B189" i="3"/>
  <c r="C191" i="3"/>
  <c r="D192" i="3"/>
  <c r="B198" i="3"/>
  <c r="C199" i="3"/>
  <c r="D200" i="3"/>
  <c r="C202" i="3"/>
  <c r="C218" i="3"/>
  <c r="D223" i="3"/>
  <c r="B224" i="3"/>
  <c r="D226" i="3"/>
  <c r="B235" i="3"/>
  <c r="B244" i="3"/>
  <c r="B255" i="3"/>
  <c r="C258" i="3"/>
  <c r="D259" i="3"/>
  <c r="D263" i="3"/>
  <c r="B264" i="3"/>
  <c r="D266" i="3"/>
  <c r="C289" i="3"/>
  <c r="B301" i="3"/>
  <c r="D306" i="3"/>
  <c r="C310" i="3"/>
  <c r="B313" i="3"/>
  <c r="C317" i="3"/>
  <c r="B317" i="3"/>
  <c r="B320" i="3"/>
  <c r="C330" i="3"/>
  <c r="C335" i="3"/>
  <c r="C349" i="3"/>
  <c r="B352" i="3"/>
  <c r="D366" i="3"/>
  <c r="C366" i="3"/>
  <c r="D375" i="3"/>
  <c r="D379" i="3"/>
  <c r="D358" i="3"/>
  <c r="C358" i="3"/>
  <c r="D377" i="3"/>
  <c r="B60" i="3"/>
  <c r="C63" i="3"/>
  <c r="D64" i="3"/>
  <c r="C68" i="3"/>
  <c r="B71" i="3"/>
  <c r="B73" i="3"/>
  <c r="D74" i="3"/>
  <c r="B76" i="3"/>
  <c r="C77" i="3"/>
  <c r="B82" i="3"/>
  <c r="C83" i="3"/>
  <c r="D89" i="3"/>
  <c r="D93" i="3"/>
  <c r="C105" i="3"/>
  <c r="D110" i="3"/>
  <c r="C116" i="3"/>
  <c r="C119" i="3"/>
  <c r="C137" i="3"/>
  <c r="C141" i="3"/>
  <c r="B141" i="3"/>
  <c r="C155" i="3"/>
  <c r="B160" i="3"/>
  <c r="D162" i="3"/>
  <c r="D164" i="3"/>
  <c r="D173" i="3"/>
  <c r="D177" i="3"/>
  <c r="D189" i="3"/>
  <c r="D190" i="3"/>
  <c r="C190" i="3"/>
  <c r="C192" i="3"/>
  <c r="B196" i="3"/>
  <c r="D213" i="3"/>
  <c r="B247" i="3"/>
  <c r="C251" i="3"/>
  <c r="B252" i="3"/>
  <c r="B253" i="3"/>
  <c r="D257" i="3"/>
  <c r="C268" i="3"/>
  <c r="C280" i="3"/>
  <c r="C288" i="3"/>
  <c r="B290" i="3"/>
  <c r="B294" i="3"/>
  <c r="D294" i="3"/>
  <c r="B297" i="3"/>
  <c r="D300" i="3"/>
  <c r="D315" i="3"/>
  <c r="B322" i="3"/>
  <c r="B326" i="3"/>
  <c r="D326" i="3"/>
  <c r="D339" i="3"/>
  <c r="D341" i="3"/>
  <c r="D342" i="3"/>
  <c r="C342" i="3"/>
  <c r="B345" i="3"/>
  <c r="C347" i="3"/>
  <c r="D348" i="3"/>
  <c r="B350" i="3"/>
  <c r="B361" i="3"/>
  <c r="B364" i="3"/>
  <c r="B374" i="3"/>
  <c r="B184" i="3"/>
  <c r="D188" i="3"/>
  <c r="C188" i="3"/>
  <c r="C204" i="3"/>
  <c r="D209" i="3"/>
  <c r="B211" i="3"/>
  <c r="B214" i="3"/>
  <c r="B217" i="3"/>
  <c r="D217" i="3"/>
  <c r="C228" i="3"/>
  <c r="C229" i="3"/>
  <c r="B231" i="3"/>
  <c r="D237" i="3"/>
  <c r="D243" i="3"/>
  <c r="C243" i="3"/>
  <c r="C252" i="3"/>
  <c r="C263" i="3"/>
  <c r="B266" i="3"/>
  <c r="B272" i="3"/>
  <c r="D274" i="3"/>
  <c r="B278" i="3"/>
  <c r="D278" i="3"/>
  <c r="C284" i="3"/>
  <c r="B287" i="3"/>
  <c r="C290" i="3"/>
  <c r="B305" i="3"/>
  <c r="D305" i="3"/>
  <c r="B308" i="3"/>
  <c r="B314" i="3"/>
  <c r="B334" i="3"/>
  <c r="D334" i="3"/>
  <c r="B338" i="3"/>
  <c r="C345" i="3"/>
  <c r="B348" i="3"/>
  <c r="B360" i="3"/>
  <c r="C363" i="3"/>
  <c r="B371" i="3"/>
  <c r="C196" i="3"/>
  <c r="C198" i="3"/>
  <c r="B202" i="3"/>
  <c r="B207" i="3"/>
  <c r="C235" i="3"/>
  <c r="B238" i="3"/>
  <c r="C241" i="3"/>
  <c r="C255" i="3"/>
  <c r="B256" i="3"/>
  <c r="D258" i="3"/>
  <c r="C266" i="3"/>
  <c r="D267" i="3"/>
  <c r="B277" i="3"/>
  <c r="B284" i="3"/>
  <c r="D284" i="3"/>
  <c r="B286" i="3"/>
  <c r="D293" i="3"/>
  <c r="C295" i="3"/>
  <c r="B295" i="3"/>
  <c r="C296" i="3"/>
  <c r="B299" i="3"/>
  <c r="D301" i="3"/>
  <c r="B304" i="3"/>
  <c r="D325" i="3"/>
  <c r="B328" i="3"/>
  <c r="D332" i="3"/>
  <c r="C338" i="3"/>
  <c r="B357" i="3"/>
  <c r="D357" i="3"/>
  <c r="C359" i="3"/>
  <c r="C360" i="3"/>
  <c r="B370" i="3"/>
  <c r="C374" i="3"/>
  <c r="B377" i="3"/>
  <c r="D380" i="3"/>
  <c r="B187" i="3"/>
  <c r="C197" i="3"/>
  <c r="B201" i="3"/>
  <c r="C203" i="3"/>
  <c r="C205" i="3"/>
  <c r="D227" i="3"/>
  <c r="B230" i="3"/>
  <c r="B234" i="3"/>
  <c r="D241" i="3"/>
  <c r="C250" i="3"/>
  <c r="D251" i="3"/>
  <c r="B261" i="3"/>
  <c r="B267" i="3"/>
  <c r="C275" i="3"/>
  <c r="C277" i="3"/>
  <c r="B283" i="3"/>
  <c r="D287" i="3"/>
  <c r="C287" i="3"/>
  <c r="C293" i="3"/>
  <c r="B298" i="3"/>
  <c r="C302" i="3"/>
  <c r="D313" i="3"/>
  <c r="D321" i="3"/>
  <c r="C325" i="3"/>
  <c r="C327" i="3"/>
  <c r="D337" i="3"/>
  <c r="D344" i="3"/>
  <c r="B346" i="3"/>
  <c r="B353" i="3"/>
  <c r="C357" i="3"/>
  <c r="D359" i="3"/>
  <c r="B368" i="3"/>
  <c r="D373" i="3"/>
  <c r="C377" i="3"/>
  <c r="B380" i="3"/>
  <c r="B22" i="3"/>
  <c r="B38" i="3"/>
  <c r="B54" i="3"/>
  <c r="D69" i="3"/>
  <c r="C81" i="3"/>
  <c r="B104" i="3"/>
  <c r="D111" i="3"/>
  <c r="D119" i="3"/>
  <c r="D120" i="3"/>
  <c r="B142" i="3"/>
  <c r="B210" i="3"/>
  <c r="C292" i="3"/>
  <c r="B147" i="3"/>
  <c r="B162" i="3"/>
  <c r="B180" i="3"/>
  <c r="D205" i="3"/>
  <c r="B62" i="3"/>
  <c r="B74" i="3"/>
  <c r="D79" i="3"/>
  <c r="D87" i="3"/>
  <c r="D88" i="3"/>
  <c r="B100" i="3"/>
  <c r="C107" i="3"/>
  <c r="C113" i="3"/>
  <c r="D125" i="3"/>
  <c r="B130" i="3"/>
  <c r="B137" i="3"/>
  <c r="B145" i="3"/>
  <c r="C167" i="3"/>
  <c r="C181" i="3"/>
  <c r="D114" i="3"/>
  <c r="B30" i="3"/>
  <c r="D29" i="3"/>
  <c r="D45" i="3"/>
  <c r="D61" i="3"/>
  <c r="D73" i="3"/>
  <c r="B83" i="3"/>
  <c r="C86" i="3"/>
  <c r="B92" i="3"/>
  <c r="D98" i="3"/>
  <c r="D99" i="3"/>
  <c r="B110" i="3"/>
  <c r="C124" i="3"/>
  <c r="B134" i="3"/>
  <c r="B136" i="3"/>
  <c r="B149" i="3"/>
  <c r="C161" i="3"/>
  <c r="C164" i="3"/>
  <c r="B168" i="3"/>
  <c r="B173" i="3"/>
  <c r="D17" i="3"/>
  <c r="D33" i="3"/>
  <c r="D49" i="3"/>
  <c r="D65" i="3"/>
  <c r="C76" i="3"/>
  <c r="B89" i="3"/>
  <c r="C102" i="3"/>
  <c r="D115" i="3"/>
  <c r="B128" i="3"/>
  <c r="B46" i="3"/>
  <c r="B26" i="3"/>
  <c r="B42" i="3"/>
  <c r="B58" i="3"/>
  <c r="C72" i="3"/>
  <c r="B84" i="3"/>
  <c r="C91" i="3"/>
  <c r="C97" i="3"/>
  <c r="D109" i="3"/>
  <c r="B120" i="3"/>
  <c r="D129" i="3"/>
  <c r="D137" i="3"/>
  <c r="D145" i="3"/>
  <c r="C158" i="3"/>
  <c r="D161" i="3"/>
  <c r="D183" i="3"/>
  <c r="C193" i="3"/>
  <c r="B195" i="3"/>
  <c r="D25" i="3"/>
  <c r="D41" i="3"/>
  <c r="D57" i="3"/>
  <c r="B70" i="3"/>
  <c r="D82" i="3"/>
  <c r="D83" i="3"/>
  <c r="B94" i="3"/>
  <c r="C108" i="3"/>
  <c r="B121" i="3"/>
  <c r="D133" i="3"/>
  <c r="D136" i="3"/>
  <c r="D141" i="3"/>
  <c r="D148" i="3"/>
  <c r="B163" i="3"/>
  <c r="B218" i="3"/>
  <c r="B311" i="3"/>
  <c r="B337" i="3"/>
  <c r="D91" i="3"/>
  <c r="D107" i="3"/>
  <c r="D123" i="3"/>
  <c r="B132" i="3"/>
  <c r="B140" i="3"/>
  <c r="C156" i="3"/>
  <c r="C169" i="3"/>
  <c r="B172" i="3"/>
  <c r="C189" i="3"/>
  <c r="B191" i="3"/>
  <c r="D196" i="3"/>
  <c r="D197" i="3"/>
  <c r="D198" i="3"/>
  <c r="D201" i="3"/>
  <c r="D202" i="3"/>
  <c r="D203" i="3"/>
  <c r="D204" i="3"/>
  <c r="C214" i="3"/>
  <c r="B225" i="3"/>
  <c r="C253" i="3"/>
  <c r="C269" i="3"/>
  <c r="C323" i="3"/>
  <c r="D130" i="3"/>
  <c r="D131" i="3"/>
  <c r="D138" i="3"/>
  <c r="D139" i="3"/>
  <c r="D146" i="3"/>
  <c r="C151" i="3"/>
  <c r="C157" i="3"/>
  <c r="C170" i="3"/>
  <c r="C182" i="3"/>
  <c r="C194" i="3"/>
  <c r="C200" i="3"/>
  <c r="D206" i="3"/>
  <c r="C215" i="3"/>
  <c r="C183" i="3"/>
  <c r="C184" i="3"/>
  <c r="D233" i="3"/>
  <c r="D255" i="3"/>
  <c r="D271" i="3"/>
  <c r="B135" i="3"/>
  <c r="B143" i="3"/>
  <c r="C165" i="3"/>
  <c r="B174" i="3"/>
  <c r="C176" i="3"/>
  <c r="D180" i="3"/>
  <c r="D210" i="3"/>
  <c r="D218" i="3"/>
  <c r="B228" i="3"/>
  <c r="D238" i="3"/>
  <c r="D240" i="3"/>
  <c r="B246" i="3"/>
  <c r="B260" i="3"/>
  <c r="B144" i="3"/>
  <c r="C153" i="3"/>
  <c r="C166" i="3"/>
  <c r="C186" i="3"/>
  <c r="D222" i="3"/>
  <c r="C231" i="3"/>
  <c r="C260" i="3"/>
  <c r="B80" i="3"/>
  <c r="B96" i="3"/>
  <c r="B112" i="3"/>
  <c r="D127" i="3"/>
  <c r="D134" i="3"/>
  <c r="D135" i="3"/>
  <c r="D142" i="3"/>
  <c r="D143" i="3"/>
  <c r="B152" i="3"/>
  <c r="C154" i="3"/>
  <c r="C160" i="3"/>
  <c r="D174" i="3"/>
  <c r="B185" i="3"/>
  <c r="C187" i="3"/>
  <c r="B192" i="3"/>
  <c r="B193" i="3"/>
  <c r="B194" i="3"/>
  <c r="B199" i="3"/>
  <c r="B200" i="3"/>
  <c r="B209" i="3"/>
  <c r="C226" i="3"/>
  <c r="B249" i="3"/>
  <c r="B258" i="3"/>
  <c r="B274" i="3"/>
  <c r="D199" i="3"/>
  <c r="C220" i="3"/>
  <c r="D224" i="3"/>
  <c r="D231" i="3"/>
  <c r="B232" i="3"/>
  <c r="D234" i="3"/>
  <c r="B241" i="3"/>
  <c r="B243" i="3"/>
  <c r="D249" i="3"/>
  <c r="D252" i="3"/>
  <c r="C257" i="3"/>
  <c r="D260" i="3"/>
  <c r="C265" i="3"/>
  <c r="D268" i="3"/>
  <c r="C273" i="3"/>
  <c r="C278" i="3"/>
  <c r="D291" i="3"/>
  <c r="D322" i="3"/>
  <c r="B325" i="3"/>
  <c r="D330" i="3"/>
  <c r="D336" i="3"/>
  <c r="B347" i="3"/>
  <c r="B291" i="3"/>
  <c r="D310" i="3"/>
  <c r="B336" i="3"/>
  <c r="D195" i="3"/>
  <c r="B219" i="3"/>
  <c r="C222" i="3"/>
  <c r="B226" i="3"/>
  <c r="D232" i="3"/>
  <c r="D247" i="3"/>
  <c r="B248" i="3"/>
  <c r="D250" i="3"/>
  <c r="D256" i="3"/>
  <c r="C283" i="3"/>
  <c r="C286" i="3"/>
  <c r="B288" i="3"/>
  <c r="C304" i="3"/>
  <c r="C305" i="3"/>
  <c r="C316" i="3"/>
  <c r="C324" i="3"/>
  <c r="C328" i="3"/>
  <c r="B335" i="3"/>
  <c r="C353" i="3"/>
  <c r="C356" i="3"/>
  <c r="C379" i="3"/>
  <c r="D191" i="3"/>
  <c r="D207" i="3"/>
  <c r="B213" i="3"/>
  <c r="B229" i="3"/>
  <c r="C234" i="3"/>
  <c r="B242" i="3"/>
  <c r="D248" i="3"/>
  <c r="C279" i="3"/>
  <c r="D282" i="3"/>
  <c r="B293" i="3"/>
  <c r="D298" i="3"/>
  <c r="D303" i="3"/>
  <c r="D312" i="3"/>
  <c r="D323" i="3"/>
  <c r="B188" i="3"/>
  <c r="B204" i="3"/>
  <c r="D212" i="3"/>
  <c r="D225" i="3"/>
  <c r="C233" i="3"/>
  <c r="B237" i="3"/>
  <c r="C242" i="3"/>
  <c r="B250" i="3"/>
  <c r="C259" i="3"/>
  <c r="C267" i="3"/>
  <c r="B296" i="3"/>
  <c r="B303" i="3"/>
  <c r="D311" i="3"/>
  <c r="B323" i="3"/>
  <c r="B331" i="3"/>
  <c r="B379" i="3"/>
  <c r="D264" i="3"/>
  <c r="D272" i="3"/>
  <c r="B279" i="3"/>
  <c r="B292" i="3"/>
  <c r="D299" i="3"/>
  <c r="C301" i="3"/>
  <c r="C311" i="3"/>
  <c r="C312" i="3"/>
  <c r="B324" i="3"/>
  <c r="D331" i="3"/>
  <c r="C333" i="3"/>
  <c r="C343" i="3"/>
  <c r="C344" i="3"/>
  <c r="D354" i="3"/>
  <c r="B367" i="3"/>
  <c r="D371" i="3"/>
  <c r="C373" i="3"/>
  <c r="C375" i="3"/>
  <c r="C376" i="3"/>
  <c r="C352" i="3"/>
  <c r="D362" i="3"/>
  <c r="B375" i="3"/>
  <c r="C230" i="3"/>
  <c r="C238" i="3"/>
  <c r="C246" i="3"/>
  <c r="C254" i="3"/>
  <c r="C262" i="3"/>
  <c r="C270" i="3"/>
  <c r="D285" i="3"/>
  <c r="D290" i="3"/>
  <c r="D295" i="3"/>
  <c r="C297" i="3"/>
  <c r="C307" i="3"/>
  <c r="C308" i="3"/>
  <c r="C329" i="3"/>
  <c r="C339" i="3"/>
  <c r="C340" i="3"/>
  <c r="D347" i="3"/>
  <c r="B355" i="3"/>
  <c r="B356" i="3"/>
  <c r="C361" i="3"/>
  <c r="C364" i="3"/>
  <c r="D374" i="3"/>
  <c r="B221" i="3"/>
  <c r="B245" i="3"/>
  <c r="D289" i="3"/>
  <c r="B300" i="3"/>
  <c r="D307" i="3"/>
  <c r="C309" i="3"/>
  <c r="C319" i="3"/>
  <c r="C320" i="3"/>
  <c r="B332" i="3"/>
  <c r="C341" i="3"/>
  <c r="D346" i="3"/>
  <c r="D351" i="3"/>
  <c r="B359" i="3"/>
  <c r="D363" i="3"/>
  <c r="C365" i="3"/>
  <c r="C367" i="3"/>
  <c r="C368" i="3"/>
  <c r="B372" i="3"/>
  <c r="D378" i="3"/>
  <c r="C216" i="3"/>
  <c r="D220" i="3"/>
  <c r="C224" i="3"/>
  <c r="D228" i="3"/>
  <c r="C232" i="3"/>
  <c r="B233" i="3"/>
  <c r="D236" i="3"/>
  <c r="C240" i="3"/>
  <c r="D244" i="3"/>
  <c r="C248" i="3"/>
  <c r="C256" i="3"/>
  <c r="B257" i="3"/>
  <c r="C264" i="3"/>
  <c r="B265" i="3"/>
  <c r="C272" i="3"/>
  <c r="B273" i="3"/>
  <c r="C299" i="3"/>
  <c r="C300" i="3"/>
  <c r="B312" i="3"/>
  <c r="D319" i="3"/>
  <c r="C321" i="3"/>
  <c r="C331" i="3"/>
  <c r="C332" i="3"/>
  <c r="B340" i="3"/>
  <c r="D350" i="3"/>
  <c r="D355" i="3"/>
  <c r="B363" i="3"/>
  <c r="D367" i="3"/>
  <c r="C369" i="3"/>
  <c r="C371" i="3"/>
  <c r="C372" i="3"/>
  <c r="B376" i="3"/>
  <c r="C380" i="3"/>
  <c r="D42" i="4" l="1"/>
  <c r="B42" i="4"/>
  <c r="B37" i="4"/>
  <c r="D37" i="4"/>
  <c r="D23" i="4"/>
  <c r="E23" i="4" s="1"/>
  <c r="D38" i="4"/>
  <c r="B38" i="4"/>
  <c r="E20" i="4"/>
  <c r="G43" i="4"/>
  <c r="E43" i="4"/>
  <c r="F40" i="4"/>
  <c r="B31" i="4"/>
  <c r="C39" i="4"/>
  <c r="B17" i="4"/>
  <c r="B27" i="4"/>
  <c r="B21" i="4"/>
  <c r="B15" i="4"/>
  <c r="C32" i="4"/>
  <c r="B18" i="4"/>
  <c r="C40" i="4"/>
  <c r="C21" i="4"/>
  <c r="D21" i="4" s="1"/>
  <c r="F42" i="4"/>
  <c r="C20" i="4"/>
  <c r="D20" i="4" s="1"/>
  <c r="F38" i="4"/>
  <c r="C16" i="4"/>
  <c r="D16" i="4" s="1"/>
  <c r="C29" i="4"/>
  <c r="B29" i="4"/>
  <c r="B30" i="4"/>
  <c r="F39" i="4"/>
  <c r="C30" i="4"/>
  <c r="C17" i="4"/>
  <c r="C36" i="4"/>
  <c r="B16" i="4"/>
  <c r="E16" i="4" s="1"/>
  <c r="C28" i="4"/>
  <c r="F36" i="4"/>
  <c r="F37" i="4"/>
  <c r="C15" i="4"/>
  <c r="D15" i="4" s="1"/>
  <c r="B28" i="4"/>
  <c r="F41" i="4"/>
  <c r="C19" i="4"/>
  <c r="C41" i="4"/>
  <c r="B19" i="4"/>
  <c r="B22" i="4"/>
  <c r="C43" i="4"/>
  <c r="G36" i="4" l="1"/>
  <c r="E36" i="4"/>
  <c r="G40" i="4"/>
  <c r="E40" i="4"/>
  <c r="G37" i="4"/>
  <c r="E37" i="4"/>
  <c r="E19" i="4"/>
  <c r="G39" i="4"/>
  <c r="E39" i="4"/>
  <c r="B41" i="4"/>
  <c r="D41" i="4"/>
  <c r="E15" i="4"/>
  <c r="E21" i="4"/>
  <c r="D18" i="4"/>
  <c r="E18" i="4" s="1"/>
  <c r="D39" i="4"/>
  <c r="B39" i="4"/>
  <c r="D43" i="4"/>
  <c r="B43" i="4"/>
  <c r="D40" i="4"/>
  <c r="B40" i="4"/>
  <c r="D19" i="4"/>
  <c r="D36" i="4"/>
  <c r="B36" i="4"/>
  <c r="G38" i="4"/>
  <c r="E38" i="4"/>
  <c r="G41" i="4"/>
  <c r="E41" i="4"/>
  <c r="D17" i="4"/>
  <c r="E17" i="4" s="1"/>
  <c r="D22" i="4"/>
  <c r="E22" i="4" s="1"/>
  <c r="G42" i="4"/>
  <c r="E42" i="4"/>
</calcChain>
</file>

<file path=xl/sharedStrings.xml><?xml version="1.0" encoding="utf-8"?>
<sst xmlns="http://schemas.openxmlformats.org/spreadsheetml/2006/main" count="7445" uniqueCount="781">
  <si>
    <t>Trayectoria profesional documentada y clasificación</t>
  </si>
  <si>
    <t>Las fechas aproximadas y los supuestos están identificados en Confianza y Observaciones. Los indicadores son editables y alimentan todas las fórmulas mensuales.</t>
  </si>
  <si>
    <t>Persona</t>
  </si>
  <si>
    <t>Institución</t>
  </si>
  <si>
    <t>Cargo</t>
  </si>
  <si>
    <t>Fecha inicio</t>
  </si>
  <si>
    <t>Fecha fin</t>
  </si>
  <si>
    <t>Descripción breve de funciones</t>
  </si>
  <si>
    <t>Cuenta_Total</t>
  </si>
  <si>
    <t>Cuenta_Monetaria</t>
  </si>
  <si>
    <t>Cuenta_Fiscal</t>
  </si>
  <si>
    <t>Fuente principal</t>
  </si>
  <si>
    <t>URL</t>
  </si>
  <si>
    <t>Nivel de confianza</t>
  </si>
  <si>
    <t>Observaciones</t>
  </si>
  <si>
    <t>Miguel Mancera Aguayo</t>
  </si>
  <si>
    <t>Banco de Comercio</t>
  </si>
  <si>
    <t>Programa de preparación de ejecutivos</t>
  </si>
  <si>
    <t>Actividad bancaria profesional.</t>
  </si>
  <si>
    <t>Semblanza Banxico</t>
  </si>
  <si>
    <t>https://www.banxico.org.mx/publicaciones-y-prensa/seminarios/la-importancia-de-la-autonomia-de-la-banca-central/%7B8835AAD9-61E3-2882-6FC1-D1227C7F2505%7D.pdf</t>
  </si>
  <si>
    <t>Alta</t>
  </si>
  <si>
    <t>Mes/día inicial estimados cuando la fuente solo señala años.</t>
  </si>
  <si>
    <t>Comisión de Inversiones Públicas</t>
  </si>
  <si>
    <t>Economista</t>
  </si>
  <si>
    <t>Análisis de inversión pública.</t>
  </si>
  <si>
    <t>Fechas aproximadas dentro de los años publicados.</t>
  </si>
  <si>
    <t>Banco de México</t>
  </si>
  <si>
    <t>Economista y cargos directivos</t>
  </si>
  <si>
    <t>Banca central, asuntos internacionales y fomento de exportaciones.</t>
  </si>
  <si>
    <t>Incluye FOMEX, Asuntos Internacionales y subdirecciones.</t>
  </si>
  <si>
    <t>Director General / Gobernador</t>
  </si>
  <si>
    <t>Dirección del banco central y decisiones monetarias.</t>
  </si>
  <si>
    <t>Banxico</t>
  </si>
  <si>
    <t>Ariel Buira Seira</t>
  </si>
  <si>
    <t>Banco de México y organismos internacionales</t>
  </si>
  <si>
    <t>Economista y alto funcionario</t>
  </si>
  <si>
    <t>Economía monetaria, balanza de pagos y organismos financieros internacionales.</t>
  </si>
  <si>
    <t>Banxico, historia institucional</t>
  </si>
  <si>
    <t>https://www.banxico.org.mx/publicaciones-y-prensa/presentaciones/%7B4D2BDAC2-AEDE-407E-9925-17C90DB7ABC1%7D.pdf</t>
  </si>
  <si>
    <t>Baja</t>
  </si>
  <si>
    <t>Primer año profesional estimado; requiere CV detallado para precisión adicional.</t>
  </si>
  <si>
    <t>Subgobernador</t>
  </si>
  <si>
    <t>Integrante de la Junta; política monetaria y banca central.</t>
  </si>
  <si>
    <t>Francisco Gil Díaz</t>
  </si>
  <si>
    <t>Banco de México, academia y SHCP</t>
  </si>
  <si>
    <t>Economista y funcionario</t>
  </si>
  <si>
    <t>Investigación económica, política tributaria y hacendaria.</t>
  </si>
  <si>
    <t>Banxico / trayectoria pública</t>
  </si>
  <si>
    <t>Media</t>
  </si>
  <si>
    <t>Tramo consolidado; incluye funciones monetarias y fiscales en distintos subperiodos.</t>
  </si>
  <si>
    <t>Integrante de la Junta; decisiones monetarias.</t>
  </si>
  <si>
    <t>https://www.banxico.org.mx/publicaciones-y-prensa/informes-anuales/%7B04840DAE-89CE-942C-ADC0-7F8D6DD0971D%7D.pdf</t>
  </si>
  <si>
    <t>Guillermo Güémez García</t>
  </si>
  <si>
    <t>Sector privado y financiero</t>
  </si>
  <si>
    <t>Ejecutivo</t>
  </si>
  <si>
    <t>Dirección empresarial y financiera.</t>
  </si>
  <si>
    <t>Año de inicio aproximado por evidencia biográfica incompleta.</t>
  </si>
  <si>
    <t>Integrante de la Junta; política monetaria, sistemas de pagos y estabilidad financiera.</t>
  </si>
  <si>
    <t>Informes anuales Banxico</t>
  </si>
  <si>
    <t>Jesús Marcos Yacamán</t>
  </si>
  <si>
    <t>Banco de México y sector público</t>
  </si>
  <si>
    <t>Funcionario técnico y directivo</t>
  </si>
  <si>
    <t>Funciones técnicas, financieras y de banca central.</t>
  </si>
  <si>
    <t>Banxico / archivos institucionales</t>
  </si>
  <si>
    <t>Inicio estimado; trayectoria antigua no publica fechas completas.</t>
  </si>
  <si>
    <t>Fecha final apoyada por acta de entrega institucional.</t>
  </si>
  <si>
    <t>José Julián Sidaoui Dib</t>
  </si>
  <si>
    <t>Banco de México y SHCP</t>
  </si>
  <si>
    <t>Mercados, deuda pública, análisis macroeconómico y banca central.</t>
  </si>
  <si>
    <t>Banxico, publicaciones institucionales</t>
  </si>
  <si>
    <t>Inicio aproximado; funciones monetarias y fiscales documentadas, sin desglose diario.</t>
  </si>
  <si>
    <t>Integrante de la Junta; política monetaria y mercados financieros.</t>
  </si>
  <si>
    <t>Everardo Elizondo Almaguer</t>
  </si>
  <si>
    <t>Sector financiero, Grupo Alfa e Index</t>
  </si>
  <si>
    <t>Economista y director de estudios</t>
  </si>
  <si>
    <t>Análisis económico y financiero.</t>
  </si>
  <si>
    <t>Semblanza institucional</t>
  </si>
  <si>
    <t>Fechas internas aproximadas.</t>
  </si>
  <si>
    <t>Grupo Financiero Bancomer</t>
  </si>
  <si>
    <t>Director de Investigaciones Económicas</t>
  </si>
  <si>
    <t>Análisis macroeconómico y financiero.</t>
  </si>
  <si>
    <t>Integrante de la Junta; política monetaria.</t>
  </si>
  <si>
    <t>https://www.banxico.org.mx/publicaciones-y-prensa/informes-anuales/%7B290408FB-1C3D-7FCF-F161-CBAC9DC88828%7D.pdf</t>
  </si>
  <si>
    <t>Guillermo Ortiz Martínez</t>
  </si>
  <si>
    <t>SHCP, Banco de México y FMI</t>
  </si>
  <si>
    <t>Análisis macroeconómico, finanzas públicas y banca central.</t>
  </si>
  <si>
    <t>Tramo consolidado por disponibilidad de fechas anuales.</t>
  </si>
  <si>
    <t>SHCP</t>
  </si>
  <si>
    <t>Subsecretario de Hacienda</t>
  </si>
  <si>
    <t>Política fiscal, deuda y coordinación hacendaria.</t>
  </si>
  <si>
    <t>Trayectoria pública</t>
  </si>
  <si>
    <t>Secretario de Hacienda</t>
  </si>
  <si>
    <t>Conducción de política fiscal, ingresos, gasto y deuda.</t>
  </si>
  <si>
    <t>Gobernador</t>
  </si>
  <si>
    <t>Roberto del Cueto Legaspi</t>
  </si>
  <si>
    <t>Abogado y Director General Adjunto</t>
  </si>
  <si>
    <t>Regulación financiera y disposiciones de banca central.</t>
  </si>
  <si>
    <t>Comunicado Banxico</t>
  </si>
  <si>
    <t>https://www.banxico.org.mx/publicaciones-y-prensa/miscelaneos/%7B97DB4DA5-C78A-EBC9-D73D-50798B6E8121%7D.pdf</t>
  </si>
  <si>
    <t>Inicio en 1973; mes/día estimados.</t>
  </si>
  <si>
    <t>Banamex</t>
  </si>
  <si>
    <t>Director General Adjunto / Director General</t>
  </si>
  <si>
    <t>Dirección bancaria.</t>
  </si>
  <si>
    <t>Scotiabank Inverlat y academia</t>
  </si>
  <si>
    <t>Consejero y profesor</t>
  </si>
  <si>
    <t>Gobierno corporativo, riesgos, auditoría y docencia jurídica.</t>
  </si>
  <si>
    <t>CNBV</t>
  </si>
  <si>
    <t>Presidente</t>
  </si>
  <si>
    <t>Autoridad y supervisión financiera.</t>
  </si>
  <si>
    <t>Integrante de la Junta; política monetaria y estabilidad financiera.</t>
  </si>
  <si>
    <t>Manuel Sánchez González</t>
  </si>
  <si>
    <t>Grupos Alfa y Vitro / ITAM</t>
  </si>
  <si>
    <t>Economista, investigador y profesor</t>
  </si>
  <si>
    <t>Análisis económico, investigación y consultoría.</t>
  </si>
  <si>
    <t>https://www.banxico.org.mx/publicaciones-y-prensa/miscelaneos/%7B006B3357-C58B-9E59-97B0-92C0C73125D6%7D.pdf</t>
  </si>
  <si>
    <t>Inicio aproximado.</t>
  </si>
  <si>
    <t>Grupo Financiero BBVA Bancomer</t>
  </si>
  <si>
    <t>Director de Estudios Económicos</t>
  </si>
  <si>
    <t>Agustín Carstens Carstens</t>
  </si>
  <si>
    <t>Economista y Director General de Investigación Económica</t>
  </si>
  <si>
    <t>Banca central, investigación monetaria y macroeconomía.</t>
  </si>
  <si>
    <t>Banxico / BIS</t>
  </si>
  <si>
    <t>Mes/día inicial estimados.</t>
  </si>
  <si>
    <t>FMI</t>
  </si>
  <si>
    <t>Director Ejecutivo</t>
  </si>
  <si>
    <t>Política macroeconómica y financiera internacional.</t>
  </si>
  <si>
    <t>Trayectoria institucional</t>
  </si>
  <si>
    <t>Política fiscal, deuda y coordinación macroeconómica.</t>
  </si>
  <si>
    <t>Subdirector Gerente</t>
  </si>
  <si>
    <t>Política macroeconómica, monetaria y financiera internacional.</t>
  </si>
  <si>
    <t>Conducción de política fiscal, presupuesto, ingresos y deuda.</t>
  </si>
  <si>
    <t>Manuel Ramos Francia</t>
  </si>
  <si>
    <t>Investigación monetaria, inflación y análisis macroeconómico.</t>
  </si>
  <si>
    <t>Informes Banxico</t>
  </si>
  <si>
    <t>Javier Eduardo Guzmán Calafell</t>
  </si>
  <si>
    <t>Banco de México y FMI</t>
  </si>
  <si>
    <t>Banca central, investigación económica y asuntos internacionales.</t>
  </si>
  <si>
    <t>Alejandro Díaz de León Carrillo</t>
  </si>
  <si>
    <t>Economista y directivo</t>
  </si>
  <si>
    <t>Mercados financieros, análisis macroeconómico y banca central.</t>
  </si>
  <si>
    <t>Banxico / trayectoria institucional</t>
  </si>
  <si>
    <t>Titular de Crédito Público</t>
  </si>
  <si>
    <t>Deuda pública y crédito público.</t>
  </si>
  <si>
    <t>Bancomext</t>
  </si>
  <si>
    <t>Director General</t>
  </si>
  <si>
    <t>Banca de desarrollo y financiamiento al comercio exterior.</t>
  </si>
  <si>
    <t>Subgobernador / Gobernador</t>
  </si>
  <si>
    <t>Integrante y dirección de la Junta; política monetaria.</t>
  </si>
  <si>
    <t>Irene Espinosa Cantellano</t>
  </si>
  <si>
    <t>Banco de México y sector financiero</t>
  </si>
  <si>
    <t>Economista y funcionaria</t>
  </si>
  <si>
    <t>Análisis económico, regulación y finanzas.</t>
  </si>
  <si>
    <t>Funcionaria y Tesorera de la Federación</t>
  </si>
  <si>
    <t>Tesorería, ingresos, gasto, deuda y gestión financiera pública.</t>
  </si>
  <si>
    <t>Senado / SHCP</t>
  </si>
  <si>
    <t>Subgobernadora</t>
  </si>
  <si>
    <t>Gerardo Esquivel Hernández</t>
  </si>
  <si>
    <t>El Colegio de México y organismos internacionales</t>
  </si>
  <si>
    <t>Profesor, investigador y consultor</t>
  </si>
  <si>
    <t>Investigación macroeconómica, desarrollo y política pública.</t>
  </si>
  <si>
    <t>Trayectoria académica institucional</t>
  </si>
  <si>
    <t>Inicio profesional aproximado.</t>
  </si>
  <si>
    <t>Subsecretario de Egresos</t>
  </si>
  <si>
    <t>Presupuesto y gasto público.</t>
  </si>
  <si>
    <t>SHCP / Senado</t>
  </si>
  <si>
    <t>Jonathan Heath Constable</t>
  </si>
  <si>
    <t>Wharton Econometric Forecasting Associates y consultoría</t>
  </si>
  <si>
    <t>Economista y analista</t>
  </si>
  <si>
    <t>Análisis macroeconómico, pronósticos, inflación e indicadores.</t>
  </si>
  <si>
    <t>Banxico / Senado</t>
  </si>
  <si>
    <t>https://www.banxico.org.mx/conociendo-banxico/junta-gobierno-curriculo-banc.html</t>
  </si>
  <si>
    <t>Fechas aproximadas; se clasifica monetaria por contenido macroeconómico e inflacionario.</t>
  </si>
  <si>
    <t>Grupo Macro Asesor</t>
  </si>
  <si>
    <t>Economista y socio/director</t>
  </si>
  <si>
    <t>Análisis macroeconómico de México, pronósticos, inflación y coyuntura.</t>
  </si>
  <si>
    <t>Clasificación monetaria activada; la fiscal puede activarse si se considera sustantivo el análisis de finanzas públicas.</t>
  </si>
  <si>
    <t>HSBC México</t>
  </si>
  <si>
    <t>Economista en jefe</t>
  </si>
  <si>
    <t>Análisis macroeconómico, inflación, tasas, mercados y pronósticos.</t>
  </si>
  <si>
    <t>Clasificación monetaria activada; fechas anuales.</t>
  </si>
  <si>
    <t>Consultoría, docencia y análisis económico</t>
  </si>
  <si>
    <t>Economista independiente</t>
  </si>
  <si>
    <t>Análisis de indicadores, coyuntura macroeconómica, inflación y política económica.</t>
  </si>
  <si>
    <t>Clasificación monetaria activada; la casilla fiscal queda disponible.</t>
  </si>
  <si>
    <t>Galia Borja Gómez</t>
  </si>
  <si>
    <t>Gobierno de la Ciudad de México</t>
  </si>
  <si>
    <t>Funcionaria de finanzas</t>
  </si>
  <si>
    <t>Sistemas financieros, concentración y control de fondos públicos.</t>
  </si>
  <si>
    <t>Dictamen del Senado</t>
  </si>
  <si>
    <t>https://infosen.senado.gob.mx/sgsp/gaceta/64/3/2020-12-09-1/assets/documentos/Dict_Hacienda_Consejero_Banxico.pdf</t>
  </si>
  <si>
    <t>Tesorería de la Federación, SHCP</t>
  </si>
  <si>
    <t>Directora / Directora General Adjunta / Tesorera</t>
  </si>
  <si>
    <t>Ingresos, tesorería, fondos y gestión financiera federal.</t>
  </si>
  <si>
    <t>Victoria Rodríguez Ceja</t>
  </si>
  <si>
    <t>Secretaría de Finanzas del Gobierno de la Ciudad de México</t>
  </si>
  <si>
    <t>Funcionaria de finanzas públicas</t>
  </si>
  <si>
    <t>Presupuesto, deuda y administración financiera local.</t>
  </si>
  <si>
    <t>Senado</t>
  </si>
  <si>
    <t>https://comunicacionsocial.senado.gob.mx/informacion/prensa/5780-version-estenografica-de-la-comparecencia-de-</t>
  </si>
  <si>
    <t>Algunos cambios internos se consolidan por equivalencia funcional.</t>
  </si>
  <si>
    <t>Subsecretaria de Egresos</t>
  </si>
  <si>
    <t>Proyecto de presupuesto federal, gasto y evaluación presupuestaria.</t>
  </si>
  <si>
    <t>Gobernadora</t>
  </si>
  <si>
    <t>Omar Mejía Castelazo</t>
  </si>
  <si>
    <t>SEDESOL / Gobierno de la Ciudad de México</t>
  </si>
  <si>
    <t>Funcionario de planeación y finanzas</t>
  </si>
  <si>
    <t>Infraestructura, vivienda, planeación y administración financiera.</t>
  </si>
  <si>
    <t>Dictamen legislativo</t>
  </si>
  <si>
    <t>https://infosen.senado.gob.mx/sgsp/gaceta/65/2/2023-01-18-1/assets/documentos/Dic_3ra_Junta_Gobierno_Banco_Mexico_20230118.pdf</t>
  </si>
  <si>
    <t>Subtesorero de Operación</t>
  </si>
  <si>
    <t>Operación de tesorería y finanzas públicas.</t>
  </si>
  <si>
    <t>Investigador técnico de la Junta</t>
  </si>
  <si>
    <t>Investigación sobre inflación y política monetaria.</t>
  </si>
  <si>
    <t>Banxico / Congreso</t>
  </si>
  <si>
    <t>José Gabriel Cuadra García</t>
  </si>
  <si>
    <t>Economista y directivo de Estudios Económicos</t>
  </si>
  <si>
    <t>Investigación monetaria, inflación, pronósticos y análisis macroeconómico.</t>
  </si>
  <si>
    <t>Senado / Banxico</t>
  </si>
  <si>
    <t>https://comunicacionsocial.senado.gob.mx/informacion/comunicados/10820-avanza-para-ratificar-a-jose-cuadra-garcia-como-miembro-de-la-junta-de-gobierno-del-banco-de-mexico</t>
  </si>
  <si>
    <t>Senado documenta 27 años en Banxico en 2025.</t>
  </si>
  <si>
    <t>https://comunicacionsocial.senado.gob.mx/informacion/comunicados?created=2023-03-01&amp;start=1910</t>
  </si>
  <si>
    <t>Composición histórica de la Junta de Gobierno</t>
  </si>
  <si>
    <t>Cada intervalo representa una composición constante. Las vacantes se conservan en blanco; los promedios mensuales usan únicamente integrantes en funciones al cierre del mes.</t>
  </si>
  <si>
    <t>Subgobernador 1</t>
  </si>
  <si>
    <t>Subgobernador 2</t>
  </si>
  <si>
    <t>Subgobernador 3</t>
  </si>
  <si>
    <t>Subgobernador 4</t>
  </si>
  <si>
    <t>Experiencia acumulada mensual de la Junta (años)</t>
  </si>
  <si>
    <t>Fecha</t>
  </si>
  <si>
    <t>Promedio_Total</t>
  </si>
  <si>
    <t>Promedio_Fiscal</t>
  </si>
  <si>
    <t>Promedio_Monetaria</t>
  </si>
  <si>
    <t>Miguel Mancera Aguayo_Total</t>
  </si>
  <si>
    <t>Miguel Mancera Aguayo_Fiscal</t>
  </si>
  <si>
    <t>Miguel Mancera Aguayo_Monetaria</t>
  </si>
  <si>
    <t>Ariel Buira Seira_Total</t>
  </si>
  <si>
    <t>Ariel Buira Seira_Fiscal</t>
  </si>
  <si>
    <t>Ariel Buira Seira_Monetaria</t>
  </si>
  <si>
    <t>Francisco Gil Díaz_Total</t>
  </si>
  <si>
    <t>Francisco Gil Díaz_Fiscal</t>
  </si>
  <si>
    <t>Francisco Gil Díaz_Monetaria</t>
  </si>
  <si>
    <t>Guillermo Güémez García_Total</t>
  </si>
  <si>
    <t>Guillermo Güémez García_Fiscal</t>
  </si>
  <si>
    <t>Guillermo Güémez García_Monetaria</t>
  </si>
  <si>
    <t>Jesús Marcos Yacamán_Total</t>
  </si>
  <si>
    <t>Jesús Marcos Yacamán_Fiscal</t>
  </si>
  <si>
    <t>Jesús Marcos Yacamán_Monetaria</t>
  </si>
  <si>
    <t>José Julián Sidaoui Dib_Total</t>
  </si>
  <si>
    <t>José Julián Sidaoui Dib_Fiscal</t>
  </si>
  <si>
    <t>José Julián Sidaoui Dib_Monetaria</t>
  </si>
  <si>
    <t>Everardo Elizondo Almaguer_Total</t>
  </si>
  <si>
    <t>Everardo Elizondo Almaguer_Fiscal</t>
  </si>
  <si>
    <t>Everardo Elizondo Almaguer_Monetaria</t>
  </si>
  <si>
    <t>Guillermo Ortiz Martínez_Total</t>
  </si>
  <si>
    <t>Guillermo Ortiz Martínez_Fiscal</t>
  </si>
  <si>
    <t>Guillermo Ortiz Martínez_Monetaria</t>
  </si>
  <si>
    <t>Roberto del Cueto Legaspi_Total</t>
  </si>
  <si>
    <t>Roberto del Cueto Legaspi_Fiscal</t>
  </si>
  <si>
    <t>Roberto del Cueto Legaspi_Monetaria</t>
  </si>
  <si>
    <t>Manuel Sánchez González_Total</t>
  </si>
  <si>
    <t>Manuel Sánchez González_Fiscal</t>
  </si>
  <si>
    <t>Manuel Sánchez González_Monetaria</t>
  </si>
  <si>
    <t>Agustín Carstens Carstens_Total</t>
  </si>
  <si>
    <t>Agustín Carstens Carstens_Fiscal</t>
  </si>
  <si>
    <t>Agustín Carstens Carstens_Monetaria</t>
  </si>
  <si>
    <t>Manuel Ramos Francia_Total</t>
  </si>
  <si>
    <t>Manuel Ramos Francia_Fiscal</t>
  </si>
  <si>
    <t>Manuel Ramos Francia_Monetaria</t>
  </si>
  <si>
    <t>Javier Eduardo Guzmán Calafell_Total</t>
  </si>
  <si>
    <t>Javier Eduardo Guzmán Calafell_Fiscal</t>
  </si>
  <si>
    <t>Javier Eduardo Guzmán Calafell_Monetaria</t>
  </si>
  <si>
    <t>Alejandro Díaz de León Carrillo_Total</t>
  </si>
  <si>
    <t>Alejandro Díaz de León Carrillo_Fiscal</t>
  </si>
  <si>
    <t>Alejandro Díaz de León Carrillo_Monetaria</t>
  </si>
  <si>
    <t>Irene Espinosa Cantellano_Total</t>
  </si>
  <si>
    <t>Irene Espinosa Cantellano_Fiscal</t>
  </si>
  <si>
    <t>Irene Espinosa Cantellano_Monetaria</t>
  </si>
  <si>
    <t>Gerardo Esquivel Hernández_Total</t>
  </si>
  <si>
    <t>Gerardo Esquivel Hernández_Fiscal</t>
  </si>
  <si>
    <t>Gerardo Esquivel Hernández_Monetaria</t>
  </si>
  <si>
    <t>Jonathan Heath Constable_Total</t>
  </si>
  <si>
    <t>Jonathan Heath Constable_Fiscal</t>
  </si>
  <si>
    <t>Jonathan Heath Constable_Monetaria</t>
  </si>
  <si>
    <t>Galia Borja Gómez_Total</t>
  </si>
  <si>
    <t>Galia Borja Gómez_Fiscal</t>
  </si>
  <si>
    <t>Galia Borja Gómez_Monetaria</t>
  </si>
  <si>
    <t>Victoria Rodríguez Ceja_Total</t>
  </si>
  <si>
    <t>Victoria Rodríguez Ceja_Fiscal</t>
  </si>
  <si>
    <t>Victoria Rodríguez Ceja_Monetaria</t>
  </si>
  <si>
    <t>Omar Mejía Castelazo_Total</t>
  </si>
  <si>
    <t>Omar Mejía Castelazo_Fiscal</t>
  </si>
  <si>
    <t>Omar Mejía Castelazo_Monetaria</t>
  </si>
  <si>
    <t>José Gabriel Cuadra García_Total</t>
  </si>
  <si>
    <t>José Gabriel Cuadra García_Fiscal</t>
  </si>
  <si>
    <t>José Gabriel Cuadra García_Monetaria</t>
  </si>
  <si>
    <t>Fuentes documentales utilizadas</t>
  </si>
  <si>
    <t>Prioridad: Banco de México, Senado y demás fuentes oficiales. Cada fila de Career_History contiene además su URL principal.</t>
  </si>
  <si>
    <t>Documento</t>
  </si>
  <si>
    <t>Fecha de consulta</t>
  </si>
  <si>
    <t>General</t>
  </si>
  <si>
    <t>Composición histórica</t>
  </si>
  <si>
    <t>Presentación sobre autonomía y Junta</t>
  </si>
  <si>
    <t>Cronología institucional de integrantes.</t>
  </si>
  <si>
    <t>Junta 1995</t>
  </si>
  <si>
    <t>Informe Anual 1995</t>
  </si>
  <si>
    <t>Composición oficial.</t>
  </si>
  <si>
    <t>Junta 1998</t>
  </si>
  <si>
    <t>Informe Anual 1998</t>
  </si>
  <si>
    <t>Marco jurídico</t>
  </si>
  <si>
    <t>Ley del Banco de México</t>
  </si>
  <si>
    <t>Cámara de Diputados</t>
  </si>
  <si>
    <t>https://www.diputados.gob.mx/LeyesBiblio/pdf/74.pdf</t>
  </si>
  <si>
    <t>Funciones de la Junta y periodos legales.</t>
  </si>
  <si>
    <t>Fuente de trayectoria y/o fechas.</t>
  </si>
  <si>
    <t>Metodología, supuestos y controles de calidad</t>
  </si>
  <si>
    <t>Parámetro</t>
  </si>
  <si>
    <t>Regla aprobada</t>
  </si>
  <si>
    <t>Aplicación en el archivo</t>
  </si>
  <si>
    <t>Estado</t>
  </si>
  <si>
    <t>Resultado / fórmula</t>
  </si>
  <si>
    <t>Unidad</t>
  </si>
  <si>
    <t>Días naturales / 365.2425</t>
  </si>
  <si>
    <t>Todas las series</t>
  </si>
  <si>
    <t>OK</t>
  </si>
  <si>
    <t>Fórmulas SUM/IF/MIN visibles</t>
  </si>
  <si>
    <t>Años mostrados con dos decimales.</t>
  </si>
  <si>
    <t>Corte mensual</t>
  </si>
  <si>
    <t>Último día calendario</t>
  </si>
  <si>
    <t>Enero 1995-junio 2026</t>
  </si>
  <si>
    <t>378 meses</t>
  </si>
  <si>
    <t>Fechas reales de Excel.</t>
  </si>
  <si>
    <t>Vacantes</t>
  </si>
  <si>
    <t>Promedio solo de integrantes activos</t>
  </si>
  <si>
    <t>Monthly_Experience</t>
  </si>
  <si>
    <t>AVERAGE ignora blancos</t>
  </si>
  <si>
    <t>No se imputan ceros.</t>
  </si>
  <si>
    <t>Simultaneidad</t>
  </si>
  <si>
    <t>Un día no se duplica por métrica</t>
  </si>
  <si>
    <t>Career_History</t>
  </si>
  <si>
    <t>Periodos consolidados/no superpuestos</t>
  </si>
  <si>
    <t>Las categorías pueden coexistir entre sí.</t>
  </si>
  <si>
    <t>Fechas incompletas</t>
  </si>
  <si>
    <t>1 de julio si solo hay año</t>
  </si>
  <si>
    <t>REVISAR</t>
  </si>
  <si>
    <t>Confianza media/baja</t>
  </si>
  <si>
    <t>Supuestos visibles en Observaciones.</t>
  </si>
  <si>
    <t>Experiencia monetaria &lt;= total</t>
  </si>
  <si>
    <t>Validación de serie</t>
  </si>
  <si>
    <t>Todos los meses/personas</t>
  </si>
  <si>
    <t>MAX(Monetaria-Total)</t>
  </si>
  <si>
    <t>Debe ser &lt;=0.</t>
  </si>
  <si>
    <t>Experiencia fiscal &lt;= total</t>
  </si>
  <si>
    <t>MAX(Fiscal-Total)</t>
  </si>
  <si>
    <t>No disminución</t>
  </si>
  <si>
    <t>Comparación contra mes anterior</t>
  </si>
  <si>
    <t>Todos los integrantes activos consecutivos</t>
  </si>
  <si>
    <t>Revisión automatizada en construcción</t>
  </si>
  <si>
    <t>Una salida de la Junta produce blanco, no una caída.</t>
  </si>
  <si>
    <t>Fuentes</t>
  </si>
  <si>
    <t>Toda fila tiene fuente y URL</t>
  </si>
  <si>
    <t>66 de 66</t>
  </si>
  <si>
    <t>Fuentes prioritariamente oficiales.</t>
  </si>
  <si>
    <t>Alcance de precisión</t>
  </si>
  <si>
    <t>Mínimo documentado</t>
  </si>
  <si>
    <t>Trayectorias antiguas</t>
  </si>
  <si>
    <t>Confianza explícita</t>
  </si>
  <si>
    <t>No se inventan empleos para cubrir huecos.</t>
  </si>
  <si>
    <t>Perfil profesional previo al nombramiento en la Junta</t>
  </si>
  <si>
    <t>Cada día documentado anterior al primer nombramiento se asigna a un solo origen profesional. La suma de los seis orígenes equivale exactamente a la experiencia total previa.</t>
  </si>
  <si>
    <t>Experiencia Total Previa</t>
  </si>
  <si>
    <t>Experiencia Total Sector Privado</t>
  </si>
  <si>
    <t>Experiencia en Banxico</t>
  </si>
  <si>
    <t>Experiencia en SHCP / Finanzas Públicas</t>
  </si>
  <si>
    <t>Experiencia en Otros Organismos Públicos</t>
  </si>
  <si>
    <t>Experiencia en Organismos Internacionales</t>
  </si>
  <si>
    <t>Experiencia en Academia</t>
  </si>
  <si>
    <t>Fecha de Corte</t>
  </si>
  <si>
    <t>Comentarios</t>
  </si>
  <si>
    <t>Clasificación directa por institución y función.</t>
  </si>
  <si>
    <t>Asignación exclusiva: Banco de México y organismos internacionales → Banco de México.</t>
  </si>
  <si>
    <t>Asignación exclusiva: Banco de México, academia y SHCP → Banco de México.</t>
  </si>
  <si>
    <t>Asignación exclusiva: Sector privado y financiero → Sector Privado.</t>
  </si>
  <si>
    <t>Asignación exclusiva: Banco de México y sector público → Banco de México.</t>
  </si>
  <si>
    <t>Asignación exclusiva: Banco de México y SHCP → Banco de México.</t>
  </si>
  <si>
    <t>Asignación exclusiva: Sector financiero, Grupo Alfa e Index → Sector Privado.</t>
  </si>
  <si>
    <t>Asignación exclusiva: SHCP, Banco de México y FMI → Banco de México.</t>
  </si>
  <si>
    <t>Asignación exclusiva: Scotiabank Inverlat y academia → Sector Privado.</t>
  </si>
  <si>
    <t>Asignación exclusiva: Grupos Alfa y Vitro / ITAM → Academia.</t>
  </si>
  <si>
    <t>Asignación exclusiva: Banco de México y FMI → Banco de México.</t>
  </si>
  <si>
    <t>Asignación exclusiva: Banco de México y sector financiero → Banco de México.</t>
  </si>
  <si>
    <t>Asignación exclusiva: El Colegio de México y organismos internacionales → Organismos Internacionales.</t>
  </si>
  <si>
    <t>Asignación exclusiva: Wharton Econometric Forecasting Associates y consultoría → Sector Privado; Consultoría, docencia y análisis económico → Sector Privado.</t>
  </si>
  <si>
    <t>Asignación exclusiva: Tesorería de la Federación, SHCP → SHCP / Finanzas Públicas.</t>
  </si>
  <si>
    <t>Comparador dinámico de Juntas de Gobierno</t>
  </si>
  <si>
    <t>Seleccione dos cierres mensuales. La composición, experiencia acumulada y perfil profesional previo se actualizarán automáticamente.</t>
  </si>
  <si>
    <t>Board A — Fecha de corte</t>
  </si>
  <si>
    <t>Board B — Fecha de corte</t>
  </si>
  <si>
    <t>Board A</t>
  </si>
  <si>
    <t>Board B</t>
  </si>
  <si>
    <t>Total</t>
  </si>
  <si>
    <t>Monetaria</t>
  </si>
  <si>
    <t>Fiscal</t>
  </si>
  <si>
    <t>Sector Privado</t>
  </si>
  <si>
    <t>SHCP / Finanzas Públicas</t>
  </si>
  <si>
    <t>Otros Organismos Públicos</t>
  </si>
  <si>
    <t>Organismos Internacionales</t>
  </si>
  <si>
    <t>Academia</t>
  </si>
  <si>
    <t>Indicador</t>
  </si>
  <si>
    <t>Diferencia</t>
  </si>
  <si>
    <t>% Cambio</t>
  </si>
  <si>
    <t>Experiencia total promedio</t>
  </si>
  <si>
    <t>Experiencia monetaria promedio</t>
  </si>
  <si>
    <t>Experiencia fiscal promedio</t>
  </si>
  <si>
    <t>Experiencia previa en sector privado promedio</t>
  </si>
  <si>
    <t>Experiencia previa en Banxico promedio</t>
  </si>
  <si>
    <t>Experiencia previa en SHCP / Finanzas Públicas promedio</t>
  </si>
  <si>
    <t>Experiencia previa en Otros Organismos Públicos promedio</t>
  </si>
  <si>
    <t>Experiencia previa en Organismos Internacionales promedio</t>
  </si>
  <si>
    <t>Experiencia previa en Academia promedio</t>
  </si>
  <si>
    <t>Composición de experiencia previa</t>
  </si>
  <si>
    <t>% Sector Privado</t>
  </si>
  <si>
    <t>% Banco de México</t>
  </si>
  <si>
    <t>% SHCP / Finanzas Públicas</t>
  </si>
  <si>
    <t>% Otros Organismos Públicos</t>
  </si>
  <si>
    <t>% Organismos Internacionales</t>
  </si>
  <si>
    <t>% Academia</t>
  </si>
  <si>
    <t>Indicador destacado</t>
  </si>
  <si>
    <t>Board A — Nombre</t>
  </si>
  <si>
    <t>Valor</t>
  </si>
  <si>
    <t>Board B — Nombre</t>
  </si>
  <si>
    <t>Mayor experiencia total</t>
  </si>
  <si>
    <t>Menor experiencia total</t>
  </si>
  <si>
    <t>Mayor experiencia monetaria</t>
  </si>
  <si>
    <t>Mayor experiencia fiscal</t>
  </si>
  <si>
    <t>Mayor experiencia previa en sector privado</t>
  </si>
  <si>
    <t>Mayor experiencia previa en Banxico</t>
  </si>
  <si>
    <t>Mayor experiencia previa en SHCP</t>
  </si>
  <si>
    <t>Mayor experiencia en organismos internacionales</t>
  </si>
  <si>
    <t>Nota: el perfil previo se congela en la fecha del primer nombramiento. Los seis orígenes son mutuamente excluyentes y suman la experiencia profesional documentada anterior a esa fecha.</t>
  </si>
  <si>
    <t>Catálogo maestro de personas — Índice Heath</t>
  </si>
  <si>
    <t>Incluye integrantes históricos, actuales y candidatos. Persona_ID es la llave estable para futuras integraciones con Python, React y bases de datos.</t>
  </si>
  <si>
    <t>Persona_ID</t>
  </si>
  <si>
    <t>Nombre_Canonico</t>
  </si>
  <si>
    <t>Tipo_Persona</t>
  </si>
  <si>
    <t>Primera_Fecha_Junta</t>
  </si>
  <si>
    <t>Ultima_Fecha_Junta</t>
  </si>
  <si>
    <t>Activo_Junta</t>
  </si>
  <si>
    <t>Fecha_Alta</t>
  </si>
  <si>
    <t>P001</t>
  </si>
  <si>
    <t>Integrante histórico</t>
  </si>
  <si>
    <t>No</t>
  </si>
  <si>
    <t>Importado del historial validado del Observatorio Banxico.</t>
  </si>
  <si>
    <t>P002</t>
  </si>
  <si>
    <t>P003</t>
  </si>
  <si>
    <t>P004</t>
  </si>
  <si>
    <t>P005</t>
  </si>
  <si>
    <t>P006</t>
  </si>
  <si>
    <t>P007</t>
  </si>
  <si>
    <t>P008</t>
  </si>
  <si>
    <t>P009</t>
  </si>
  <si>
    <t>P010</t>
  </si>
  <si>
    <t>P011</t>
  </si>
  <si>
    <t>P012</t>
  </si>
  <si>
    <t>P013</t>
  </si>
  <si>
    <t>P014</t>
  </si>
  <si>
    <t>P015</t>
  </si>
  <si>
    <t>P016</t>
  </si>
  <si>
    <t>P017</t>
  </si>
  <si>
    <t>Sí</t>
  </si>
  <si>
    <t>P018</t>
  </si>
  <si>
    <t>P019</t>
  </si>
  <si>
    <t>P020</t>
  </si>
  <si>
    <t>P021</t>
  </si>
  <si>
    <t>Catálogo metodológico — Criterios Heath</t>
  </si>
  <si>
    <t>La ponderación inicial es uniforme. Puede modificarse posteriormente sin alterar la estructura de evaluaciones.</t>
  </si>
  <si>
    <t>Criterio_ID</t>
  </si>
  <si>
    <t>Criterio</t>
  </si>
  <si>
    <t>Naturaleza</t>
  </si>
  <si>
    <t>Peso</t>
  </si>
  <si>
    <t>Definicion_Operativa</t>
  </si>
  <si>
    <t>Regla_Temporal</t>
  </si>
  <si>
    <t>Activo</t>
  </si>
  <si>
    <t>H01</t>
  </si>
  <si>
    <t>Formación académica</t>
  </si>
  <si>
    <t>Estático</t>
  </si>
  <si>
    <t>Rigor, pertinencia y profundidad de la formación formal.</t>
  </si>
  <si>
    <t>Conservar hasta revisión documentada.</t>
  </si>
  <si>
    <t>H02</t>
  </si>
  <si>
    <t>Formación y conocimiento en economía monetaria</t>
  </si>
  <si>
    <t>Formación especializada y dominio conceptual de economía monetaria.</t>
  </si>
  <si>
    <t>H03</t>
  </si>
  <si>
    <t>Experiencia en política monetaria</t>
  </si>
  <si>
    <t>Dinámico</t>
  </si>
  <si>
    <t>Participación directa en análisis, decisión o implementación de política monetaria.</t>
  </si>
  <si>
    <t>Actualizar cuando exista nueva experiencia relevante.</t>
  </si>
  <si>
    <t>H04</t>
  </si>
  <si>
    <t>Experiencia en mercados financieros y estabilidad financiera</t>
  </si>
  <si>
    <t>Conocimiento aplicado de mercados, regulación y riesgos financieros.</t>
  </si>
  <si>
    <t>Actualizar con nueva experiencia relevante.</t>
  </si>
  <si>
    <t>H05</t>
  </si>
  <si>
    <t>Liderazgo y capacidad institucional</t>
  </si>
  <si>
    <t>Capacidad para dirigir equipos, construir consensos y fortalecer instituciones.</t>
  </si>
  <si>
    <t>Reevaluar periódicamente.</t>
  </si>
  <si>
    <t>H06</t>
  </si>
  <si>
    <t>Independencia política</t>
  </si>
  <si>
    <t>Semidinámico</t>
  </si>
  <si>
    <t>Autonomía técnica observable frente a intereses partidistas o gubernamentales.</t>
  </si>
  <si>
    <t>Reevaluar ante nueva evidencia.</t>
  </si>
  <si>
    <t>H07</t>
  </si>
  <si>
    <t>Experiencia dentro del Banco de México</t>
  </si>
  <si>
    <t>Conocimiento acumulado de funciones, procesos y cultura institucional de Banxico.</t>
  </si>
  <si>
    <t>Actualizar conforme transcurre el servicio.</t>
  </si>
  <si>
    <t>H08</t>
  </si>
  <si>
    <t>Distancia respecto al poder político</t>
  </si>
  <si>
    <t>Separación profesional e institucional respecto de actores políticos.</t>
  </si>
  <si>
    <t>Reevaluar ante cambios de trayectoria o evidencia.</t>
  </si>
  <si>
    <t>H09</t>
  </si>
  <si>
    <t>Prestigio y reconocimiento nacional</t>
  </si>
  <si>
    <t>Reconocimiento profesional en México entre pares, instituciones y opinión especializada.</t>
  </si>
  <si>
    <t>H10</t>
  </si>
  <si>
    <t>Prestigio y reconocimiento internacional</t>
  </si>
  <si>
    <t>Reconocimiento profesional fuera de México y participación en redes internacionales.</t>
  </si>
  <si>
    <t>Registro histórico de evaluaciones Heath</t>
  </si>
  <si>
    <t>Evaluacion_ID</t>
  </si>
  <si>
    <t>Fecha_Evaluacion</t>
  </si>
  <si>
    <t>Tipo_Evaluacion</t>
  </si>
  <si>
    <t>Evaluador</t>
  </si>
  <si>
    <t>Fecha_Registro</t>
  </si>
  <si>
    <t>Confianza_Global</t>
  </si>
  <si>
    <t>Observaciones_Generales</t>
  </si>
  <si>
    <t>Detalle por criterio — Evaluaciones Heath</t>
  </si>
  <si>
    <t>Cada evaluación debe contener exactamente diez registros, uno por criterio.</t>
  </si>
  <si>
    <t>Calificacion</t>
  </si>
  <si>
    <t>Comentario</t>
  </si>
  <si>
    <t>Evidencia</t>
  </si>
  <si>
    <t>URL_Fuente</t>
  </si>
  <si>
    <t>Nivel_Confianza</t>
  </si>
  <si>
    <t>Captura y control — Índice Heath</t>
  </si>
  <si>
    <t>Registre candidatos o evaluaciones. Los botones guardan registros nuevos y conservan todo el historial.</t>
  </si>
  <si>
    <t>Alta de candidato</t>
  </si>
  <si>
    <t>Nombre completo</t>
  </si>
  <si>
    <t>Tipo</t>
  </si>
  <si>
    <t>Candidato</t>
  </si>
  <si>
    <t>Nueva evaluación</t>
  </si>
  <si>
    <t>Fecha evaluación</t>
  </si>
  <si>
    <t>Tipo evaluación</t>
  </si>
  <si>
    <t>Seguimiento</t>
  </si>
  <si>
    <t>Confianza global</t>
  </si>
  <si>
    <t>Observaciones generales</t>
  </si>
  <si>
    <t>ID</t>
  </si>
  <si>
    <t>Calificación</t>
  </si>
  <si>
    <t>URL fuente</t>
  </si>
  <si>
    <t>Confianza</t>
  </si>
  <si>
    <t>Control</t>
  </si>
  <si>
    <t>Resultado de validación</t>
  </si>
  <si>
    <t>Comparador histórico — Índice Heath</t>
  </si>
  <si>
    <t>Board A — Fecha</t>
  </si>
  <si>
    <t>Board B — Fecha</t>
  </si>
  <si>
    <t>Antigüedad</t>
  </si>
  <si>
    <t>Estadístico</t>
  </si>
  <si>
    <t>% Diferencia</t>
  </si>
  <si>
    <t>Notas</t>
  </si>
  <si>
    <t>Promedio</t>
  </si>
  <si>
    <t>Mediana</t>
  </si>
  <si>
    <t>Máximo</t>
  </si>
  <si>
    <t>Mínimo</t>
  </si>
  <si>
    <t>Desviación estándar</t>
  </si>
  <si>
    <t>Rango</t>
  </si>
  <si>
    <t>Coeficiente de variación</t>
  </si>
  <si>
    <t>Gobernador vs Gobernador</t>
  </si>
  <si>
    <t>Promedio Board A</t>
  </si>
  <si>
    <t>Promedio Board B</t>
  </si>
  <si>
    <t>Resultado</t>
  </si>
  <si>
    <t>Fecha actualización</t>
  </si>
  <si>
    <t>Observación</t>
  </si>
  <si>
    <t>Integrantes sin evaluación</t>
  </si>
  <si>
    <t>Evolución temporal — Índice Heath</t>
  </si>
  <si>
    <t>Desde</t>
  </si>
  <si>
    <t>Hasta</t>
  </si>
  <si>
    <t>Evolución individual</t>
  </si>
  <si>
    <t>Integrantes</t>
  </si>
  <si>
    <t>Evaluados</t>
  </si>
  <si>
    <t>Evolución de la Junta por eventos</t>
  </si>
  <si>
    <t>Alejandro Díaz de León Carrillo | Javier Eduardo Guzmán Calafell | Irene Espinosa Cantellano | Gerardo Esquivel Hernández | Jonathan Heath Constable</t>
  </si>
  <si>
    <t>Alejandro Díaz de León Carrillo | Irene Espinosa Cantellano | Gerardo Esquivel Hernández | Jonathan Heath Constable | Galia Borja Gómez</t>
  </si>
  <si>
    <t>Victoria Rodríguez Ceja | Irene Espinosa Cantellano | Gerardo Esquivel Hernández | Jonathan Heath Constable | Galia Borja Gómez</t>
  </si>
  <si>
    <t>Victoria Rodríguez Ceja | Irene Espinosa Cantellano | Jonathan Heath Constable | Galia Borja Gómez</t>
  </si>
  <si>
    <t>Victoria Rodríguez Ceja | Irene Espinosa Cantellano | Jonathan Heath Constable | Galia Borja Gómez | Omar Mejía Castelazo</t>
  </si>
  <si>
    <t>Victoria Rodríguez Ceja | Jonathan Heath Constable | Galia Borja Gómez | Omar Mejía Castelazo | José Gabriel Cuadra García</t>
  </si>
  <si>
    <t>Origen_Evaluacion</t>
  </si>
  <si>
    <t>Desglose_Disponible</t>
  </si>
  <si>
    <t>Fuente_Principal</t>
  </si>
  <si>
    <t>Una fila por persona y fecha. Origen distingue publicaciones de Heath, reconstrucciones, estimaciones y registros de usuario.</t>
  </si>
  <si>
    <t>P022</t>
  </si>
  <si>
    <t>Eduardo Fernández García</t>
  </si>
  <si>
    <t>Candidato histórico</t>
  </si>
  <si>
    <t>Incorporado para conservar evaluaciones históricas publicadas por Jonathan Heath.</t>
  </si>
  <si>
    <t>P023</t>
  </si>
  <si>
    <t>Carlos Ruiz Sacristán</t>
  </si>
  <si>
    <t>P024</t>
  </si>
  <si>
    <t>Alonso García Tamés</t>
  </si>
  <si>
    <t>P025</t>
  </si>
  <si>
    <t>Gerardo Rodríguez Regordosa</t>
  </si>
  <si>
    <t>P026</t>
  </si>
  <si>
    <t>José Antonio Meade Kuribreña</t>
  </si>
  <si>
    <t>P027</t>
  </si>
  <si>
    <t>Lorenza Martínez Trigueros</t>
  </si>
  <si>
    <t>P028</t>
  </si>
  <si>
    <t>Miguel Messmacher Linartas</t>
  </si>
  <si>
    <t>P029</t>
  </si>
  <si>
    <t>Luis Videgaray Caso</t>
  </si>
  <si>
    <t>HPUB-1997-GIL</t>
  </si>
  <si>
    <t>Histórica</t>
  </si>
  <si>
    <t>Vigente</t>
  </si>
  <si>
    <t>Jonathan Heath</t>
  </si>
  <si>
    <t>Calificación final publicada retrospectivamente por Jonathan Heath para 1997. El desglose por criterio y la fecha exacta no están disponibles.</t>
  </si>
  <si>
    <t>Heath publicada</t>
  </si>
  <si>
    <t>José Antonio Meade — Jonathan Heath (incluye tabla retrospectiva de 1997)</t>
  </si>
  <si>
    <t>https://jonathanheath.net/jose-antonio-meade/</t>
  </si>
  <si>
    <t>HPUB-1997-YACAMAN</t>
  </si>
  <si>
    <t>HPUB-1997-SIDAOUI</t>
  </si>
  <si>
    <t>HPUB-1997-ORTIZ</t>
  </si>
  <si>
    <t>HPUB-1997-FERNANDEZ</t>
  </si>
  <si>
    <t>HPUB-1997-RUIZ</t>
  </si>
  <si>
    <t>HPUB-2017-SIDAOUI</t>
  </si>
  <si>
    <t>Evaluación y desglose publicados por Jonathan Heath durante el proceso de selección de 2017.</t>
  </si>
  <si>
    <t>José Julián Sidaoui — Jonathan Heath</t>
  </si>
  <si>
    <t>https://jonathanheath.net/jose-julian-sidaoui/</t>
  </si>
  <si>
    <t>Calificación publicada por Jonathan Heath para este criterio.</t>
  </si>
  <si>
    <t>Artículo de Jonathan Heath con desglose de diez criterios.</t>
  </si>
  <si>
    <t>HPUB-2017-RAMOS</t>
  </si>
  <si>
    <t>Manuel Ramos Francia — Jonathan Heath</t>
  </si>
  <si>
    <t>https://jonathanheath.net/manuel-ramos-francia/</t>
  </si>
  <si>
    <t>HPUB-2017-ADL</t>
  </si>
  <si>
    <t>Alejandro Díaz de León — Jonathan Heath</t>
  </si>
  <si>
    <t>https://jonathanheath.net/alejandro-diaz-de-leon-2/</t>
  </si>
  <si>
    <t>HPUB-2017-MEADE</t>
  </si>
  <si>
    <t>José Antonio Meade — Jonathan Heath</t>
  </si>
  <si>
    <t>HPUB-2017-LORENZA</t>
  </si>
  <si>
    <t>El artículo detallado reporta total 7.8; las diez notas visibles promedian 7.7. Se conserva exactamente el total publicado y se documenta la discrepancia.</t>
  </si>
  <si>
    <t>Lorenza Martínez Trigueros — Jonathan Heath</t>
  </si>
  <si>
    <t>https://jonathanheath.net/lorenza-martinez-trigueros/</t>
  </si>
  <si>
    <t>HPUB-2017-VIDEGARAY</t>
  </si>
  <si>
    <t>Luis Videgaray Caso — Jonathan Heath</t>
  </si>
  <si>
    <t>https://jonathanheath.net/luis-videgaray-caso/</t>
  </si>
  <si>
    <t>HPUB-2017-GUZMAN</t>
  </si>
  <si>
    <t>Calificación final publicada por Jonathan Heath para el proceso de 2017. El desglose por criterio no está disponible en la fuente localizada.</t>
  </si>
  <si>
    <t>El próximo Gobernador — Jonathan Heath</t>
  </si>
  <si>
    <t>https://jonathanheath.net/el-proximo-gobernador/</t>
  </si>
  <si>
    <t>HPUB-2017-TAMES</t>
  </si>
  <si>
    <t>HPUB-2017-RODRIGUEZ</t>
  </si>
  <si>
    <t>HPUB-2017-MESSMACHER</t>
  </si>
  <si>
    <t>HREC-2017-CARSTENS</t>
  </si>
  <si>
    <t>Reconstrucción</t>
  </si>
  <si>
    <t>Observatorio Banxico</t>
  </si>
  <si>
    <t>Reconstrucción Observatorio: propuesta analítica, no publicada por Jonathan Heath. Se basa en trayectoria documentada y puede revisarse al incorporar nueva evidencia.</t>
  </si>
  <si>
    <t>Reconstrucción Observatorio</t>
  </si>
  <si>
    <t>Historia de la Junta de Gobierno — Banco de México</t>
  </si>
  <si>
    <t>Propuesta analítica del Observatorio para este criterio; sujeta a revisión documental.</t>
  </si>
  <si>
    <t>Trayectoria documentada en el Observatorio y fuente oficial; inferencia analítica.</t>
  </si>
  <si>
    <t>HREC-2017-GUZMAN</t>
  </si>
  <si>
    <t>Reconstrucción Observatorio: propuesta analítica, no publicada por Jonathan Heath. Se basa en trayectoria documentada y puede revisarse al incorporar nueva evidencia. El promedio reconstruido coincide con la calificación final publicada de 8.95.</t>
  </si>
  <si>
    <t>HREC-2017-DELCUETO</t>
  </si>
  <si>
    <t>Semblanza de Roberto del Cueto — Banco de México</t>
  </si>
  <si>
    <t>Estimación Observatorio</t>
  </si>
  <si>
    <t>Origen evaluación</t>
  </si>
  <si>
    <t>Usuario</t>
  </si>
  <si>
    <t>Etiqueta_Corta</t>
  </si>
  <si>
    <t>Académica</t>
  </si>
  <si>
    <t>Formación monetaria</t>
  </si>
  <si>
    <t>Política monetaria</t>
  </si>
  <si>
    <t>Mercados y estabilidad</t>
  </si>
  <si>
    <t>Liderazgo</t>
  </si>
  <si>
    <t>Independencia</t>
  </si>
  <si>
    <t>Experiencia Banxico</t>
  </si>
  <si>
    <t>Distancia política</t>
  </si>
  <si>
    <t>Prestigio nacional</t>
  </si>
  <si>
    <t>Prestigio internacional</t>
  </si>
  <si>
    <t>HBASE-P001</t>
  </si>
  <si>
    <t>Línea base de ingreso</t>
  </si>
  <si>
    <t>Cronología validada del workbook y semblanzas oficiales del Banco de México</t>
  </si>
  <si>
    <t>Criterio estático: se conserva salvo nueva evidencia documental.</t>
  </si>
  <si>
    <t>Criterio acumulativo: evolución gradual conforme a antigüedad y experiencia documentada.</t>
  </si>
  <si>
    <t>Criterio revisable: se mantiene sin cambios salvo evidencia específica.</t>
  </si>
  <si>
    <t>HBASE-P002</t>
  </si>
  <si>
    <t>HBASE-P003</t>
  </si>
  <si>
    <t>HBASE-P004</t>
  </si>
  <si>
    <t>HBASE-P005</t>
  </si>
  <si>
    <t>HBASE-P006</t>
  </si>
  <si>
    <t>HBASE-P007</t>
  </si>
  <si>
    <t>HBASE-P008</t>
  </si>
  <si>
    <t>HBASE-P009</t>
  </si>
  <si>
    <t>HBASE-P010</t>
  </si>
  <si>
    <t>HBASE-P011</t>
  </si>
  <si>
    <t>HBASE-P012</t>
  </si>
  <si>
    <t>HBASE-P013</t>
  </si>
  <si>
    <t>HBASE-P014</t>
  </si>
  <si>
    <t>HBASE-P015</t>
  </si>
  <si>
    <t>HOBS-P015-2018</t>
  </si>
  <si>
    <t>Seguimiento anual</t>
  </si>
  <si>
    <t>Estimación anual consistente: H01–H02 permanecen fijos; H03, H04, H05, H07, H09 y H10 avanzan gradualmente; H06 y H08 sólo cambian con evidencia.</t>
  </si>
  <si>
    <t>HOBS-P015-2019</t>
  </si>
  <si>
    <t>HOBS-P015-2020</t>
  </si>
  <si>
    <t>HOBS-P015-2021</t>
  </si>
  <si>
    <t>HOBS-P015-2022</t>
  </si>
  <si>
    <t>HOBS-P015-2023</t>
  </si>
  <si>
    <t>HOBS-P015-2024</t>
  </si>
  <si>
    <t>HBASE-P016</t>
  </si>
  <si>
    <t>HOBS-P016-2019</t>
  </si>
  <si>
    <t>HOBS-P016-2020</t>
  </si>
  <si>
    <t>HOBS-P016-2021</t>
  </si>
  <si>
    <t>HOBS-P016-2022</t>
  </si>
  <si>
    <t>HBASE-P017</t>
  </si>
  <si>
    <t>HOBS-P017-2019</t>
  </si>
  <si>
    <t>HOBS-P017-2020</t>
  </si>
  <si>
    <t>HOBS-P017-2021</t>
  </si>
  <si>
    <t>HOBS-P017-2022</t>
  </si>
  <si>
    <t>HOBS-P017-2023</t>
  </si>
  <si>
    <t>HOBS-P017-2024</t>
  </si>
  <si>
    <t>HOBS-P017-2025</t>
  </si>
  <si>
    <t>HOBS-P017-202606</t>
  </si>
  <si>
    <t>Estimación a junio de 2026 bajo las mismas reglas temporales, sin saltos discrecionales.</t>
  </si>
  <si>
    <t>HBASE-P018</t>
  </si>
  <si>
    <t>HOBS-P018-2021</t>
  </si>
  <si>
    <t>HOBS-P018-2022</t>
  </si>
  <si>
    <t>HOBS-P018-2023</t>
  </si>
  <si>
    <t>HOBS-P018-2024</t>
  </si>
  <si>
    <t>HOBS-P018-2025</t>
  </si>
  <si>
    <t>HOBS-P018-202606</t>
  </si>
  <si>
    <t>HBASE-P019</t>
  </si>
  <si>
    <t>HOBS-P019-2022</t>
  </si>
  <si>
    <t>HOBS-P019-2023</t>
  </si>
  <si>
    <t>HOBS-P019-2024</t>
  </si>
  <si>
    <t>HOBS-P019-2025</t>
  </si>
  <si>
    <t>HOBS-P019-202606</t>
  </si>
  <si>
    <t>HBASE-P020</t>
  </si>
  <si>
    <t>HOBS-P020-2023</t>
  </si>
  <si>
    <t>HOBS-P020-2024</t>
  </si>
  <si>
    <t>HOBS-P020-2025</t>
  </si>
  <si>
    <t>HOBS-P020-202606</t>
  </si>
  <si>
    <t>HBASE-P021</t>
  </si>
  <si>
    <t>HOBS-P021-2025</t>
  </si>
  <si>
    <t>HOBS-P021-202606</t>
  </si>
  <si>
    <t>Formación
monetaria</t>
  </si>
  <si>
    <t>Política
monetaria</t>
  </si>
  <si>
    <t>Mercados y
estabilidad</t>
  </si>
  <si>
    <t>Experiencia
Banxico</t>
  </si>
  <si>
    <t>Distancia
política</t>
  </si>
  <si>
    <t>Prestigio
nacional</t>
  </si>
  <si>
    <t>Prestigio
internacional</t>
  </si>
  <si>
    <t>Dif. total
equivalente</t>
  </si>
  <si>
    <t>Origen</t>
  </si>
  <si>
    <t>Estimación de ingreso: utiliza únicamente trayectoria disponible hasta el mes de incorporación a la Junta; no incorpora experiencia futura.</t>
  </si>
  <si>
    <t>Regla anual: Académica y Formación monetaria permanecen fijas; Política monetaria +0.15, Mercados +0.05, Liderazgo +0.10, Experiencia Banxico +0.50 y Prestigios +0.10, con máximo 10. Independencia y Distancia política sólo cambian con evidencia.</t>
  </si>
  <si>
    <t>Actualizado 2026-07-24 20:17</t>
  </si>
  <si>
    <t>Board A y Board B comparten exactamente las mismas columnas. Cada corte usa la última evaluación disponible sin mirar hacia el futuro.</t>
  </si>
  <si>
    <t>Completo</t>
  </si>
  <si>
    <t>Los faltantes no se imputan como cero.</t>
  </si>
  <si>
    <t>Origen_Desglose</t>
  </si>
  <si>
    <t>Modificado_por_usuario</t>
  </si>
  <si>
    <t>Desglose_Publicado_Heath</t>
  </si>
  <si>
    <t>Fecha_Ultima_Modificacion</t>
  </si>
  <si>
    <t>Sin desglose publicado</t>
  </si>
  <si>
    <t>Bitácora técnica de cambios — Índice Heath</t>
  </si>
  <si>
    <t>No participa en el comparador. Conserva los valores sustituidos para recuperación y auditoría.</t>
  </si>
  <si>
    <t>Timestamp</t>
  </si>
  <si>
    <t>Accion</t>
  </si>
  <si>
    <t>Campo</t>
  </si>
  <si>
    <t>Valor_Anterior</t>
  </si>
  <si>
    <t>Valor_Nuevo</t>
  </si>
  <si>
    <t>Observacion</t>
  </si>
  <si>
    <t>Edición: amarillo = modificable; gris = calificación publicada por Heath y protegida. Guardar sobrescribe la última evaluación utilizada, no crea una fecha nueva. Las fuentes existentes se conservan.</t>
  </si>
  <si>
    <t>Sobrescritura</t>
  </si>
  <si>
    <t>ramse gutierrez</t>
  </si>
  <si>
    <t>Fuente y evidencia conservadas.</t>
  </si>
  <si>
    <t>Criterio acumulativo: evolución gradual conforme a antigüedad y experiencia documentada. | Ajuste manual desde comparador 2026-07-25</t>
  </si>
  <si>
    <t>Recalculo total</t>
  </si>
  <si>
    <t>Promedio simple de los diez criterios.</t>
  </si>
  <si>
    <t>Criterio estático: se conserva salvo nueva evidencia documental. | Ajuste manual desde comparador 2026-07-25</t>
  </si>
  <si>
    <t>Criterio revisable: se mantiene sin cambios salvo evidencia específica. | Ajuste manual desde comparador 2026-07-25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</si>
</sst>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"/>
    <numFmt numFmtId="165" formatCode="mmm\ yyyy"/>
    <numFmt numFmtId="166" formatCode="0.0%"/>
    <numFmt numFmtId="167" formatCode="0.0"/>
    <numFmt numFmtId="168" formatCode="yyyy\-mm\-dd\ hh:mm"/>
  </numFmts>
  <fonts count="13">
    <font>
      <sz val="11"/>
      <name val="Carlito"/>
    </font>
    <font>
      <b/>
      <sz val="16"/>
      <color rgb="FFFFFFFF"/>
      <name val="Carlito"/>
    </font>
    <font>
      <i/>
      <sz val="11"/>
      <color rgb="FF163A5F"/>
      <name val="Carlito"/>
    </font>
    <font>
      <b/>
      <sz val="11"/>
      <color rgb="FFFFFFFF"/>
      <name val="Carlito"/>
    </font>
    <font>
      <b/>
      <sz val="10"/>
      <color rgb="FFFFFFFF"/>
      <name val="Aptos"/>
    </font>
    <font>
      <b/>
      <sz val="9"/>
      <color rgb="FFFFFFFF"/>
      <name val="Aptos"/>
    </font>
    <font>
      <sz val="9"/>
      <name val="Aptos"/>
    </font>
    <font>
      <i/>
      <sz val="11"/>
      <name val="Carlito"/>
    </font>
    <font>
      <b/>
      <sz val="11"/>
      <name val="Carlito"/>
    </font>
    <font>
      <sz val="10"/>
      <name val="Aptos"/>
      <family val="2"/>
    </font>
    <font>
      <b/>
      <sz val="10"/>
      <color rgb="FFFFFFFF"/>
      <name val="Aptos"/>
      <family val="2"/>
    </font>
    <font>
      <b/>
      <sz val="12"/>
      <color rgb="FFFFFFFF"/>
      <name val="Aptos"/>
      <family val="2"/>
    </font>
    <font>
      <b/>
      <sz val="10"/>
      <name val="Aptos"/>
      <family val="2"/>
    </font>
  </fonts>
  <fills count="11">
    <fill>
      <patternFill patternType="none"/>
    </fill>
    <fill>
      <patternFill patternType="gray125"/>
    </fill>
    <fill>
      <patternFill patternType="solid">
        <fgColor rgb="FF163A5F"/>
      </patternFill>
    </fill>
    <fill>
      <patternFill patternType="solid">
        <fgColor rgb="FFDCE6F1"/>
      </patternFill>
    </fill>
    <fill>
      <patternFill patternType="solid">
        <fgColor rgb="FF2F75B5"/>
      </patternFill>
    </fill>
    <fill>
      <patternFill patternType="solid">
        <fgColor rgb="FF163A5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2E75B6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163A5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vertical="top"/>
    </xf>
    <xf numFmtId="0" fontId="3" fillId="4" borderId="1" xfId="0" applyFont="1" applyFill="1" applyBorder="1" applyAlignment="1">
      <alignment vertical="top" wrapText="1"/>
    </xf>
    <xf numFmtId="0" fontId="0" fillId="0" borderId="0" xfId="0" applyAlignment="1">
      <alignment vertical="top" wrapText="1"/>
    </xf>
    <xf numFmtId="164" fontId="0" fillId="0" borderId="0" xfId="0" applyNumberFormat="1" applyAlignment="1">
      <alignment vertical="top" wrapText="1"/>
    </xf>
    <xf numFmtId="0" fontId="0" fillId="0" borderId="0" xfId="0" applyAlignment="1">
      <alignment horizontal="center"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164" fontId="0" fillId="0" borderId="0" xfId="0" applyNumberFormat="1" applyAlignment="1">
      <alignment vertical="top"/>
    </xf>
    <xf numFmtId="0" fontId="5" fillId="4" borderId="1" xfId="0" applyFont="1" applyFill="1" applyBorder="1" applyAlignment="1">
      <alignment vertical="top"/>
    </xf>
    <xf numFmtId="165" fontId="6" fillId="0" borderId="0" xfId="0" applyNumberFormat="1" applyFont="1" applyAlignment="1">
      <alignment vertical="top"/>
    </xf>
    <xf numFmtId="2" fontId="6" fillId="0" borderId="0" xfId="0" applyNumberFormat="1" applyFont="1" applyAlignment="1">
      <alignment vertical="top"/>
    </xf>
    <xf numFmtId="0" fontId="3" fillId="7" borderId="0" xfId="0" applyFont="1" applyFill="1" applyAlignment="1">
      <alignment wrapText="1"/>
    </xf>
    <xf numFmtId="2" fontId="0" fillId="0" borderId="0" xfId="0" applyNumberFormat="1"/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65" fontId="8" fillId="8" borderId="0" xfId="0" applyNumberFormat="1" applyFont="1" applyFill="1"/>
    <xf numFmtId="10" fontId="0" fillId="0" borderId="0" xfId="0" applyNumberFormat="1"/>
    <xf numFmtId="166" fontId="0" fillId="0" borderId="0" xfId="0" applyNumberFormat="1"/>
    <xf numFmtId="0" fontId="9" fillId="0" borderId="0" xfId="0" applyFont="1"/>
    <xf numFmtId="0" fontId="10" fillId="10" borderId="0" xfId="0" applyFont="1" applyFill="1"/>
    <xf numFmtId="0" fontId="9" fillId="8" borderId="0" xfId="0" applyFont="1" applyFill="1"/>
    <xf numFmtId="167" fontId="9" fillId="8" borderId="0" xfId="0" applyNumberFormat="1" applyFont="1" applyFill="1"/>
    <xf numFmtId="164" fontId="9" fillId="0" borderId="0" xfId="0" applyNumberFormat="1" applyFont="1"/>
    <xf numFmtId="164" fontId="10" fillId="10" borderId="0" xfId="0" applyNumberFormat="1" applyFont="1" applyFill="1"/>
    <xf numFmtId="168" fontId="10" fillId="10" borderId="0" xfId="0" applyNumberFormat="1" applyFont="1" applyFill="1"/>
    <xf numFmtId="168" fontId="9" fillId="0" borderId="0" xfId="0" applyNumberFormat="1" applyFont="1"/>
    <xf numFmtId="2" fontId="10" fillId="10" borderId="0" xfId="0" applyNumberFormat="1" applyFont="1" applyFill="1"/>
    <xf numFmtId="2" fontId="9" fillId="0" borderId="0" xfId="0" applyNumberFormat="1" applyFont="1"/>
    <xf numFmtId="167" fontId="10" fillId="10" borderId="0" xfId="0" applyNumberFormat="1" applyFont="1" applyFill="1"/>
    <xf numFmtId="9" fontId="9" fillId="0" borderId="0" xfId="0" applyNumberFormat="1" applyFont="1"/>
    <xf numFmtId="0" fontId="9" fillId="8" borderId="0" xfId="0" applyFont="1" applyFill="1" applyAlignment="1">
      <alignment wrapText="1"/>
    </xf>
    <xf numFmtId="165" fontId="9" fillId="8" borderId="0" xfId="0" applyNumberFormat="1" applyFont="1" applyFill="1"/>
    <xf numFmtId="0" fontId="9" fillId="0" borderId="2" xfId="0" applyFont="1" applyBorder="1"/>
    <xf numFmtId="2" fontId="9" fillId="0" borderId="2" xfId="0" applyNumberFormat="1" applyFont="1" applyBorder="1"/>
    <xf numFmtId="165" fontId="9" fillId="0" borderId="2" xfId="0" applyNumberFormat="1" applyFont="1" applyBorder="1"/>
    <xf numFmtId="0" fontId="9" fillId="0" borderId="0" xfId="0" applyFont="1" applyAlignment="1">
      <alignment wrapText="1"/>
    </xf>
    <xf numFmtId="1" fontId="9" fillId="0" borderId="2" xfId="0" applyNumberFormat="1" applyFont="1" applyBorder="1"/>
    <xf numFmtId="0" fontId="9" fillId="10" borderId="0" xfId="0" applyFont="1" applyFill="1"/>
    <xf numFmtId="164" fontId="9" fillId="10" borderId="0" xfId="0" applyNumberFormat="1" applyFont="1" applyFill="1"/>
    <xf numFmtId="168" fontId="9" fillId="10" borderId="0" xfId="0" applyNumberFormat="1" applyFont="1" applyFill="1"/>
    <xf numFmtId="2" fontId="9" fillId="10" borderId="0" xfId="0" applyNumberFormat="1" applyFont="1" applyFill="1"/>
    <xf numFmtId="167" fontId="9" fillId="10" borderId="0" xfId="0" applyNumberFormat="1" applyFont="1" applyFill="1"/>
    <xf numFmtId="0" fontId="12" fillId="0" borderId="0" xfId="0" applyFont="1"/>
    <xf numFmtId="0" fontId="9" fillId="10" borderId="0" xfId="0" applyFont="1" applyFill="1" applyAlignment="1">
      <alignment wrapText="1"/>
    </xf>
    <xf numFmtId="0" fontId="10" fillId="10" borderId="0" xfId="0" applyFont="1" applyFill="1" applyAlignment="1">
      <alignment wrapText="1"/>
    </xf>
    <xf numFmtId="0" fontId="10" fillId="10" borderId="2" xfId="0" applyFont="1" applyFill="1" applyBorder="1" applyAlignment="1">
      <alignment wrapText="1"/>
    </xf>
    <xf numFmtId="0" fontId="10" fillId="9" borderId="0" xfId="0" applyFont="1" applyFill="1"/>
    <xf numFmtId="168" fontId="9" fillId="10" borderId="0" xfId="0" applyNumberFormat="1" applyFont="1" applyFill="1" applyAlignment="1">
      <alignment wrapText="1"/>
    </xf>
    <xf numFmtId="0" fontId="3" fillId="10" borderId="0" xfId="0" applyFont="1" applyFill="1"/>
    <xf numFmtId="168" fontId="3" fillId="10" borderId="0" xfId="0" applyNumberFormat="1" applyFont="1" applyFill="1"/>
    <xf numFmtId="168" fontId="0" fillId="0" borderId="0" xfId="0" applyNumberFormat="1"/>
    <xf numFmtId="165" fontId="9" fillId="8" borderId="0" xfId="0" applyNumberFormat="1" applyFont="1" applyFill="1" applyProtection="1">
      <protection locked="0"/>
    </xf>
    <xf numFmtId="2" fontId="9" fillId="8" borderId="2" xfId="0" applyNumberFormat="1" applyFont="1" applyFill="1" applyBorder="1" applyProtection="1">
      <protection locked="0"/>
    </xf>
    <xf numFmtId="0" fontId="3" fillId="10" borderId="0" xfId="0" applyFont="1" applyFill="1"/>
    <xf numFmtId="0" fontId="0" fillId="0" borderId="0" xfId="0"/>
    <xf numFmtId="0" fontId="1" fillId="5" borderId="0" xfId="0" applyFont="1" applyFill="1"/>
    <xf numFmtId="0" fontId="7" fillId="6" borderId="0" xfId="0" applyFont="1" applyFill="1"/>
    <xf numFmtId="0" fontId="4" fillId="2" borderId="0" xfId="0" applyFont="1" applyFill="1" applyAlignment="1">
      <alignment vertical="top"/>
    </xf>
    <xf numFmtId="0" fontId="2" fillId="3" borderId="0" xfId="0" applyFont="1" applyFill="1" applyAlignment="1">
      <alignment vertical="top" wrapText="1"/>
    </xf>
    <xf numFmtId="0" fontId="0" fillId="0" borderId="0" xfId="0" applyAlignment="1">
      <alignment vertical="top"/>
    </xf>
    <xf numFmtId="0" fontId="1" fillId="2" borderId="0" xfId="0" applyFont="1" applyFill="1" applyAlignment="1">
      <alignment vertical="top"/>
    </xf>
    <xf numFmtId="0" fontId="7" fillId="8" borderId="0" xfId="0" applyFont="1" applyFill="1"/>
    <xf numFmtId="0" fontId="3" fillId="5" borderId="0" xfId="0" applyFont="1" applyFill="1"/>
    <xf numFmtId="0" fontId="2" fillId="3" borderId="0" xfId="0" applyFont="1" applyFill="1" applyAlignment="1">
      <alignment vertical="top"/>
    </xf>
    <xf numFmtId="0" fontId="11" fillId="9" borderId="0" xfId="0" applyFont="1" applyFill="1"/>
    <xf numFmtId="0" fontId="9" fillId="0" borderId="0" xfId="0" applyFont="1"/>
    <xf numFmtId="0" fontId="10" fillId="9" borderId="0" xfId="0" applyFont="1" applyFill="1"/>
    <xf numFmtId="0" fontId="9" fillId="8" borderId="0" xfId="0" applyFont="1" applyFill="1"/>
    <xf numFmtId="0" fontId="9" fillId="8" borderId="0" xfId="0" applyFont="1" applyFill="1" applyAlignment="1">
      <alignment wrapText="1"/>
    </xf>
    <xf numFmtId="0" fontId="9" fillId="0" borderId="0" xfId="0" applyFont="1" applyAlignment="1">
      <alignment wrapText="1"/>
    </xf>
    <xf numFmtId="164" fontId="9" fillId="8" borderId="0" xfId="0" applyNumberFormat="1" applyFont="1" applyFill="1"/>
    <xf numFmtId="0" fontId="11" fillId="9" borderId="0" xfId="0" applyFont="1" applyFill="1" applyProtection="1"/>
    <xf numFmtId="0" fontId="9" fillId="0" borderId="0" xfId="0" applyFont="1" applyAlignment="1" applyProtection="1">
      <alignment wrapText="1"/>
    </xf>
    <xf numFmtId="0" fontId="9" fillId="0" borderId="0" xfId="0" applyFont="1" applyProtection="1"/>
    <xf numFmtId="0" fontId="10" fillId="10" borderId="0" xfId="0" applyFont="1" applyFill="1" applyAlignment="1" applyProtection="1">
      <alignment wrapText="1"/>
    </xf>
    <xf numFmtId="0" fontId="9" fillId="0" borderId="2" xfId="0" applyFont="1" applyBorder="1" applyProtection="1"/>
    <xf numFmtId="2" fontId="9" fillId="0" borderId="2" xfId="0" applyNumberFormat="1" applyFont="1" applyBorder="1" applyProtection="1"/>
    <xf numFmtId="0" fontId="10" fillId="10" borderId="0" xfId="0" applyFont="1" applyFill="1" applyProtection="1"/>
    <xf numFmtId="166" fontId="9" fillId="0" borderId="2" xfId="0" applyNumberFormat="1" applyFont="1" applyBorder="1" applyProtection="1"/>
    <xf numFmtId="22" fontId="9" fillId="0" borderId="0" xfId="0" applyNumberFormat="1" applyFont="1" applyProtection="1"/>
    <xf numFmtId="0" fontId="9" fillId="8" borderId="0" xfId="0" applyFont="1" applyFill="1" applyAlignment="1" applyProtection="1">
      <alignment wrapText="1"/>
    </xf>
    <xf numFmtId="14" fontId="3" fillId="10" borderId="0" xfId="0" applyNumberFormat="1" applyFont="1" applyFill="1"/>
  </cellXfs>
  <cellStyles count="1">
    <cellStyle name="Normal" xfId="0" builtinId="0"/>
  </cellStyles>
  <dxfs count="87">
    <dxf>
      <font>
        <b/>
        <color rgb="FF375623"/>
      </font>
      <fill>
        <patternFill patternType="solid">
          <bgColor rgb="FFE2F0D9"/>
        </patternFill>
      </fill>
    </dxf>
    <dxf>
      <font>
        <b/>
        <color rgb="FF9C6500"/>
      </font>
      <fill>
        <patternFill patternType="solid">
          <bgColor rgb="FFFFF2CC"/>
        </patternFill>
      </fill>
    </dxf>
    <dxf>
      <font>
        <color rgb="FF375623"/>
      </font>
      <fill>
        <patternFill patternType="solid">
          <bgColor rgb="FFE2F0D9"/>
        </patternFill>
      </fill>
    </dxf>
    <dxf>
      <font>
        <color rgb="FF9C0006"/>
      </font>
      <fill>
        <patternFill patternType="solid">
          <bgColor rgb="FFFCE4D6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68" formatCode="yyyy\-mm\-dd\ hh:mm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67" formatCode="0.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2E75B6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68" formatCode="yyyy\-mm\-dd\ hh:mm"/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2" formatCode="0.0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68" formatCode="yyyy\-mm\-dd\ hh:mm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64" formatCode="yyyy\-mm\-dd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2E75B6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2E75B6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64" formatCode="yyyy\-mm\-dd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64" formatCode="yyyy\-mm\-dd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64" formatCode="yyyy\-mm\-dd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2E75B6"/>
        </patternFill>
      </fill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2F75B5"/>
        </patternFill>
      </fill>
      <alignment horizontal="general" vertical="bottom" textRotation="0" wrapText="1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2F75B5"/>
        </patternFill>
      </fill>
      <alignment horizontal="general" vertical="bottom" textRotation="0" wrapText="1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2F75B5"/>
        </patternFill>
      </fill>
      <alignment horizontal="general" vertical="bottom" textRotation="0" wrapText="1" indent="0" justifyLastLine="0" shrinkToFit="0" readingOrder="0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general" vertical="bottom" textRotation="0" wrapText="1" indent="0" justifyLastLine="0" shrinkToFit="0" readingOrder="0"/>
    </dxf>
    <dxf>
      <numFmt numFmtId="164" formatCode="yyyy\-mm\-dd"/>
      <alignment horizontal="general" vertical="bottom" textRotation="0" wrapText="1" indent="0" justifyLastLine="0" shrinkToFit="0" readingOrder="0"/>
    </dxf>
    <dxf>
      <numFmt numFmtId="2" formatCode="0.00"/>
      <alignment horizontal="general" vertical="bottom" textRotation="0" wrapText="1" indent="0" justifyLastLine="0" shrinkToFit="0" readingOrder="0"/>
    </dxf>
    <dxf>
      <numFmt numFmtId="2" formatCode="0.00"/>
      <alignment horizontal="general" vertical="bottom" textRotation="0" wrapText="1" indent="0" justifyLastLine="0" shrinkToFit="0" readingOrder="0"/>
    </dxf>
    <dxf>
      <numFmt numFmtId="2" formatCode="0.00"/>
      <alignment horizontal="general" vertical="bottom" textRotation="0" wrapText="1" indent="0" justifyLastLine="0" shrinkToFit="0" readingOrder="0"/>
    </dxf>
    <dxf>
      <numFmt numFmtId="2" formatCode="0.00"/>
      <alignment horizontal="general" vertical="bottom" textRotation="0" wrapText="1" indent="0" justifyLastLine="0" shrinkToFit="0" readingOrder="0"/>
    </dxf>
    <dxf>
      <numFmt numFmtId="2" formatCode="0.00"/>
      <alignment horizontal="general" vertical="bottom" textRotation="0" wrapText="1" indent="0" justifyLastLine="0" shrinkToFit="0" readingOrder="0"/>
    </dxf>
    <dxf>
      <numFmt numFmtId="2" formatCode="0.00"/>
      <alignment horizontal="general" vertical="bottom" textRotation="0" wrapText="1" indent="0" justifyLastLine="0" shrinkToFit="0" readingOrder="0"/>
    </dxf>
    <dxf>
      <numFmt numFmtId="2" formatCode="0.00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2F75B5"/>
        </patternFill>
      </fill>
      <alignment horizontal="general" vertical="bottom" textRotation="0" wrapText="1" indent="0" justifyLastLine="0" shrinkToFit="0" readingOrder="0"/>
    </dxf>
    <dxf>
      <numFmt numFmtId="168" formatCode="yyyy\-mm\-dd\ hh:mm"/>
    </dxf>
    <dxf>
      <font>
        <b/>
        <color rgb="FFFFFFFF"/>
      </font>
      <fill>
        <patternFill patternType="solid">
          <fgColor indexed="64"/>
          <bgColor rgb="FF2E75B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934720</xdr:colOff>
      <xdr:row>3</xdr:row>
      <xdr:rowOff>187960</xdr:rowOff>
    </xdr:from>
    <xdr:to>
      <xdr:col>4</xdr:col>
      <xdr:colOff>421640</xdr:colOff>
      <xdr:row>5</xdr:row>
      <xdr:rowOff>170180</xdr:rowOff>
    </xdr:to>
    <xdr:sp macro="Heath_AgregarCandidato" textlink="">
      <xdr:nvSpPr>
        <xdr:cNvPr id="2" name="Rectangle 1">
          <a:extLst>
            <a:ext uri="{FF2B5EF4-FFF2-40B4-BE49-F238E27FC236}">
              <a16:creationId xmlns:a16="http://schemas.microsoft.com/office/drawing/2014/main" id="{92F52196-6ED2-0A37-421B-4C185F4EC4D4}"/>
            </a:ext>
          </a:extLst>
        </xdr:cNvPr>
        <xdr:cNvSpPr/>
      </xdr:nvSpPr>
      <xdr:spPr>
        <a:xfrm>
          <a:off x="5461000" y="736600"/>
          <a:ext cx="2032000" cy="355600"/>
        </a:xfrm>
        <a:prstGeom prst="rect">
          <a:avLst/>
        </a:prstGeom>
        <a:solidFill>
          <a:srgbClr val="2E75B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>
              <a:solidFill>
                <a:srgbClr val="FFFFFF"/>
              </a:solidFill>
            </a:rPr>
            <a:t>Agregar candidato</a:t>
          </a:r>
        </a:p>
      </xdr:txBody>
    </xdr:sp>
    <xdr:clientData/>
  </xdr:twoCellAnchor>
  <xdr:twoCellAnchor>
    <xdr:from>
      <xdr:col>2</xdr:col>
      <xdr:colOff>934720</xdr:colOff>
      <xdr:row>13</xdr:row>
      <xdr:rowOff>2540</xdr:rowOff>
    </xdr:from>
    <xdr:to>
      <xdr:col>4</xdr:col>
      <xdr:colOff>421640</xdr:colOff>
      <xdr:row>15</xdr:row>
      <xdr:rowOff>7620</xdr:rowOff>
    </xdr:to>
    <xdr:sp macro="Heath_GuardarEvaluacion" textlink="">
      <xdr:nvSpPr>
        <xdr:cNvPr id="3" name="Rectangle 2">
          <a:extLst>
            <a:ext uri="{FF2B5EF4-FFF2-40B4-BE49-F238E27FC236}">
              <a16:creationId xmlns:a16="http://schemas.microsoft.com/office/drawing/2014/main" id="{A807A183-5058-FA95-84BE-7986FCA5CDEF}"/>
            </a:ext>
          </a:extLst>
        </xdr:cNvPr>
        <xdr:cNvSpPr/>
      </xdr:nvSpPr>
      <xdr:spPr>
        <a:xfrm>
          <a:off x="5461000" y="2349500"/>
          <a:ext cx="2032000" cy="355600"/>
        </a:xfrm>
        <a:prstGeom prst="rect">
          <a:avLst/>
        </a:prstGeom>
        <a:solidFill>
          <a:srgbClr val="2E75B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>
              <a:solidFill>
                <a:srgbClr val="FFFFFF"/>
              </a:solidFill>
            </a:rPr>
            <a:t>Guardar evaluación</a:t>
          </a:r>
        </a:p>
      </xdr:txBody>
    </xdr:sp>
    <xdr:clientData/>
  </xdr:twoCellAnchor>
  <xdr:twoCellAnchor>
    <xdr:from>
      <xdr:col>4</xdr:col>
      <xdr:colOff>548640</xdr:colOff>
      <xdr:row>13</xdr:row>
      <xdr:rowOff>2540</xdr:rowOff>
    </xdr:from>
    <xdr:to>
      <xdr:col>5</xdr:col>
      <xdr:colOff>393700</xdr:colOff>
      <xdr:row>15</xdr:row>
      <xdr:rowOff>7620</xdr:rowOff>
    </xdr:to>
    <xdr:sp macro="Heath_AuditoriaCompleta" textlink="">
      <xdr:nvSpPr>
        <xdr:cNvPr id="4" name="Rectangle 3">
          <a:extLst>
            <a:ext uri="{FF2B5EF4-FFF2-40B4-BE49-F238E27FC236}">
              <a16:creationId xmlns:a16="http://schemas.microsoft.com/office/drawing/2014/main" id="{36D28FB9-4420-483D-1991-4F94A73AFC47}"/>
            </a:ext>
          </a:extLst>
        </xdr:cNvPr>
        <xdr:cNvSpPr/>
      </xdr:nvSpPr>
      <xdr:spPr>
        <a:xfrm>
          <a:off x="7620000" y="2349500"/>
          <a:ext cx="2032000" cy="355600"/>
        </a:xfrm>
        <a:prstGeom prst="rect">
          <a:avLst/>
        </a:prstGeom>
        <a:solidFill>
          <a:srgbClr val="2E75B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>
              <a:solidFill>
                <a:srgbClr val="FFFFFF"/>
              </a:solidFill>
            </a:rPr>
            <a:t>Auditoría completa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546100</xdr:colOff>
      <xdr:row>2</xdr:row>
      <xdr:rowOff>30480</xdr:rowOff>
    </xdr:from>
    <xdr:to>
      <xdr:col>7</xdr:col>
      <xdr:colOff>337820</xdr:colOff>
      <xdr:row>4</xdr:row>
      <xdr:rowOff>35560</xdr:rowOff>
    </xdr:to>
    <xdr:sp macro="Heath_ActualizarComparador" textlink="">
      <xdr:nvSpPr>
        <xdr:cNvPr id="2" name="Rectangle 1">
          <a:extLst>
            <a:ext uri="{FF2B5EF4-FFF2-40B4-BE49-F238E27FC236}">
              <a16:creationId xmlns:a16="http://schemas.microsoft.com/office/drawing/2014/main" id="{2BF7AB10-FBC1-32E8-A9D1-0D97A6C2A413}"/>
            </a:ext>
          </a:extLst>
        </xdr:cNvPr>
        <xdr:cNvSpPr/>
      </xdr:nvSpPr>
      <xdr:spPr>
        <a:xfrm>
          <a:off x="7747000" y="609600"/>
          <a:ext cx="2032000" cy="355600"/>
        </a:xfrm>
        <a:prstGeom prst="rect">
          <a:avLst/>
        </a:prstGeom>
        <a:solidFill>
          <a:srgbClr val="2E75B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>
              <a:solidFill>
                <a:srgbClr val="FFFFFF"/>
              </a:solidFill>
            </a:rPr>
            <a:t>Actualizar comparador</a:t>
          </a:r>
        </a:p>
      </xdr:txBody>
    </xdr:sp>
    <xdr:clientData/>
  </xdr:twoCellAnchor>
  <xdr:twoCellAnchor>
    <xdr:from>
      <xdr:col>7</xdr:col>
      <xdr:colOff>464820</xdr:colOff>
      <xdr:row>2</xdr:row>
      <xdr:rowOff>30480</xdr:rowOff>
    </xdr:from>
    <xdr:to>
      <xdr:col>9</xdr:col>
      <xdr:colOff>66040</xdr:colOff>
      <xdr:row>4</xdr:row>
      <xdr:rowOff>35560</xdr:rowOff>
    </xdr:to>
    <xdr:sp macro="Heath_GuardarBoardA" textlink="">
      <xdr:nvSpPr>
        <xdr:cNvPr id="3" name="Rectangle 2">
          <a:extLst>
            <a:ext uri="{FF2B5EF4-FFF2-40B4-BE49-F238E27FC236}">
              <a16:creationId xmlns:a16="http://schemas.microsoft.com/office/drawing/2014/main" id="{57ADE679-9186-538C-BFD0-52E9D4B89E0B}"/>
            </a:ext>
          </a:extLst>
        </xdr:cNvPr>
        <xdr:cNvSpPr/>
      </xdr:nvSpPr>
      <xdr:spPr>
        <a:xfrm>
          <a:off x="9906000" y="609600"/>
          <a:ext cx="1841500" cy="355600"/>
        </a:xfrm>
        <a:prstGeom prst="rect">
          <a:avLst/>
        </a:prstGeom>
        <a:solidFill>
          <a:srgbClr val="2E75B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>
              <a:solidFill>
                <a:srgbClr val="FFFFFF"/>
              </a:solidFill>
            </a:rPr>
            <a:t>Guardar Board A</a:t>
          </a:r>
        </a:p>
      </xdr:txBody>
    </xdr:sp>
    <xdr:clientData/>
  </xdr:twoCellAnchor>
  <xdr:twoCellAnchor>
    <xdr:from>
      <xdr:col>9</xdr:col>
      <xdr:colOff>193040</xdr:colOff>
      <xdr:row>2</xdr:row>
      <xdr:rowOff>30480</xdr:rowOff>
    </xdr:from>
    <xdr:to>
      <xdr:col>10</xdr:col>
      <xdr:colOff>914400</xdr:colOff>
      <xdr:row>4</xdr:row>
      <xdr:rowOff>35560</xdr:rowOff>
    </xdr:to>
    <xdr:sp macro="Heath_GuardarBoardB" textlink="">
      <xdr:nvSpPr>
        <xdr:cNvPr id="4" name="Rectangle 3">
          <a:extLst>
            <a:ext uri="{FF2B5EF4-FFF2-40B4-BE49-F238E27FC236}">
              <a16:creationId xmlns:a16="http://schemas.microsoft.com/office/drawing/2014/main" id="{335951B3-6024-76DA-B847-DBF7DB50896A}"/>
            </a:ext>
          </a:extLst>
        </xdr:cNvPr>
        <xdr:cNvSpPr/>
      </xdr:nvSpPr>
      <xdr:spPr>
        <a:xfrm>
          <a:off x="11874500" y="609600"/>
          <a:ext cx="1841500" cy="355600"/>
        </a:xfrm>
        <a:prstGeom prst="rect">
          <a:avLst/>
        </a:prstGeom>
        <a:solidFill>
          <a:srgbClr val="2E75B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>
              <a:solidFill>
                <a:srgbClr val="FFFFFF"/>
              </a:solidFill>
            </a:rPr>
            <a:t>Guardar Board B</a:t>
          </a:r>
        </a:p>
      </xdr:txBody>
    </xdr:sp>
    <xdr:clientData/>
  </xdr:twoCellAnchor>
  <xdr:twoCellAnchor>
    <xdr:from>
      <xdr:col>10</xdr:col>
      <xdr:colOff>1041400</xdr:colOff>
      <xdr:row>2</xdr:row>
      <xdr:rowOff>30480</xdr:rowOff>
    </xdr:from>
    <xdr:to>
      <xdr:col>12</xdr:col>
      <xdr:colOff>642620</xdr:colOff>
      <xdr:row>4</xdr:row>
      <xdr:rowOff>35560</xdr:rowOff>
    </xdr:to>
    <xdr:sp macro="Heath_DescartarCambios" textlink="">
      <xdr:nvSpPr>
        <xdr:cNvPr id="5" name="Rectangle 4">
          <a:extLst>
            <a:ext uri="{FF2B5EF4-FFF2-40B4-BE49-F238E27FC236}">
              <a16:creationId xmlns:a16="http://schemas.microsoft.com/office/drawing/2014/main" id="{58949E73-EEA0-7CC9-C27C-D979784EE458}"/>
            </a:ext>
          </a:extLst>
        </xdr:cNvPr>
        <xdr:cNvSpPr/>
      </xdr:nvSpPr>
      <xdr:spPr>
        <a:xfrm>
          <a:off x="13843000" y="609600"/>
          <a:ext cx="1841500" cy="355600"/>
        </a:xfrm>
        <a:prstGeom prst="rect">
          <a:avLst/>
        </a:prstGeom>
        <a:solidFill>
          <a:srgbClr val="2E75B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>
              <a:solidFill>
                <a:srgbClr val="FFFFFF"/>
              </a:solidFill>
            </a:rPr>
            <a:t>Descartar cambios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911860</xdr:colOff>
      <xdr:row>3</xdr:row>
      <xdr:rowOff>60960</xdr:rowOff>
    </xdr:from>
    <xdr:to>
      <xdr:col>14</xdr:col>
      <xdr:colOff>701040</xdr:colOff>
      <xdr:row>5</xdr:row>
      <xdr:rowOff>43180</xdr:rowOff>
    </xdr:to>
    <xdr:sp macro="Heath_ActualizarEvolucion" textlink="">
      <xdr:nvSpPr>
        <xdr:cNvPr id="2" name="Rectangle 1">
          <a:extLst>
            <a:ext uri="{FF2B5EF4-FFF2-40B4-BE49-F238E27FC236}">
              <a16:creationId xmlns:a16="http://schemas.microsoft.com/office/drawing/2014/main" id="{FEE7C4F6-97DC-9E06-9928-B30667379E65}"/>
            </a:ext>
          </a:extLst>
        </xdr:cNvPr>
        <xdr:cNvSpPr/>
      </xdr:nvSpPr>
      <xdr:spPr>
        <a:xfrm>
          <a:off x="13081000" y="609600"/>
          <a:ext cx="2159000" cy="355600"/>
        </a:xfrm>
        <a:prstGeom prst="rect">
          <a:avLst/>
        </a:prstGeom>
        <a:solidFill>
          <a:srgbClr val="2E75B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>
              <a:solidFill>
                <a:srgbClr val="FFFFFF"/>
              </a:solidFill>
            </a:rPr>
            <a:t>Actualizar evolución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ED6CF25-3890-4BED-A27E-CB896A7DCB75}" name="BoardProfileTable" displayName="BoardProfileTable" ref="A3:J24" totalsRowShown="0" headerRowDxfId="84" dataDxfId="83">
  <autoFilter ref="A3:J24" xr:uid="{6ED6CF25-3890-4BED-A27E-CB896A7DCB75}"/>
  <tableColumns count="10">
    <tableColumn id="1" xr3:uid="{D2808803-A36B-466F-BD2A-4233D2EE81F2}" name="Persona" dataDxfId="82"/>
    <tableColumn id="2" xr3:uid="{54D5ACD8-9BD0-4D68-850E-8BDA64EBA488}" name="Experiencia Total Previa" dataDxfId="81"/>
    <tableColumn id="3" xr3:uid="{CDF37FC5-343D-430C-884E-FD01473DCC7F}" name="Experiencia Total Sector Privado" dataDxfId="80"/>
    <tableColumn id="4" xr3:uid="{FB460BF4-0D41-4323-8E2E-A4A85E7DE668}" name="Experiencia en Banxico" dataDxfId="79"/>
    <tableColumn id="5" xr3:uid="{7845E1DC-00A3-42FA-A879-5E7DDEA6419B}" name="Experiencia en SHCP / Finanzas Públicas" dataDxfId="78"/>
    <tableColumn id="6" xr3:uid="{04634050-4DED-448B-BE50-40360785619B}" name="Experiencia en Otros Organismos Públicos" dataDxfId="77"/>
    <tableColumn id="7" xr3:uid="{39A211BD-1EB2-43B1-9C41-F094E4A4020B}" name="Experiencia en Organismos Internacionales" dataDxfId="76"/>
    <tableColumn id="8" xr3:uid="{8FACAD1E-DC0F-4752-99DF-01D760289957}" name="Experiencia en Academia" dataDxfId="75"/>
    <tableColumn id="9" xr3:uid="{1062312C-3E73-4595-9882-3EBECC6C1B9A}" name="Fecha de Corte" dataDxfId="74"/>
    <tableColumn id="10" xr3:uid="{57E27CA0-B51E-47F3-8B47-2E7418650BF2}" name="Comentarios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reerHistoryTable" displayName="CareerHistoryTable" ref="A3:M69" totalsRowShown="0">
  <tableColumns count="13">
    <tableColumn id="1" xr3:uid="{00000000-0010-0000-0000-000001000000}" name="Persona"/>
    <tableColumn id="2" xr3:uid="{00000000-0010-0000-0000-000002000000}" name="Institución"/>
    <tableColumn id="3" xr3:uid="{00000000-0010-0000-0000-000003000000}" name="Cargo"/>
    <tableColumn id="4" xr3:uid="{00000000-0010-0000-0000-000004000000}" name="Fecha inicio"/>
    <tableColumn id="5" xr3:uid="{00000000-0010-0000-0000-000005000000}" name="Fecha fin"/>
    <tableColumn id="6" xr3:uid="{00000000-0010-0000-0000-000006000000}" name="Descripción breve de funciones"/>
    <tableColumn id="7" xr3:uid="{00000000-0010-0000-0000-000007000000}" name="Cuenta_Total" dataDxfId="72"/>
    <tableColumn id="8" xr3:uid="{00000000-0010-0000-0000-000008000000}" name="Cuenta_Monetaria" dataDxfId="71"/>
    <tableColumn id="9" xr3:uid="{00000000-0010-0000-0000-000009000000}" name="Cuenta_Fiscal" dataDxfId="70"/>
    <tableColumn id="10" xr3:uid="{00000000-0010-0000-0000-00000A000000}" name="Fuente principal"/>
    <tableColumn id="11" xr3:uid="{00000000-0010-0000-0000-00000B000000}" name="URL"/>
    <tableColumn id="12" xr3:uid="{00000000-0010-0000-0000-00000C000000}" name="Nivel de confianza"/>
    <tableColumn id="13" xr3:uid="{00000000-0010-0000-0000-00000D000000}" name="Observacion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BoardCompositionTable" displayName="BoardCompositionTable" ref="A3:G24" totalsRowShown="0">
  <tableColumns count="7">
    <tableColumn id="1" xr3:uid="{00000000-0010-0000-0100-000001000000}" name="Fecha inicio"/>
    <tableColumn id="2" xr3:uid="{00000000-0010-0000-0100-000002000000}" name="Fecha fin"/>
    <tableColumn id="3" xr3:uid="{00000000-0010-0000-0100-000003000000}" name="Gobernador"/>
    <tableColumn id="4" xr3:uid="{00000000-0010-0000-0100-000004000000}" name="Subgobernador 1"/>
    <tableColumn id="5" xr3:uid="{00000000-0010-0000-0100-000005000000}" name="Subgobernador 2"/>
    <tableColumn id="6" xr3:uid="{00000000-0010-0000-0100-000006000000}" name="Subgobernador 3"/>
    <tableColumn id="7" xr3:uid="{00000000-0010-0000-0100-000007000000}" name="Subgobernador 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onthlyExperienceTable" displayName="MonthlyExperienceTable" ref="A2:BO380" totalsRowShown="0">
  <tableColumns count="67">
    <tableColumn id="1" xr3:uid="{00000000-0010-0000-0200-000001000000}" name="Fecha"/>
    <tableColumn id="2" xr3:uid="{00000000-0010-0000-0200-000002000000}" name="Promedio_Total"/>
    <tableColumn id="3" xr3:uid="{00000000-0010-0000-0200-000003000000}" name="Promedio_Fiscal"/>
    <tableColumn id="4" xr3:uid="{00000000-0010-0000-0200-000004000000}" name="Promedio_Monetaria"/>
    <tableColumn id="5" xr3:uid="{00000000-0010-0000-0200-000005000000}" name="Miguel Mancera Aguayo_Total"/>
    <tableColumn id="6" xr3:uid="{00000000-0010-0000-0200-000006000000}" name="Miguel Mancera Aguayo_Fiscal"/>
    <tableColumn id="7" xr3:uid="{00000000-0010-0000-0200-000007000000}" name="Miguel Mancera Aguayo_Monetaria"/>
    <tableColumn id="8" xr3:uid="{00000000-0010-0000-0200-000008000000}" name="Ariel Buira Seira_Total"/>
    <tableColumn id="9" xr3:uid="{00000000-0010-0000-0200-000009000000}" name="Ariel Buira Seira_Fiscal"/>
    <tableColumn id="10" xr3:uid="{00000000-0010-0000-0200-00000A000000}" name="Ariel Buira Seira_Monetaria"/>
    <tableColumn id="11" xr3:uid="{00000000-0010-0000-0200-00000B000000}" name="Francisco Gil Díaz_Total"/>
    <tableColumn id="12" xr3:uid="{00000000-0010-0000-0200-00000C000000}" name="Francisco Gil Díaz_Fiscal"/>
    <tableColumn id="13" xr3:uid="{00000000-0010-0000-0200-00000D000000}" name="Francisco Gil Díaz_Monetaria"/>
    <tableColumn id="14" xr3:uid="{00000000-0010-0000-0200-00000E000000}" name="Guillermo Güémez García_Total"/>
    <tableColumn id="15" xr3:uid="{00000000-0010-0000-0200-00000F000000}" name="Guillermo Güémez García_Fiscal"/>
    <tableColumn id="16" xr3:uid="{00000000-0010-0000-0200-000010000000}" name="Guillermo Güémez García_Monetaria"/>
    <tableColumn id="17" xr3:uid="{00000000-0010-0000-0200-000011000000}" name="Jesús Marcos Yacamán_Total"/>
    <tableColumn id="18" xr3:uid="{00000000-0010-0000-0200-000012000000}" name="Jesús Marcos Yacamán_Fiscal"/>
    <tableColumn id="19" xr3:uid="{00000000-0010-0000-0200-000013000000}" name="Jesús Marcos Yacamán_Monetaria"/>
    <tableColumn id="20" xr3:uid="{00000000-0010-0000-0200-000014000000}" name="José Julián Sidaoui Dib_Total"/>
    <tableColumn id="21" xr3:uid="{00000000-0010-0000-0200-000015000000}" name="José Julián Sidaoui Dib_Fiscal"/>
    <tableColumn id="22" xr3:uid="{00000000-0010-0000-0200-000016000000}" name="José Julián Sidaoui Dib_Monetaria"/>
    <tableColumn id="23" xr3:uid="{00000000-0010-0000-0200-000017000000}" name="Everardo Elizondo Almaguer_Total"/>
    <tableColumn id="24" xr3:uid="{00000000-0010-0000-0200-000018000000}" name="Everardo Elizondo Almaguer_Fiscal"/>
    <tableColumn id="25" xr3:uid="{00000000-0010-0000-0200-000019000000}" name="Everardo Elizondo Almaguer_Monetaria"/>
    <tableColumn id="26" xr3:uid="{00000000-0010-0000-0200-00001A000000}" name="Guillermo Ortiz Martínez_Total"/>
    <tableColumn id="27" xr3:uid="{00000000-0010-0000-0200-00001B000000}" name="Guillermo Ortiz Martínez_Fiscal"/>
    <tableColumn id="28" xr3:uid="{00000000-0010-0000-0200-00001C000000}" name="Guillermo Ortiz Martínez_Monetaria"/>
    <tableColumn id="29" xr3:uid="{00000000-0010-0000-0200-00001D000000}" name="Roberto del Cueto Legaspi_Total"/>
    <tableColumn id="30" xr3:uid="{00000000-0010-0000-0200-00001E000000}" name="Roberto del Cueto Legaspi_Fiscal"/>
    <tableColumn id="31" xr3:uid="{00000000-0010-0000-0200-00001F000000}" name="Roberto del Cueto Legaspi_Monetaria"/>
    <tableColumn id="32" xr3:uid="{00000000-0010-0000-0200-000020000000}" name="Manuel Sánchez González_Total"/>
    <tableColumn id="33" xr3:uid="{00000000-0010-0000-0200-000021000000}" name="Manuel Sánchez González_Fiscal"/>
    <tableColumn id="34" xr3:uid="{00000000-0010-0000-0200-000022000000}" name="Manuel Sánchez González_Monetaria"/>
    <tableColumn id="35" xr3:uid="{00000000-0010-0000-0200-000023000000}" name="Agustín Carstens Carstens_Total"/>
    <tableColumn id="36" xr3:uid="{00000000-0010-0000-0200-000024000000}" name="Agustín Carstens Carstens_Fiscal"/>
    <tableColumn id="37" xr3:uid="{00000000-0010-0000-0200-000025000000}" name="Agustín Carstens Carstens_Monetaria"/>
    <tableColumn id="38" xr3:uid="{00000000-0010-0000-0200-000026000000}" name="Manuel Ramos Francia_Total"/>
    <tableColumn id="39" xr3:uid="{00000000-0010-0000-0200-000027000000}" name="Manuel Ramos Francia_Fiscal"/>
    <tableColumn id="40" xr3:uid="{00000000-0010-0000-0200-000028000000}" name="Manuel Ramos Francia_Monetaria"/>
    <tableColumn id="41" xr3:uid="{00000000-0010-0000-0200-000029000000}" name="Javier Eduardo Guzmán Calafell_Total"/>
    <tableColumn id="42" xr3:uid="{00000000-0010-0000-0200-00002A000000}" name="Javier Eduardo Guzmán Calafell_Fiscal"/>
    <tableColumn id="43" xr3:uid="{00000000-0010-0000-0200-00002B000000}" name="Javier Eduardo Guzmán Calafell_Monetaria"/>
    <tableColumn id="44" xr3:uid="{00000000-0010-0000-0200-00002C000000}" name="Alejandro Díaz de León Carrillo_Total"/>
    <tableColumn id="45" xr3:uid="{00000000-0010-0000-0200-00002D000000}" name="Alejandro Díaz de León Carrillo_Fiscal"/>
    <tableColumn id="46" xr3:uid="{00000000-0010-0000-0200-00002E000000}" name="Alejandro Díaz de León Carrillo_Monetaria"/>
    <tableColumn id="47" xr3:uid="{00000000-0010-0000-0200-00002F000000}" name="Irene Espinosa Cantellano_Total"/>
    <tableColumn id="48" xr3:uid="{00000000-0010-0000-0200-000030000000}" name="Irene Espinosa Cantellano_Fiscal"/>
    <tableColumn id="49" xr3:uid="{00000000-0010-0000-0200-000031000000}" name="Irene Espinosa Cantellano_Monetaria"/>
    <tableColumn id="50" xr3:uid="{00000000-0010-0000-0200-000032000000}" name="Gerardo Esquivel Hernández_Total"/>
    <tableColumn id="51" xr3:uid="{00000000-0010-0000-0200-000033000000}" name="Gerardo Esquivel Hernández_Fiscal"/>
    <tableColumn id="52" xr3:uid="{00000000-0010-0000-0200-000034000000}" name="Gerardo Esquivel Hernández_Monetaria"/>
    <tableColumn id="53" xr3:uid="{00000000-0010-0000-0200-000035000000}" name="Jonathan Heath Constable_Total"/>
    <tableColumn id="54" xr3:uid="{00000000-0010-0000-0200-000036000000}" name="Jonathan Heath Constable_Fiscal"/>
    <tableColumn id="55" xr3:uid="{00000000-0010-0000-0200-000037000000}" name="Jonathan Heath Constable_Monetaria"/>
    <tableColumn id="56" xr3:uid="{00000000-0010-0000-0200-000038000000}" name="Galia Borja Gómez_Total"/>
    <tableColumn id="57" xr3:uid="{00000000-0010-0000-0200-000039000000}" name="Galia Borja Gómez_Fiscal"/>
    <tableColumn id="58" xr3:uid="{00000000-0010-0000-0200-00003A000000}" name="Galia Borja Gómez_Monetaria"/>
    <tableColumn id="59" xr3:uid="{00000000-0010-0000-0200-00003B000000}" name="Victoria Rodríguez Ceja_Total"/>
    <tableColumn id="60" xr3:uid="{00000000-0010-0000-0200-00003C000000}" name="Victoria Rodríguez Ceja_Fiscal"/>
    <tableColumn id="61" xr3:uid="{00000000-0010-0000-0200-00003D000000}" name="Victoria Rodríguez Ceja_Monetaria"/>
    <tableColumn id="62" xr3:uid="{00000000-0010-0000-0200-00003E000000}" name="Omar Mejía Castelazo_Total"/>
    <tableColumn id="63" xr3:uid="{00000000-0010-0000-0200-00003F000000}" name="Omar Mejía Castelazo_Fiscal"/>
    <tableColumn id="64" xr3:uid="{00000000-0010-0000-0200-000040000000}" name="Omar Mejía Castelazo_Monetaria"/>
    <tableColumn id="65" xr3:uid="{00000000-0010-0000-0200-000041000000}" name="José Gabriel Cuadra García_Total"/>
    <tableColumn id="66" xr3:uid="{00000000-0010-0000-0200-000042000000}" name="José Gabriel Cuadra García_Fiscal"/>
    <tableColumn id="67" xr3:uid="{00000000-0010-0000-0200-000043000000}" name="José Gabriel Cuadra García_Monetari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BD04789-C14F-4A84-8B00-665FED6FC037}" name="BoardAComparisonTable" displayName="BoardAComparisonTable" ref="A6:E11" totalsRowShown="0" headerRowDxfId="69">
  <autoFilter ref="A6:E11" xr:uid="{1BD04789-C14F-4A84-8B00-665FED6FC037}"/>
  <tableColumns count="5">
    <tableColumn id="1" xr3:uid="{3FB091A5-80AB-4727-91DF-CFA1647811A8}" name="Persona"/>
    <tableColumn id="2" xr3:uid="{82B6156E-F530-4DAD-A4F2-A103DB077E81}" name="Cargo">
      <calculatedColumnFormula>IF(A7="","",IF(ROW()=7,"Gobernador","Subgobernador"))</calculatedColumnFormula>
    </tableColumn>
    <tableColumn id="3" xr3:uid="{10609E76-E325-4CE2-AF11-ED72E27F85C3}" name="Total" dataDxfId="68">
      <calculatedColumnFormula>IF(A7="","",INDEX(Monthly_Experience!$A:$BO,MATCH($B$3,Monthly_Experience!$A:$A,0),MATCH(A7&amp;"_Total",Monthly_Experience!$2:$2,0)))</calculatedColumnFormula>
    </tableColumn>
    <tableColumn id="4" xr3:uid="{055324D8-C6BC-4A6A-AB39-FB0E5B740C3A}" name="Monetaria" dataDxfId="67">
      <calculatedColumnFormula>IF(A7="","",INDEX(Monthly_Experience!$A:$BO,MATCH($B$3,Monthly_Experience!$A:$A,0),MATCH(A7&amp;"_Monetaria",Monthly_Experience!$2:$2,0)))</calculatedColumnFormula>
    </tableColumn>
    <tableColumn id="5" xr3:uid="{2A30B4A9-6B52-4B5A-92DE-C3194713EB6C}" name="Fiscal" dataDxfId="66">
      <calculatedColumnFormula>IF(A7="","",INDEX(Monthly_Experience!$A:$BO,MATCH($B$3,Monthly_Experience!$A:$A,0),MATCH(A7&amp;"_Fiscal",Monthly_Experience!$2:$2,0)))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03AA682-4550-442A-ABC4-368549051DCF}" name="BoardBComparisonTable" displayName="BoardBComparisonTable" ref="G6:K11" totalsRowShown="0" headerRowDxfId="65">
  <autoFilter ref="G6:K11" xr:uid="{B03AA682-4550-442A-ABC4-368549051DCF}"/>
  <tableColumns count="5">
    <tableColumn id="1" xr3:uid="{0B56D2E6-524F-4D98-8264-72CD1C457EDC}" name="Persona"/>
    <tableColumn id="2" xr3:uid="{32EC7373-F480-43D8-89FA-30E0979C377D}" name="Cargo">
      <calculatedColumnFormula>IF(G7="","",IF(ROW()=7,"Gobernador","Subgobernador"))</calculatedColumnFormula>
    </tableColumn>
    <tableColumn id="3" xr3:uid="{41ED278B-4E66-4477-9AE1-4F4DCEBE8B87}" name="Total" dataDxfId="64">
      <calculatedColumnFormula>IF(G7="","",INDEX(Monthly_Experience!$A:$BO,MATCH($E$3,Monthly_Experience!$A:$A,0),MATCH(G7&amp;"_Total",Monthly_Experience!$2:$2,0)))</calculatedColumnFormula>
    </tableColumn>
    <tableColumn id="4" xr3:uid="{7ADDA1B3-523A-4CFD-A742-F6C8DE199B18}" name="Monetaria" dataDxfId="63">
      <calculatedColumnFormula>IF(G7="","",INDEX(Monthly_Experience!$A:$BO,MATCH($E$3,Monthly_Experience!$A:$A,0),MATCH(G7&amp;"_Monetaria",Monthly_Experience!$2:$2,0)))</calculatedColumnFormula>
    </tableColumn>
    <tableColumn id="5" xr3:uid="{EBD1178A-946E-4E85-ACE0-72ED329BF2D0}" name="Fiscal" dataDxfId="62">
      <calculatedColumnFormula>IF(G7="","",INDEX(Monthly_Experience!$A:$BO,MATCH($E$3,Monthly_Experience!$A:$A,0),MATCH(G7&amp;"_Fiscal",Monthly_Experience!$2:$2,0)))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92889D3-3F66-4F28-85C2-FAD163E52F9D}" name="BoardSummaryTable" displayName="BoardSummaryTable" ref="A14:E23" totalsRowShown="0" headerRowDxfId="61">
  <autoFilter ref="A14:E23" xr:uid="{E92889D3-3F66-4F28-85C2-FAD163E52F9D}"/>
  <tableColumns count="5">
    <tableColumn id="1" xr3:uid="{90221E88-1678-4FAA-8E6E-5276EF81E034}" name="Indicador"/>
    <tableColumn id="2" xr3:uid="{F5DAF1CA-92DE-4F6D-A960-A2374390B1F0}" name="Board A" dataDxfId="60"/>
    <tableColumn id="3" xr3:uid="{196E342B-067D-4471-BE6B-4396CE16B4D8}" name="Board B" dataDxfId="59"/>
    <tableColumn id="4" xr3:uid="{7CD4CCE0-2B6E-462B-8638-3254BA733A5C}" name="Diferencia" dataDxfId="58">
      <calculatedColumnFormula>C15-B15</calculatedColumnFormula>
    </tableColumn>
    <tableColumn id="5" xr3:uid="{73515B4D-F4BE-4149-A280-0B4E2AE0BB71}" name="% Cambio" dataDxfId="57">
      <calculatedColumnFormula>IF(B15=0,"",D15/B15)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SourcesTable" displayName="SourcesTable" ref="A3:G34" totalsRowShown="0">
  <tableColumns count="7">
    <tableColumn id="1" xr3:uid="{00000000-0010-0000-0500-000001000000}" name="Persona"/>
    <tableColumn id="2" xr3:uid="{00000000-0010-0000-0500-000002000000}" name="Cargo"/>
    <tableColumn id="3" xr3:uid="{00000000-0010-0000-0500-000003000000}" name="Documento"/>
    <tableColumn id="4" xr3:uid="{00000000-0010-0000-0500-000004000000}" name="Institución"/>
    <tableColumn id="5" xr3:uid="{00000000-0010-0000-0500-000005000000}" name="URL"/>
    <tableColumn id="6" xr3:uid="{00000000-0010-0000-0500-000006000000}" name="Fecha de consulta"/>
    <tableColumn id="7" xr3:uid="{00000000-0010-0000-0500-000007000000}" name="Observacion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MethodologyQATable" displayName="MethodologyQATable" ref="A3:F13" totalsRowShown="0">
  <tableColumns count="6">
    <tableColumn id="1" xr3:uid="{00000000-0010-0000-0600-000001000000}" name="Parámetro"/>
    <tableColumn id="2" xr3:uid="{00000000-0010-0000-0600-000002000000}" name="Regla aprobada"/>
    <tableColumn id="3" xr3:uid="{00000000-0010-0000-0600-000003000000}" name="Aplicación en el archivo"/>
    <tableColumn id="4" xr3:uid="{00000000-0010-0000-0600-000004000000}" name="Estado"/>
    <tableColumn id="5" xr3:uid="{00000000-0010-0000-0600-000005000000}" name="Resultado / fórmula"/>
    <tableColumn id="6" xr3:uid="{00000000-0010-0000-0600-000006000000}" name="Observacione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DD2A5A-6FC2-410C-A739-DD8A00D51E93}" name="tblHeathPersonas" displayName="tblHeathPersonas" ref="A3:H32" totalsRowShown="0" headerRowDxfId="56" dataDxfId="55">
  <autoFilter ref="A3:H32" xr:uid="{82DD2A5A-6FC2-410C-A739-DD8A00D51E93}"/>
  <tableColumns count="8">
    <tableColumn id="1" xr3:uid="{8A0439B9-E9D4-4583-9C04-0953F45410D3}" name="Persona_ID" dataDxfId="54"/>
    <tableColumn id="2" xr3:uid="{63DE3702-E863-4613-96C0-54B3A56C07FA}" name="Nombre_Canonico" dataDxfId="53"/>
    <tableColumn id="3" xr3:uid="{F28E8624-F35F-47FA-AC7C-C62EBF640896}" name="Tipo_Persona" dataDxfId="52"/>
    <tableColumn id="4" xr3:uid="{DA54575E-1146-491E-9B31-D572EDA6D7CA}" name="Primera_Fecha_Junta" dataDxfId="51"/>
    <tableColumn id="5" xr3:uid="{7CE1C58F-FACD-499E-9322-6A0A06E73F40}" name="Ultima_Fecha_Junta" dataDxfId="50"/>
    <tableColumn id="6" xr3:uid="{8B509350-277A-4815-A696-D6121F91F47C}" name="Activo_Junta" dataDxfId="49"/>
    <tableColumn id="7" xr3:uid="{9715699E-71C3-4C30-BB15-C03DCAF1C913}" name="Fecha_Alta" dataDxfId="48"/>
    <tableColumn id="8" xr3:uid="{02147929-255C-4F28-96CD-817B2F5A29A8}" name="Observaciones" dataDxfId="4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531F87-C853-4C03-86E5-701D025C106B}" name="tblHeathCriterios" displayName="tblHeathCriterios" ref="A3:I13" totalsRowShown="0" headerRowDxfId="46" dataDxfId="45">
  <autoFilter ref="A3:I13" xr:uid="{1C531F87-C853-4C03-86E5-701D025C106B}"/>
  <tableColumns count="9">
    <tableColumn id="1" xr3:uid="{F402CC4A-96A1-42E4-A597-18365BF8365D}" name="Criterio_ID" dataDxfId="44"/>
    <tableColumn id="2" xr3:uid="{33985836-D11A-4614-A606-88F995F4D6E0}" name="No" dataDxfId="43"/>
    <tableColumn id="3" xr3:uid="{E585AF91-530A-4BEE-B74B-F0BB676DC887}" name="Criterio" dataDxfId="42"/>
    <tableColumn id="4" xr3:uid="{3E7D2A1C-963D-4BC7-9B86-34E2D3AC489B}" name="Naturaleza" dataDxfId="41"/>
    <tableColumn id="5" xr3:uid="{28B32550-9A40-4083-A16A-040D9FFA2B1D}" name="Peso" dataDxfId="40"/>
    <tableColumn id="6" xr3:uid="{30B300DA-CAAD-4201-AA61-FB47A26C5F92}" name="Definicion_Operativa" dataDxfId="39"/>
    <tableColumn id="7" xr3:uid="{C1DC1D75-3200-405D-8A0C-D1742BE406F5}" name="Regla_Temporal" dataDxfId="38"/>
    <tableColumn id="8" xr3:uid="{6E7F102D-0C6C-4256-8F34-7ABF34F61A6D}" name="Activo" dataDxfId="37"/>
    <tableColumn id="9" xr3:uid="{75833FE1-0ECB-49C9-84A7-E7E820017F2A}" name="Etiqueta_Corta" dataDxfId="3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60D21DC-85F8-4899-92EF-4161A127BDA4}" name="tblHeathEvaluaciones" displayName="tblHeathEvaluaciones" ref="A3:S79" totalsRowShown="0" headerRowDxfId="35" dataDxfId="34">
  <autoFilter ref="A3:S79" xr:uid="{A60D21DC-85F8-4899-92EF-4161A127BDA4}"/>
  <tableColumns count="19">
    <tableColumn id="1" xr3:uid="{5DFFEE48-8C81-41B6-A1E3-ECCCE486A4B4}" name="Evaluacion_ID" dataDxfId="33"/>
    <tableColumn id="2" xr3:uid="{C4D223B2-2DC2-4F19-AFBA-F8D5C135F085}" name="Persona_ID" dataDxfId="32"/>
    <tableColumn id="3" xr3:uid="{B697C2FE-4500-463B-A099-CCE18DA6E7CD}" name="Persona" dataDxfId="31"/>
    <tableColumn id="4" xr3:uid="{AA6280CD-B38F-4C0A-982D-B4361934CD90}" name="Fecha_Evaluacion" dataDxfId="30"/>
    <tableColumn id="5" xr3:uid="{DAC6EECD-0789-4958-A2A8-B90486EC230C}" name="Tipo_Evaluacion" dataDxfId="29"/>
    <tableColumn id="6" xr3:uid="{41BF96BE-566E-496F-B088-4BCA08008CD7}" name="Estado" dataDxfId="28"/>
    <tableColumn id="7" xr3:uid="{8AFB2F70-4EEE-4142-AD20-B6D8BFDCCF23}" name="Evaluador" dataDxfId="27"/>
    <tableColumn id="8" xr3:uid="{BDD53640-3782-4300-9164-B9AB382FD181}" name="Fecha_Registro" dataDxfId="26"/>
    <tableColumn id="9" xr3:uid="{96F8794A-E7DA-4E3C-B6C3-DC5A870623D2}" name="Total" dataDxfId="25"/>
    <tableColumn id="10" xr3:uid="{8348C117-6542-4F05-AA07-55B159FFC501}" name="Confianza_Global" dataDxfId="24"/>
    <tableColumn id="11" xr3:uid="{F6152D18-1035-41F5-9313-61EE6CD19E03}" name="Observaciones_Generales" dataDxfId="23"/>
    <tableColumn id="12" xr3:uid="{213A6628-4BA8-4E4C-A8A5-F728B74BA8CE}" name="Origen_Evaluacion" dataDxfId="22"/>
    <tableColumn id="13" xr3:uid="{8F9243BB-F1A9-4950-9B79-625CB609B083}" name="Desglose_Disponible" dataDxfId="21"/>
    <tableColumn id="14" xr3:uid="{478A3EB5-67DC-43BF-B218-21ACDF08CA9A}" name="Fuente_Principal" dataDxfId="20"/>
    <tableColumn id="15" xr3:uid="{A2425B5C-8A96-47AD-AB6C-77A1E1550476}" name="URL_Fuente" dataDxfId="19"/>
    <tableColumn id="16" xr3:uid="{4065897E-68E6-4665-AE3D-3F45AD4093BC}" name="Origen_Desglose" dataDxfId="18"/>
    <tableColumn id="17" xr3:uid="{91A9F87A-0C08-445B-B517-058351709429}" name="Modificado_por_usuario" dataDxfId="17"/>
    <tableColumn id="18" xr3:uid="{3DE7CD4B-8C66-40F0-9549-B3DCE31F8E82}" name="Desglose_Publicado_Heath" dataDxfId="16"/>
    <tableColumn id="19" xr3:uid="{B9852F51-489F-4E3A-AAA6-DD922CA6D36F}" name="Fecha_Ultima_Modificacion" dataDxfId="1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F6AE78A-12F8-453B-A804-5016129EED6D}" name="tblHeathDetalle" displayName="tblHeathDetalle" ref="A3:I663" totalsRowShown="0" headerRowDxfId="14" dataDxfId="13">
  <autoFilter ref="A3:I663" xr:uid="{BF6AE78A-12F8-453B-A804-5016129EED6D}">
    <filterColumn colId="0">
      <filters>
        <filter val="HBASE-P019"/>
        <filter val="HOBS-P019-2022"/>
        <filter val="HOBS-P019-2023"/>
        <filter val="HOBS-P019-2024"/>
        <filter val="HOBS-P019-2025"/>
        <filter val="HOBS-P019-202606"/>
      </filters>
    </filterColumn>
    <filterColumn colId="2">
      <filters>
        <filter val="Experiencia dentro del Banco de México"/>
      </filters>
    </filterColumn>
  </autoFilter>
  <tableColumns count="9">
    <tableColumn id="1" xr3:uid="{06D3A78B-A15B-4508-9703-CE269A66FCB4}" name="Evaluacion_ID" dataDxfId="12"/>
    <tableColumn id="2" xr3:uid="{D187560F-CFFC-49ED-9BD6-248991EFD138}" name="Criterio_ID" dataDxfId="11"/>
    <tableColumn id="3" xr3:uid="{C91243EB-4265-4E02-AB22-16D8B1FFC52B}" name="Criterio" dataDxfId="10"/>
    <tableColumn id="4" xr3:uid="{93C3DC93-69F6-47E1-9090-1351DBC5BFC8}" name="Calificacion" dataDxfId="9"/>
    <tableColumn id="5" xr3:uid="{A0FD747E-A494-4C69-A9FC-7EA2C06F7D1F}" name="Comentario" dataDxfId="8"/>
    <tableColumn id="6" xr3:uid="{3D1E3C5D-7454-4B07-9747-A1F15695A154}" name="Evidencia" dataDxfId="7"/>
    <tableColumn id="7" xr3:uid="{93BB24F6-FA33-4EBE-A45D-E6AD703707B7}" name="URL_Fuente" dataDxfId="6"/>
    <tableColumn id="8" xr3:uid="{DBE88C12-BB28-42ED-B2A4-662EE9CCA2A1}" name="Nivel_Confianza" dataDxfId="5"/>
    <tableColumn id="9" xr3:uid="{451AD3A9-D99A-4968-B824-2EAF41C3F950}" name="Fecha_Registro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1CCF96A-2673-424F-AAE4-D016A4C5576F}" name="tblHeathAudit" displayName="tblHeathAudit" ref="A3:J19" totalsRowShown="0" headerRowDxfId="86">
  <autoFilter ref="A3:J19" xr:uid="{31CCF96A-2673-424F-AAE4-D016A4C5576F}"/>
  <tableColumns count="10">
    <tableColumn id="1" xr3:uid="{CC975F27-4EDD-4261-8B59-29F335529122}" name="Timestamp" dataDxfId="85"/>
    <tableColumn id="2" xr3:uid="{A18F1094-8679-4FDC-B7AD-E8A00C3AEF78}" name="Accion"/>
    <tableColumn id="3" xr3:uid="{C7E8A389-9FE4-4C3C-BB15-A3A273A961ED}" name="Evaluacion_ID"/>
    <tableColumn id="4" xr3:uid="{521D469C-AE83-430E-A47E-33CC8A0E6A46}" name="Persona"/>
    <tableColumn id="5" xr3:uid="{3C77BF13-9FF7-4076-9179-1C0309D86598}" name="Fecha_Evaluacion"/>
    <tableColumn id="6" xr3:uid="{A8C5F247-B612-4B5A-8E3D-09B232364E96}" name="Campo"/>
    <tableColumn id="7" xr3:uid="{C92EEB6B-F8E1-40A7-B09A-C6385C8EEC81}" name="Valor_Anterior"/>
    <tableColumn id="8" xr3:uid="{7B328DCD-7C4C-4C1C-BCE5-2FC5F5073806}" name="Valor_Nuevo"/>
    <tableColumn id="9" xr3:uid="{6B08AF3D-1CA4-4897-966F-A24D6D8C054B}" name="Usuario"/>
    <tableColumn id="10" xr3:uid="{BD166C01-9258-4A08-A2B9-3EAAB4B7D767}" name="Observ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F0771-4B87-4247-8718-81E32742085A}">
  <sheetPr codeName="Sheet1"/>
  <dimension ref="A1:J24"/>
  <sheetViews>
    <sheetView workbookViewId="0">
      <pane ySplit="3" topLeftCell="A4" activePane="bottomLeft" state="frozenSplit"/>
      <selection pane="bottomLeft"/>
    </sheetView>
  </sheetViews>
  <sheetFormatPr defaultRowHeight="13.8"/>
  <cols>
    <col min="1" max="1" width="28.69921875" customWidth="1"/>
    <col min="2" max="2" width="23.8984375" customWidth="1"/>
    <col min="3" max="3" width="31.19921875" customWidth="1"/>
    <col min="4" max="4" width="23.296875" customWidth="1"/>
    <col min="5" max="5" width="38.296875" customWidth="1"/>
    <col min="6" max="6" width="40.09765625" customWidth="1"/>
    <col min="7" max="7" width="40.69921875" customWidth="1"/>
    <col min="8" max="8" width="24.8984375" customWidth="1"/>
    <col min="9" max="9" width="15.8984375" customWidth="1"/>
    <col min="10" max="10" width="58.69921875" customWidth="1"/>
  </cols>
  <sheetData>
    <row r="1" spans="1:10" ht="28.05" customHeight="1">
      <c r="A1" s="55" t="s">
        <v>368</v>
      </c>
      <c r="B1" s="55"/>
      <c r="C1" s="55"/>
      <c r="D1" s="55"/>
      <c r="E1" s="55"/>
      <c r="F1" s="55"/>
      <c r="G1" s="55"/>
      <c r="H1" s="55"/>
      <c r="I1" s="55"/>
      <c r="J1" s="55"/>
    </row>
    <row r="2" spans="1:10" ht="28.05" customHeight="1">
      <c r="A2" s="56" t="s">
        <v>369</v>
      </c>
      <c r="B2" s="56"/>
      <c r="C2" s="56"/>
      <c r="D2" s="56"/>
      <c r="E2" s="56"/>
      <c r="F2" s="56"/>
      <c r="G2" s="56"/>
      <c r="H2" s="56"/>
      <c r="I2" s="56"/>
      <c r="J2" s="56"/>
    </row>
    <row r="3" spans="1:10" ht="28.05" customHeight="1">
      <c r="A3" s="10" t="s">
        <v>2</v>
      </c>
      <c r="B3" s="10" t="s">
        <v>370</v>
      </c>
      <c r="C3" s="10" t="s">
        <v>371</v>
      </c>
      <c r="D3" s="10" t="s">
        <v>372</v>
      </c>
      <c r="E3" s="10" t="s">
        <v>373</v>
      </c>
      <c r="F3" s="10" t="s">
        <v>374</v>
      </c>
      <c r="G3" s="10" t="s">
        <v>375</v>
      </c>
      <c r="H3" s="10" t="s">
        <v>376</v>
      </c>
      <c r="I3" s="10" t="s">
        <v>377</v>
      </c>
      <c r="J3" s="10" t="s">
        <v>378</v>
      </c>
    </row>
    <row r="4" spans="1:10">
      <c r="A4" s="12" t="s">
        <v>15</v>
      </c>
      <c r="B4" s="13">
        <v>27.212057742458779</v>
      </c>
      <c r="C4" s="13">
        <v>2.5024470043874958</v>
      </c>
      <c r="D4" s="13">
        <v>23.710274680520477</v>
      </c>
      <c r="E4" s="13">
        <v>0.99933605755080523</v>
      </c>
      <c r="F4" s="13">
        <v>0</v>
      </c>
      <c r="G4" s="13">
        <v>0</v>
      </c>
      <c r="H4" s="13">
        <v>0</v>
      </c>
      <c r="I4" s="14">
        <v>30027</v>
      </c>
      <c r="J4" s="12" t="s">
        <v>379</v>
      </c>
    </row>
    <row r="5" spans="1:10" ht="27.6">
      <c r="A5" s="12" t="s">
        <v>34</v>
      </c>
      <c r="B5" s="13">
        <v>33.503768044518367</v>
      </c>
      <c r="C5" s="13">
        <v>0</v>
      </c>
      <c r="D5" s="13">
        <v>33.503768044518367</v>
      </c>
      <c r="E5" s="13">
        <v>0</v>
      </c>
      <c r="F5" s="13">
        <v>0</v>
      </c>
      <c r="G5" s="13">
        <v>0</v>
      </c>
      <c r="H5" s="13">
        <v>0</v>
      </c>
      <c r="I5" s="14">
        <v>34425</v>
      </c>
      <c r="J5" s="12" t="s">
        <v>380</v>
      </c>
    </row>
    <row r="6" spans="1:10" ht="27.6">
      <c r="A6" s="12" t="s">
        <v>44</v>
      </c>
      <c r="B6" s="13">
        <v>26.505677734655741</v>
      </c>
      <c r="C6" s="13">
        <v>0</v>
      </c>
      <c r="D6" s="13">
        <v>26.505677734655741</v>
      </c>
      <c r="E6" s="13">
        <v>0</v>
      </c>
      <c r="F6" s="13">
        <v>0</v>
      </c>
      <c r="G6" s="13">
        <v>0</v>
      </c>
      <c r="H6" s="13">
        <v>0</v>
      </c>
      <c r="I6" s="14">
        <v>34425</v>
      </c>
      <c r="J6" s="12" t="s">
        <v>381</v>
      </c>
    </row>
    <row r="7" spans="1:10">
      <c r="A7" s="12" t="s">
        <v>53</v>
      </c>
      <c r="B7" s="13">
        <v>23.504931654996337</v>
      </c>
      <c r="C7" s="13">
        <v>23.504931654996337</v>
      </c>
      <c r="D7" s="13">
        <v>0</v>
      </c>
      <c r="E7" s="13">
        <v>0</v>
      </c>
      <c r="F7" s="13">
        <v>0</v>
      </c>
      <c r="G7" s="13">
        <v>0</v>
      </c>
      <c r="H7" s="13">
        <v>0</v>
      </c>
      <c r="I7" s="14">
        <v>34700</v>
      </c>
      <c r="J7" s="12" t="s">
        <v>382</v>
      </c>
    </row>
    <row r="8" spans="1:10" ht="27.6">
      <c r="A8" s="12" t="s">
        <v>60</v>
      </c>
      <c r="B8" s="13">
        <v>28.504349849757354</v>
      </c>
      <c r="C8" s="13">
        <v>0</v>
      </c>
      <c r="D8" s="13">
        <v>28.504349849757354</v>
      </c>
      <c r="E8" s="13">
        <v>0</v>
      </c>
      <c r="F8" s="13">
        <v>0</v>
      </c>
      <c r="G8" s="13">
        <v>0</v>
      </c>
      <c r="H8" s="13">
        <v>0</v>
      </c>
      <c r="I8" s="14">
        <v>34425</v>
      </c>
      <c r="J8" s="12" t="s">
        <v>383</v>
      </c>
    </row>
    <row r="9" spans="1:10">
      <c r="A9" s="12" t="s">
        <v>67</v>
      </c>
      <c r="B9" s="13">
        <v>21.506259539894728</v>
      </c>
      <c r="C9" s="13">
        <v>0</v>
      </c>
      <c r="D9" s="13">
        <v>21.506259539894728</v>
      </c>
      <c r="E9" s="13">
        <v>0</v>
      </c>
      <c r="F9" s="13">
        <v>0</v>
      </c>
      <c r="G9" s="13">
        <v>0</v>
      </c>
      <c r="H9" s="13">
        <v>0</v>
      </c>
      <c r="I9" s="14">
        <v>35431</v>
      </c>
      <c r="J9" s="12" t="s">
        <v>384</v>
      </c>
    </row>
    <row r="10" spans="1:10" ht="27.6">
      <c r="A10" s="12" t="s">
        <v>73</v>
      </c>
      <c r="B10" s="13">
        <v>29.577609396496847</v>
      </c>
      <c r="C10" s="13">
        <v>29.577609396496847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4">
        <v>35823</v>
      </c>
      <c r="J10" s="12" t="s">
        <v>385</v>
      </c>
    </row>
    <row r="11" spans="1:10" ht="27.6">
      <c r="A11" s="12" t="s">
        <v>84</v>
      </c>
      <c r="B11" s="13">
        <v>26.505677734655741</v>
      </c>
      <c r="C11" s="13">
        <v>0</v>
      </c>
      <c r="D11" s="13">
        <v>17.421302285467874</v>
      </c>
      <c r="E11" s="13">
        <v>9.0843754491878688</v>
      </c>
      <c r="F11" s="13">
        <v>0</v>
      </c>
      <c r="G11" s="13">
        <v>0</v>
      </c>
      <c r="H11" s="13">
        <v>0</v>
      </c>
      <c r="I11" s="14">
        <v>35796</v>
      </c>
      <c r="J11" s="12" t="s">
        <v>386</v>
      </c>
    </row>
    <row r="12" spans="1:10" ht="27.6">
      <c r="A12" s="12" t="s">
        <v>95</v>
      </c>
      <c r="B12" s="13">
        <v>34.007542933804253</v>
      </c>
      <c r="C12" s="13">
        <v>11.920847108427962</v>
      </c>
      <c r="D12" s="13">
        <v>21.50352163288774</v>
      </c>
      <c r="E12" s="13">
        <v>0</v>
      </c>
      <c r="F12" s="13">
        <v>0.58317419248855207</v>
      </c>
      <c r="G12" s="13">
        <v>0</v>
      </c>
      <c r="H12" s="13">
        <v>0</v>
      </c>
      <c r="I12" s="14">
        <v>39267</v>
      </c>
      <c r="J12" s="12" t="s">
        <v>387</v>
      </c>
    </row>
    <row r="13" spans="1:10">
      <c r="A13" s="12" t="s">
        <v>111</v>
      </c>
      <c r="B13" s="13">
        <v>28.904084272777673</v>
      </c>
      <c r="C13" s="13">
        <v>16.400062971861161</v>
      </c>
      <c r="D13" s="13">
        <v>0</v>
      </c>
      <c r="E13" s="13">
        <v>0</v>
      </c>
      <c r="F13" s="13">
        <v>0</v>
      </c>
      <c r="G13" s="13">
        <v>0</v>
      </c>
      <c r="H13" s="13">
        <v>12.504021300916515</v>
      </c>
      <c r="I13" s="14">
        <v>39960</v>
      </c>
      <c r="J13" s="12" t="s">
        <v>388</v>
      </c>
    </row>
    <row r="14" spans="1:10">
      <c r="A14" s="12" t="s">
        <v>119</v>
      </c>
      <c r="B14" s="13">
        <v>29.503685907308157</v>
      </c>
      <c r="C14" s="13">
        <v>0</v>
      </c>
      <c r="D14" s="13">
        <v>18.998336721493253</v>
      </c>
      <c r="E14" s="13">
        <v>5.664729597459222</v>
      </c>
      <c r="F14" s="13">
        <v>0</v>
      </c>
      <c r="G14" s="13">
        <v>4.8406195883556817</v>
      </c>
      <c r="H14" s="13">
        <v>0</v>
      </c>
      <c r="I14" s="14">
        <v>40179</v>
      </c>
      <c r="J14" s="12" t="s">
        <v>379</v>
      </c>
    </row>
    <row r="15" spans="1:10">
      <c r="A15" s="12" t="s">
        <v>132</v>
      </c>
      <c r="B15" s="13">
        <v>17.503439495677529</v>
      </c>
      <c r="C15" s="13">
        <v>0</v>
      </c>
      <c r="D15" s="13">
        <v>17.503439495677529</v>
      </c>
      <c r="E15" s="13">
        <v>0</v>
      </c>
      <c r="F15" s="13">
        <v>0</v>
      </c>
      <c r="G15" s="13">
        <v>0</v>
      </c>
      <c r="H15" s="13">
        <v>0</v>
      </c>
      <c r="I15" s="14">
        <v>40544</v>
      </c>
      <c r="J15" s="12" t="s">
        <v>379</v>
      </c>
    </row>
    <row r="16" spans="1:10">
      <c r="A16" s="12" t="s">
        <v>135</v>
      </c>
      <c r="B16" s="13">
        <v>32.50443198696756</v>
      </c>
      <c r="C16" s="13">
        <v>0</v>
      </c>
      <c r="D16" s="13">
        <v>32.50443198696756</v>
      </c>
      <c r="E16" s="13">
        <v>0</v>
      </c>
      <c r="F16" s="13">
        <v>0</v>
      </c>
      <c r="G16" s="13">
        <v>0</v>
      </c>
      <c r="H16" s="13">
        <v>0</v>
      </c>
      <c r="I16" s="14">
        <v>41275</v>
      </c>
      <c r="J16" s="12" t="s">
        <v>389</v>
      </c>
    </row>
    <row r="17" spans="1:10">
      <c r="A17" s="12" t="s">
        <v>138</v>
      </c>
      <c r="B17" s="13">
        <v>25.506341677104938</v>
      </c>
      <c r="C17" s="13">
        <v>0</v>
      </c>
      <c r="D17" s="13">
        <v>20.41931045812029</v>
      </c>
      <c r="E17" s="13">
        <v>4.0849572544268531</v>
      </c>
      <c r="F17" s="13">
        <v>1.0020739645577939</v>
      </c>
      <c r="G17" s="13">
        <v>0</v>
      </c>
      <c r="H17" s="13">
        <v>0</v>
      </c>
      <c r="I17" s="14">
        <v>42736</v>
      </c>
      <c r="J17" s="12" t="s">
        <v>379</v>
      </c>
    </row>
    <row r="18" spans="1:10" ht="27.6">
      <c r="A18" s="12" t="s">
        <v>149</v>
      </c>
      <c r="B18" s="13">
        <v>29.50368590730816</v>
      </c>
      <c r="C18" s="13">
        <v>0</v>
      </c>
      <c r="D18" s="13">
        <v>12.504021300916515</v>
      </c>
      <c r="E18" s="13">
        <v>16.999664606391644</v>
      </c>
      <c r="F18" s="13">
        <v>0</v>
      </c>
      <c r="G18" s="13">
        <v>0</v>
      </c>
      <c r="H18" s="13">
        <v>0</v>
      </c>
      <c r="I18" s="14">
        <v>43101</v>
      </c>
      <c r="J18" s="12" t="s">
        <v>390</v>
      </c>
    </row>
    <row r="19" spans="1:10" ht="27.6">
      <c r="A19" s="12" t="s">
        <v>157</v>
      </c>
      <c r="B19" s="13">
        <v>23.504931654996337</v>
      </c>
      <c r="C19" s="13">
        <v>0</v>
      </c>
      <c r="D19" s="13">
        <v>0</v>
      </c>
      <c r="E19" s="13">
        <v>8.4875117216643731E-2</v>
      </c>
      <c r="F19" s="13">
        <v>0</v>
      </c>
      <c r="G19" s="13">
        <v>23.420056537779693</v>
      </c>
      <c r="H19" s="13">
        <v>0</v>
      </c>
      <c r="I19" s="14">
        <v>43466</v>
      </c>
      <c r="J19" s="12" t="s">
        <v>391</v>
      </c>
    </row>
    <row r="20" spans="1:10" ht="41.4">
      <c r="A20" s="12" t="s">
        <v>166</v>
      </c>
      <c r="B20" s="13">
        <v>42.503268376489594</v>
      </c>
      <c r="C20" s="13">
        <v>42.503268376489594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4">
        <v>43466</v>
      </c>
      <c r="J20" s="12" t="s">
        <v>392</v>
      </c>
    </row>
    <row r="21" spans="1:10" ht="27.6">
      <c r="A21" s="12" t="s">
        <v>185</v>
      </c>
      <c r="B21" s="13">
        <v>20.000410686051048</v>
      </c>
      <c r="C21" s="13">
        <v>0</v>
      </c>
      <c r="D21" s="13">
        <v>0</v>
      </c>
      <c r="E21" s="13">
        <v>13.002320376188422</v>
      </c>
      <c r="F21" s="13">
        <v>6.9980903098626257</v>
      </c>
      <c r="G21" s="13">
        <v>0</v>
      </c>
      <c r="H21" s="13">
        <v>0</v>
      </c>
      <c r="I21" s="14">
        <v>44197</v>
      </c>
      <c r="J21" s="12" t="s">
        <v>393</v>
      </c>
    </row>
    <row r="22" spans="1:10">
      <c r="A22" s="12" t="s">
        <v>194</v>
      </c>
      <c r="B22" s="13">
        <v>20.000410686051048</v>
      </c>
      <c r="C22" s="13">
        <v>0</v>
      </c>
      <c r="D22" s="13">
        <v>0</v>
      </c>
      <c r="E22" s="13">
        <v>20.000410686051048</v>
      </c>
      <c r="F22" s="13">
        <v>0</v>
      </c>
      <c r="G22" s="13">
        <v>0</v>
      </c>
      <c r="H22" s="13">
        <v>0</v>
      </c>
      <c r="I22" s="14">
        <v>44562</v>
      </c>
      <c r="J22" s="12" t="s">
        <v>379</v>
      </c>
    </row>
    <row r="23" spans="1:10" ht="27.6">
      <c r="A23" s="12" t="s">
        <v>204</v>
      </c>
      <c r="B23" s="13">
        <v>14.045462945851044</v>
      </c>
      <c r="C23" s="13">
        <v>0</v>
      </c>
      <c r="D23" s="13">
        <v>1.5496553659554952</v>
      </c>
      <c r="E23" s="13">
        <v>2.5818463075901628</v>
      </c>
      <c r="F23" s="13">
        <v>9.9139612723053858</v>
      </c>
      <c r="G23" s="13">
        <v>0</v>
      </c>
      <c r="H23" s="13">
        <v>0</v>
      </c>
      <c r="I23" s="14">
        <v>44944</v>
      </c>
      <c r="J23" s="12" t="s">
        <v>393</v>
      </c>
    </row>
    <row r="24" spans="1:10">
      <c r="A24" s="12" t="s">
        <v>215</v>
      </c>
      <c r="B24" s="13">
        <v>27.097065648165259</v>
      </c>
      <c r="C24" s="13">
        <v>0</v>
      </c>
      <c r="D24" s="13">
        <v>27.097065648165259</v>
      </c>
      <c r="E24" s="13">
        <v>0</v>
      </c>
      <c r="F24" s="13">
        <v>0</v>
      </c>
      <c r="G24" s="13">
        <v>0</v>
      </c>
      <c r="H24" s="13">
        <v>0</v>
      </c>
      <c r="I24" s="14">
        <v>45693</v>
      </c>
      <c r="J24" s="12" t="s">
        <v>379</v>
      </c>
    </row>
  </sheetData>
  <mergeCells count="2">
    <mergeCell ref="A1:J1"/>
    <mergeCell ref="A2:J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69"/>
  <sheetViews>
    <sheetView showGridLines="0" workbookViewId="0">
      <selection sqref="A1:M1"/>
    </sheetView>
  </sheetViews>
  <sheetFormatPr defaultRowHeight="13.8"/>
  <cols>
    <col min="1" max="1" width="25" customWidth="1"/>
    <col min="2" max="2" width="27" customWidth="1"/>
    <col min="3" max="3" width="31" customWidth="1"/>
    <col min="4" max="5" width="12" customWidth="1"/>
    <col min="6" max="6" width="47" customWidth="1"/>
    <col min="7" max="7" width="12" customWidth="1"/>
    <col min="8" max="8" width="16" customWidth="1"/>
    <col min="9" max="9" width="13" customWidth="1"/>
    <col min="10" max="10" width="27" customWidth="1"/>
    <col min="11" max="11" width="45" customWidth="1"/>
    <col min="12" max="12" width="14" customWidth="1"/>
    <col min="13" max="13" width="46" customWidth="1"/>
  </cols>
  <sheetData>
    <row r="1" spans="1:13" ht="28.05" customHeight="1">
      <c r="A1" s="57" t="s">
        <v>0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</row>
    <row r="2" spans="1:13">
      <c r="A2" s="58" t="s">
        <v>1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</row>
    <row r="3" spans="1:13" ht="27.6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  <c r="G3" s="2" t="s">
        <v>8</v>
      </c>
      <c r="H3" s="2" t="s">
        <v>9</v>
      </c>
      <c r="I3" s="2" t="s">
        <v>10</v>
      </c>
      <c r="J3" s="2" t="s">
        <v>11</v>
      </c>
      <c r="K3" s="2" t="s">
        <v>12</v>
      </c>
      <c r="L3" s="2" t="s">
        <v>13</v>
      </c>
      <c r="M3" s="2" t="s">
        <v>14</v>
      </c>
    </row>
    <row r="4" spans="1:13" ht="55.2">
      <c r="A4" s="3" t="s">
        <v>15</v>
      </c>
      <c r="B4" s="3" t="s">
        <v>16</v>
      </c>
      <c r="C4" s="3" t="s">
        <v>17</v>
      </c>
      <c r="D4" s="4">
        <v>19541</v>
      </c>
      <c r="E4" s="4">
        <v>20454</v>
      </c>
      <c r="F4" s="3" t="s">
        <v>18</v>
      </c>
      <c r="G4" s="5" t="b">
        <v>1</v>
      </c>
      <c r="H4" s="5" t="b">
        <v>0</v>
      </c>
      <c r="I4" s="5" t="b">
        <v>0</v>
      </c>
      <c r="J4" s="3" t="s">
        <v>19</v>
      </c>
      <c r="K4" s="3" t="s">
        <v>20</v>
      </c>
      <c r="L4" s="3" t="s">
        <v>21</v>
      </c>
      <c r="M4" s="3" t="s">
        <v>22</v>
      </c>
    </row>
    <row r="5" spans="1:13" ht="55.2">
      <c r="A5" s="3" t="s">
        <v>15</v>
      </c>
      <c r="B5" s="3" t="s">
        <v>23</v>
      </c>
      <c r="C5" s="3" t="s">
        <v>24</v>
      </c>
      <c r="D5" s="4">
        <v>21002</v>
      </c>
      <c r="E5" s="4">
        <v>21366</v>
      </c>
      <c r="F5" s="3" t="s">
        <v>25</v>
      </c>
      <c r="G5" s="5" t="b">
        <v>1</v>
      </c>
      <c r="H5" s="5" t="b">
        <v>0</v>
      </c>
      <c r="I5" s="5" t="b">
        <v>1</v>
      </c>
      <c r="J5" s="3" t="s">
        <v>19</v>
      </c>
      <c r="K5" s="3" t="s">
        <v>20</v>
      </c>
      <c r="L5" s="3" t="s">
        <v>21</v>
      </c>
      <c r="M5" s="3" t="s">
        <v>26</v>
      </c>
    </row>
    <row r="6" spans="1:13" ht="55.2">
      <c r="A6" s="3" t="s">
        <v>15</v>
      </c>
      <c r="B6" s="3" t="s">
        <v>27</v>
      </c>
      <c r="C6" s="3" t="s">
        <v>28</v>
      </c>
      <c r="D6" s="4">
        <v>21367</v>
      </c>
      <c r="E6" s="4">
        <v>30026</v>
      </c>
      <c r="F6" s="3" t="s">
        <v>29</v>
      </c>
      <c r="G6" s="5" t="b">
        <v>1</v>
      </c>
      <c r="H6" s="5" t="b">
        <v>1</v>
      </c>
      <c r="I6" s="5" t="b">
        <v>0</v>
      </c>
      <c r="J6" s="3" t="s">
        <v>19</v>
      </c>
      <c r="K6" s="3" t="s">
        <v>20</v>
      </c>
      <c r="L6" s="3" t="s">
        <v>21</v>
      </c>
      <c r="M6" s="3" t="s">
        <v>30</v>
      </c>
    </row>
    <row r="7" spans="1:13" ht="55.2">
      <c r="A7" s="3" t="s">
        <v>15</v>
      </c>
      <c r="B7" s="3" t="s">
        <v>27</v>
      </c>
      <c r="C7" s="3" t="s">
        <v>31</v>
      </c>
      <c r="D7" s="4">
        <v>30027</v>
      </c>
      <c r="E7" s="4">
        <v>35795</v>
      </c>
      <c r="F7" s="3" t="s">
        <v>32</v>
      </c>
      <c r="G7" s="5" t="b">
        <v>1</v>
      </c>
      <c r="H7" s="5" t="b">
        <v>1</v>
      </c>
      <c r="I7" s="5" t="b">
        <v>0</v>
      </c>
      <c r="J7" s="3" t="s">
        <v>33</v>
      </c>
      <c r="K7" s="3" t="s">
        <v>20</v>
      </c>
      <c r="L7" s="3" t="s">
        <v>21</v>
      </c>
      <c r="M7" s="3"/>
    </row>
    <row r="8" spans="1:13" ht="41.4">
      <c r="A8" s="3" t="s">
        <v>34</v>
      </c>
      <c r="B8" s="3" t="s">
        <v>35</v>
      </c>
      <c r="C8" s="3" t="s">
        <v>36</v>
      </c>
      <c r="D8" s="4">
        <v>22098</v>
      </c>
      <c r="E8" s="4">
        <v>34334</v>
      </c>
      <c r="F8" s="3" t="s">
        <v>37</v>
      </c>
      <c r="G8" s="5" t="b">
        <v>1</v>
      </c>
      <c r="H8" s="5" t="b">
        <v>1</v>
      </c>
      <c r="I8" s="5" t="b">
        <v>0</v>
      </c>
      <c r="J8" s="3" t="s">
        <v>38</v>
      </c>
      <c r="K8" s="3" t="s">
        <v>39</v>
      </c>
      <c r="L8" s="3" t="s">
        <v>40</v>
      </c>
      <c r="M8" s="3" t="s">
        <v>41</v>
      </c>
    </row>
    <row r="9" spans="1:13" ht="41.4">
      <c r="A9" s="3" t="s">
        <v>34</v>
      </c>
      <c r="B9" s="3" t="s">
        <v>27</v>
      </c>
      <c r="C9" s="3" t="s">
        <v>42</v>
      </c>
      <c r="D9" s="4">
        <v>34425</v>
      </c>
      <c r="E9" s="4">
        <v>35430</v>
      </c>
      <c r="F9" s="3" t="s">
        <v>43</v>
      </c>
      <c r="G9" s="5" t="b">
        <v>1</v>
      </c>
      <c r="H9" s="5" t="b">
        <v>1</v>
      </c>
      <c r="I9" s="5" t="b">
        <v>0</v>
      </c>
      <c r="J9" s="3" t="s">
        <v>33</v>
      </c>
      <c r="K9" s="3" t="s">
        <v>39</v>
      </c>
      <c r="L9" s="3" t="s">
        <v>21</v>
      </c>
      <c r="M9" s="3"/>
    </row>
    <row r="10" spans="1:13" ht="41.4">
      <c r="A10" s="3" t="s">
        <v>44</v>
      </c>
      <c r="B10" s="3" t="s">
        <v>45</v>
      </c>
      <c r="C10" s="3" t="s">
        <v>46</v>
      </c>
      <c r="D10" s="4">
        <v>24654</v>
      </c>
      <c r="E10" s="4">
        <v>34334</v>
      </c>
      <c r="F10" s="3" t="s">
        <v>47</v>
      </c>
      <c r="G10" s="5" t="b">
        <v>1</v>
      </c>
      <c r="H10" s="5" t="b">
        <v>1</v>
      </c>
      <c r="I10" s="5" t="b">
        <v>1</v>
      </c>
      <c r="J10" s="3" t="s">
        <v>48</v>
      </c>
      <c r="K10" s="3" t="s">
        <v>39</v>
      </c>
      <c r="L10" s="3" t="s">
        <v>49</v>
      </c>
      <c r="M10" s="3" t="s">
        <v>50</v>
      </c>
    </row>
    <row r="11" spans="1:13" ht="41.4">
      <c r="A11" s="3" t="s">
        <v>44</v>
      </c>
      <c r="B11" s="3" t="s">
        <v>27</v>
      </c>
      <c r="C11" s="3" t="s">
        <v>42</v>
      </c>
      <c r="D11" s="4">
        <v>34425</v>
      </c>
      <c r="E11" s="4">
        <v>35795</v>
      </c>
      <c r="F11" s="3" t="s">
        <v>51</v>
      </c>
      <c r="G11" s="5" t="b">
        <v>1</v>
      </c>
      <c r="H11" s="5" t="b">
        <v>1</v>
      </c>
      <c r="I11" s="5" t="b">
        <v>0</v>
      </c>
      <c r="J11" s="3" t="s">
        <v>33</v>
      </c>
      <c r="K11" s="3" t="s">
        <v>52</v>
      </c>
      <c r="L11" s="3" t="s">
        <v>21</v>
      </c>
      <c r="M11" s="3"/>
    </row>
    <row r="12" spans="1:13" ht="41.4">
      <c r="A12" s="3" t="s">
        <v>53</v>
      </c>
      <c r="B12" s="3" t="s">
        <v>54</v>
      </c>
      <c r="C12" s="3" t="s">
        <v>55</v>
      </c>
      <c r="D12" s="4">
        <v>26115</v>
      </c>
      <c r="E12" s="4">
        <v>34699</v>
      </c>
      <c r="F12" s="3" t="s">
        <v>56</v>
      </c>
      <c r="G12" s="5" t="b">
        <v>1</v>
      </c>
      <c r="H12" s="5" t="b">
        <v>0</v>
      </c>
      <c r="I12" s="5" t="b">
        <v>0</v>
      </c>
      <c r="J12" s="3" t="s">
        <v>48</v>
      </c>
      <c r="K12" s="3" t="s">
        <v>39</v>
      </c>
      <c r="L12" s="3" t="s">
        <v>40</v>
      </c>
      <c r="M12" s="3" t="s">
        <v>57</v>
      </c>
    </row>
    <row r="13" spans="1:13" ht="41.4">
      <c r="A13" s="3" t="s">
        <v>53</v>
      </c>
      <c r="B13" s="3" t="s">
        <v>27</v>
      </c>
      <c r="C13" s="3" t="s">
        <v>42</v>
      </c>
      <c r="D13" s="4">
        <v>34700</v>
      </c>
      <c r="E13" s="4">
        <v>40543</v>
      </c>
      <c r="F13" s="3" t="s">
        <v>58</v>
      </c>
      <c r="G13" s="5" t="b">
        <v>1</v>
      </c>
      <c r="H13" s="5" t="b">
        <v>1</v>
      </c>
      <c r="I13" s="5" t="b">
        <v>0</v>
      </c>
      <c r="J13" s="3" t="s">
        <v>59</v>
      </c>
      <c r="K13" s="3" t="s">
        <v>52</v>
      </c>
      <c r="L13" s="3" t="s">
        <v>21</v>
      </c>
      <c r="M13" s="3"/>
    </row>
    <row r="14" spans="1:13" ht="41.4">
      <c r="A14" s="3" t="s">
        <v>60</v>
      </c>
      <c r="B14" s="3" t="s">
        <v>61</v>
      </c>
      <c r="C14" s="3" t="s">
        <v>62</v>
      </c>
      <c r="D14" s="4">
        <v>23924</v>
      </c>
      <c r="E14" s="4">
        <v>34334</v>
      </c>
      <c r="F14" s="3" t="s">
        <v>63</v>
      </c>
      <c r="G14" s="5" t="b">
        <v>1</v>
      </c>
      <c r="H14" s="5" t="b">
        <v>1</v>
      </c>
      <c r="I14" s="5" t="b">
        <v>0</v>
      </c>
      <c r="J14" s="3" t="s">
        <v>64</v>
      </c>
      <c r="K14" s="3" t="s">
        <v>39</v>
      </c>
      <c r="L14" s="3" t="s">
        <v>40</v>
      </c>
      <c r="M14" s="3" t="s">
        <v>65</v>
      </c>
    </row>
    <row r="15" spans="1:13" ht="41.4">
      <c r="A15" s="3" t="s">
        <v>60</v>
      </c>
      <c r="B15" s="3" t="s">
        <v>27</v>
      </c>
      <c r="C15" s="3" t="s">
        <v>42</v>
      </c>
      <c r="D15" s="4">
        <v>34425</v>
      </c>
      <c r="E15" s="4">
        <v>39069</v>
      </c>
      <c r="F15" s="3" t="s">
        <v>51</v>
      </c>
      <c r="G15" s="5" t="b">
        <v>1</v>
      </c>
      <c r="H15" s="5" t="b">
        <v>1</v>
      </c>
      <c r="I15" s="5" t="b">
        <v>0</v>
      </c>
      <c r="J15" s="3" t="s">
        <v>33</v>
      </c>
      <c r="K15" s="3" t="s">
        <v>39</v>
      </c>
      <c r="L15" s="3" t="s">
        <v>21</v>
      </c>
      <c r="M15" s="3" t="s">
        <v>66</v>
      </c>
    </row>
    <row r="16" spans="1:13" ht="41.4">
      <c r="A16" s="3" t="s">
        <v>67</v>
      </c>
      <c r="B16" s="3" t="s">
        <v>68</v>
      </c>
      <c r="C16" s="3" t="s">
        <v>36</v>
      </c>
      <c r="D16" s="4">
        <v>27576</v>
      </c>
      <c r="E16" s="4">
        <v>35430</v>
      </c>
      <c r="F16" s="3" t="s">
        <v>69</v>
      </c>
      <c r="G16" s="5" t="b">
        <v>1</v>
      </c>
      <c r="H16" s="5" t="b">
        <v>1</v>
      </c>
      <c r="I16" s="5" t="b">
        <v>1</v>
      </c>
      <c r="J16" s="3" t="s">
        <v>70</v>
      </c>
      <c r="K16" s="3" t="s">
        <v>39</v>
      </c>
      <c r="L16" s="3" t="s">
        <v>49</v>
      </c>
      <c r="M16" s="3" t="s">
        <v>71</v>
      </c>
    </row>
    <row r="17" spans="1:13" ht="41.4">
      <c r="A17" s="3" t="s">
        <v>67</v>
      </c>
      <c r="B17" s="3" t="s">
        <v>27</v>
      </c>
      <c r="C17" s="3" t="s">
        <v>42</v>
      </c>
      <c r="D17" s="4">
        <v>35431</v>
      </c>
      <c r="E17" s="4">
        <v>41274</v>
      </c>
      <c r="F17" s="3" t="s">
        <v>72</v>
      </c>
      <c r="G17" s="5" t="b">
        <v>1</v>
      </c>
      <c r="H17" s="5" t="b">
        <v>1</v>
      </c>
      <c r="I17" s="5" t="b">
        <v>0</v>
      </c>
      <c r="J17" s="3" t="s">
        <v>33</v>
      </c>
      <c r="K17" s="3" t="s">
        <v>39</v>
      </c>
      <c r="L17" s="3" t="s">
        <v>21</v>
      </c>
      <c r="M17" s="3"/>
    </row>
    <row r="18" spans="1:13" ht="41.4">
      <c r="A18" s="3" t="s">
        <v>73</v>
      </c>
      <c r="B18" s="3" t="s">
        <v>74</v>
      </c>
      <c r="C18" s="3" t="s">
        <v>75</v>
      </c>
      <c r="D18" s="4">
        <v>25020</v>
      </c>
      <c r="E18" s="4">
        <v>33603</v>
      </c>
      <c r="F18" s="3" t="s">
        <v>76</v>
      </c>
      <c r="G18" s="5" t="b">
        <v>1</v>
      </c>
      <c r="H18" s="5" t="b">
        <v>0</v>
      </c>
      <c r="I18" s="5" t="b">
        <v>0</v>
      </c>
      <c r="J18" s="3" t="s">
        <v>77</v>
      </c>
      <c r="K18" s="3" t="s">
        <v>39</v>
      </c>
      <c r="L18" s="3" t="s">
        <v>49</v>
      </c>
      <c r="M18" s="3" t="s">
        <v>78</v>
      </c>
    </row>
    <row r="19" spans="1:13" ht="41.4">
      <c r="A19" s="3" t="s">
        <v>73</v>
      </c>
      <c r="B19" s="3" t="s">
        <v>79</v>
      </c>
      <c r="C19" s="3" t="s">
        <v>80</v>
      </c>
      <c r="D19" s="4">
        <v>33604</v>
      </c>
      <c r="E19" s="4">
        <v>35822</v>
      </c>
      <c r="F19" s="3" t="s">
        <v>81</v>
      </c>
      <c r="G19" s="5" t="b">
        <v>1</v>
      </c>
      <c r="H19" s="5" t="b">
        <v>0</v>
      </c>
      <c r="I19" s="5" t="b">
        <v>0</v>
      </c>
      <c r="J19" s="3" t="s">
        <v>77</v>
      </c>
      <c r="K19" s="3" t="s">
        <v>39</v>
      </c>
      <c r="L19" s="3" t="s">
        <v>49</v>
      </c>
      <c r="M19" s="3"/>
    </row>
    <row r="20" spans="1:13" ht="41.4">
      <c r="A20" s="3" t="s">
        <v>73</v>
      </c>
      <c r="B20" s="3" t="s">
        <v>27</v>
      </c>
      <c r="C20" s="3" t="s">
        <v>42</v>
      </c>
      <c r="D20" s="4">
        <v>35823</v>
      </c>
      <c r="E20" s="4">
        <v>39813</v>
      </c>
      <c r="F20" s="3" t="s">
        <v>82</v>
      </c>
      <c r="G20" s="5" t="b">
        <v>1</v>
      </c>
      <c r="H20" s="5" t="b">
        <v>1</v>
      </c>
      <c r="I20" s="5" t="b">
        <v>0</v>
      </c>
      <c r="J20" s="3" t="s">
        <v>33</v>
      </c>
      <c r="K20" s="3" t="s">
        <v>83</v>
      </c>
      <c r="L20" s="3" t="s">
        <v>21</v>
      </c>
      <c r="M20" s="3"/>
    </row>
    <row r="21" spans="1:13" ht="41.4">
      <c r="A21" s="3" t="s">
        <v>84</v>
      </c>
      <c r="B21" s="3" t="s">
        <v>85</v>
      </c>
      <c r="C21" s="3" t="s">
        <v>46</v>
      </c>
      <c r="D21" s="4">
        <v>26115</v>
      </c>
      <c r="E21" s="4">
        <v>32477</v>
      </c>
      <c r="F21" s="3" t="s">
        <v>86</v>
      </c>
      <c r="G21" s="5" t="b">
        <v>1</v>
      </c>
      <c r="H21" s="5" t="b">
        <v>1</v>
      </c>
      <c r="I21" s="5" t="b">
        <v>1</v>
      </c>
      <c r="J21" s="3" t="s">
        <v>48</v>
      </c>
      <c r="K21" s="3" t="s">
        <v>39</v>
      </c>
      <c r="L21" s="3" t="s">
        <v>49</v>
      </c>
      <c r="M21" s="3" t="s">
        <v>87</v>
      </c>
    </row>
    <row r="22" spans="1:13" ht="41.4">
      <c r="A22" s="3" t="s">
        <v>84</v>
      </c>
      <c r="B22" s="3" t="s">
        <v>88</v>
      </c>
      <c r="C22" s="3" t="s">
        <v>89</v>
      </c>
      <c r="D22" s="4">
        <v>32478</v>
      </c>
      <c r="E22" s="4">
        <v>34668</v>
      </c>
      <c r="F22" s="3" t="s">
        <v>90</v>
      </c>
      <c r="G22" s="5" t="b">
        <v>1</v>
      </c>
      <c r="H22" s="5" t="b">
        <v>0</v>
      </c>
      <c r="I22" s="5" t="b">
        <v>1</v>
      </c>
      <c r="J22" s="3" t="s">
        <v>91</v>
      </c>
      <c r="K22" s="3" t="s">
        <v>39</v>
      </c>
      <c r="L22" s="3" t="s">
        <v>21</v>
      </c>
      <c r="M22" s="3"/>
    </row>
    <row r="23" spans="1:13" ht="41.4">
      <c r="A23" s="3" t="s">
        <v>84</v>
      </c>
      <c r="B23" s="3" t="s">
        <v>88</v>
      </c>
      <c r="C23" s="3" t="s">
        <v>92</v>
      </c>
      <c r="D23" s="4">
        <v>34669</v>
      </c>
      <c r="E23" s="4">
        <v>35795</v>
      </c>
      <c r="F23" s="3" t="s">
        <v>93</v>
      </c>
      <c r="G23" s="5" t="b">
        <v>1</v>
      </c>
      <c r="H23" s="5" t="b">
        <v>0</v>
      </c>
      <c r="I23" s="5" t="b">
        <v>1</v>
      </c>
      <c r="J23" s="3" t="s">
        <v>91</v>
      </c>
      <c r="K23" s="3" t="s">
        <v>39</v>
      </c>
      <c r="L23" s="3" t="s">
        <v>21</v>
      </c>
      <c r="M23" s="3"/>
    </row>
    <row r="24" spans="1:13" ht="41.4">
      <c r="A24" s="3" t="s">
        <v>84</v>
      </c>
      <c r="B24" s="3" t="s">
        <v>27</v>
      </c>
      <c r="C24" s="3" t="s">
        <v>94</v>
      </c>
      <c r="D24" s="4">
        <v>35796</v>
      </c>
      <c r="E24" s="4">
        <v>40178</v>
      </c>
      <c r="F24" s="3" t="s">
        <v>32</v>
      </c>
      <c r="G24" s="5" t="b">
        <v>1</v>
      </c>
      <c r="H24" s="5" t="b">
        <v>1</v>
      </c>
      <c r="I24" s="5" t="b">
        <v>0</v>
      </c>
      <c r="J24" s="3" t="s">
        <v>33</v>
      </c>
      <c r="K24" s="3" t="s">
        <v>83</v>
      </c>
      <c r="L24" s="3" t="s">
        <v>21</v>
      </c>
      <c r="M24" s="3"/>
    </row>
    <row r="25" spans="1:13" ht="41.4">
      <c r="A25" s="3" t="s">
        <v>95</v>
      </c>
      <c r="B25" s="3" t="s">
        <v>27</v>
      </c>
      <c r="C25" s="3" t="s">
        <v>96</v>
      </c>
      <c r="D25" s="4">
        <v>26846</v>
      </c>
      <c r="E25" s="4">
        <v>34699</v>
      </c>
      <c r="F25" s="3" t="s">
        <v>97</v>
      </c>
      <c r="G25" s="5" t="b">
        <v>1</v>
      </c>
      <c r="H25" s="5" t="b">
        <v>1</v>
      </c>
      <c r="I25" s="5" t="b">
        <v>0</v>
      </c>
      <c r="J25" s="3" t="s">
        <v>98</v>
      </c>
      <c r="K25" s="3" t="s">
        <v>99</v>
      </c>
      <c r="L25" s="3" t="s">
        <v>21</v>
      </c>
      <c r="M25" s="3" t="s">
        <v>100</v>
      </c>
    </row>
    <row r="26" spans="1:13" ht="41.4">
      <c r="A26" s="3" t="s">
        <v>95</v>
      </c>
      <c r="B26" s="3" t="s">
        <v>101</v>
      </c>
      <c r="C26" s="3" t="s">
        <v>102</v>
      </c>
      <c r="D26" s="4">
        <v>34700</v>
      </c>
      <c r="E26" s="4">
        <v>35795</v>
      </c>
      <c r="F26" s="3" t="s">
        <v>103</v>
      </c>
      <c r="G26" s="5" t="b">
        <v>1</v>
      </c>
      <c r="H26" s="5" t="b">
        <v>0</v>
      </c>
      <c r="I26" s="5" t="b">
        <v>0</v>
      </c>
      <c r="J26" s="3" t="s">
        <v>98</v>
      </c>
      <c r="K26" s="3" t="s">
        <v>99</v>
      </c>
      <c r="L26" s="3" t="s">
        <v>21</v>
      </c>
      <c r="M26" s="3"/>
    </row>
    <row r="27" spans="1:13" ht="41.4">
      <c r="A27" s="3" t="s">
        <v>95</v>
      </c>
      <c r="B27" s="3" t="s">
        <v>104</v>
      </c>
      <c r="C27" s="3" t="s">
        <v>105</v>
      </c>
      <c r="D27" s="4">
        <v>35796</v>
      </c>
      <c r="E27" s="4">
        <v>39053</v>
      </c>
      <c r="F27" s="3" t="s">
        <v>106</v>
      </c>
      <c r="G27" s="5" t="b">
        <v>1</v>
      </c>
      <c r="H27" s="5" t="b">
        <v>0</v>
      </c>
      <c r="I27" s="5" t="b">
        <v>0</v>
      </c>
      <c r="J27" s="3" t="s">
        <v>98</v>
      </c>
      <c r="K27" s="3" t="s">
        <v>99</v>
      </c>
      <c r="L27" s="3" t="s">
        <v>21</v>
      </c>
      <c r="M27" s="3"/>
    </row>
    <row r="28" spans="1:13" ht="41.4">
      <c r="A28" s="3" t="s">
        <v>95</v>
      </c>
      <c r="B28" s="3" t="s">
        <v>107</v>
      </c>
      <c r="C28" s="3" t="s">
        <v>108</v>
      </c>
      <c r="D28" s="4">
        <v>39054</v>
      </c>
      <c r="E28" s="4">
        <v>39266</v>
      </c>
      <c r="F28" s="3" t="s">
        <v>109</v>
      </c>
      <c r="G28" s="5" t="b">
        <v>1</v>
      </c>
      <c r="H28" s="5" t="b">
        <v>0</v>
      </c>
      <c r="I28" s="5" t="b">
        <v>0</v>
      </c>
      <c r="J28" s="3" t="s">
        <v>98</v>
      </c>
      <c r="K28" s="3" t="s">
        <v>99</v>
      </c>
      <c r="L28" s="3" t="s">
        <v>21</v>
      </c>
      <c r="M28" s="3"/>
    </row>
    <row r="29" spans="1:13" ht="41.4">
      <c r="A29" s="3" t="s">
        <v>95</v>
      </c>
      <c r="B29" s="3" t="s">
        <v>27</v>
      </c>
      <c r="C29" s="3" t="s">
        <v>42</v>
      </c>
      <c r="D29" s="4">
        <v>39267</v>
      </c>
      <c r="E29" s="4">
        <v>43434</v>
      </c>
      <c r="F29" s="3" t="s">
        <v>110</v>
      </c>
      <c r="G29" s="5" t="b">
        <v>1</v>
      </c>
      <c r="H29" s="5" t="b">
        <v>1</v>
      </c>
      <c r="I29" s="5" t="b">
        <v>0</v>
      </c>
      <c r="J29" s="3" t="s">
        <v>98</v>
      </c>
      <c r="K29" s="3" t="s">
        <v>99</v>
      </c>
      <c r="L29" s="3" t="s">
        <v>21</v>
      </c>
      <c r="M29" s="3"/>
    </row>
    <row r="30" spans="1:13" ht="41.4">
      <c r="A30" s="3" t="s">
        <v>111</v>
      </c>
      <c r="B30" s="3" t="s">
        <v>112</v>
      </c>
      <c r="C30" s="3" t="s">
        <v>113</v>
      </c>
      <c r="D30" s="4">
        <v>29403</v>
      </c>
      <c r="E30" s="4">
        <v>33969</v>
      </c>
      <c r="F30" s="3" t="s">
        <v>114</v>
      </c>
      <c r="G30" s="5" t="b">
        <v>1</v>
      </c>
      <c r="H30" s="5" t="b">
        <v>0</v>
      </c>
      <c r="I30" s="5" t="b">
        <v>0</v>
      </c>
      <c r="J30" s="3" t="s">
        <v>98</v>
      </c>
      <c r="K30" s="3" t="s">
        <v>115</v>
      </c>
      <c r="L30" s="3" t="s">
        <v>49</v>
      </c>
      <c r="M30" s="3" t="s">
        <v>116</v>
      </c>
    </row>
    <row r="31" spans="1:13" ht="41.4">
      <c r="A31" s="3" t="s">
        <v>111</v>
      </c>
      <c r="B31" s="3" t="s">
        <v>117</v>
      </c>
      <c r="C31" s="3" t="s">
        <v>118</v>
      </c>
      <c r="D31" s="4">
        <v>33970</v>
      </c>
      <c r="E31" s="4">
        <v>39959</v>
      </c>
      <c r="F31" s="3" t="s">
        <v>81</v>
      </c>
      <c r="G31" s="5" t="b">
        <v>1</v>
      </c>
      <c r="H31" s="5" t="b">
        <v>0</v>
      </c>
      <c r="I31" s="5" t="b">
        <v>0</v>
      </c>
      <c r="J31" s="3" t="s">
        <v>98</v>
      </c>
      <c r="K31" s="3" t="s">
        <v>115</v>
      </c>
      <c r="L31" s="3" t="s">
        <v>21</v>
      </c>
      <c r="M31" s="3"/>
    </row>
    <row r="32" spans="1:13" ht="41.4">
      <c r="A32" s="3" t="s">
        <v>111</v>
      </c>
      <c r="B32" s="3" t="s">
        <v>27</v>
      </c>
      <c r="C32" s="3" t="s">
        <v>42</v>
      </c>
      <c r="D32" s="4">
        <v>39960</v>
      </c>
      <c r="E32" s="4">
        <v>42735</v>
      </c>
      <c r="F32" s="3" t="s">
        <v>82</v>
      </c>
      <c r="G32" s="5" t="b">
        <v>1</v>
      </c>
      <c r="H32" s="5" t="b">
        <v>1</v>
      </c>
      <c r="I32" s="5" t="b">
        <v>0</v>
      </c>
      <c r="J32" s="3" t="s">
        <v>98</v>
      </c>
      <c r="K32" s="3" t="s">
        <v>115</v>
      </c>
      <c r="L32" s="3" t="s">
        <v>21</v>
      </c>
      <c r="M32" s="3"/>
    </row>
    <row r="33" spans="1:13" ht="41.4">
      <c r="A33" s="3" t="s">
        <v>119</v>
      </c>
      <c r="B33" s="3" t="s">
        <v>27</v>
      </c>
      <c r="C33" s="3" t="s">
        <v>120</v>
      </c>
      <c r="D33" s="4">
        <v>29403</v>
      </c>
      <c r="E33" s="4">
        <v>36341</v>
      </c>
      <c r="F33" s="3" t="s">
        <v>121</v>
      </c>
      <c r="G33" s="5" t="b">
        <v>1</v>
      </c>
      <c r="H33" s="5" t="b">
        <v>1</v>
      </c>
      <c r="I33" s="5" t="b">
        <v>0</v>
      </c>
      <c r="J33" s="3" t="s">
        <v>122</v>
      </c>
      <c r="K33" s="3" t="s">
        <v>39</v>
      </c>
      <c r="L33" s="3" t="s">
        <v>49</v>
      </c>
      <c r="M33" s="3" t="s">
        <v>123</v>
      </c>
    </row>
    <row r="34" spans="1:13" ht="41.4">
      <c r="A34" s="3" t="s">
        <v>119</v>
      </c>
      <c r="B34" s="3" t="s">
        <v>124</v>
      </c>
      <c r="C34" s="3" t="s">
        <v>125</v>
      </c>
      <c r="D34" s="4">
        <v>36342</v>
      </c>
      <c r="E34" s="4">
        <v>36891</v>
      </c>
      <c r="F34" s="3" t="s">
        <v>126</v>
      </c>
      <c r="G34" s="5" t="b">
        <v>1</v>
      </c>
      <c r="H34" s="5" t="b">
        <v>1</v>
      </c>
      <c r="I34" s="5" t="b">
        <v>0</v>
      </c>
      <c r="J34" s="3" t="s">
        <v>127</v>
      </c>
      <c r="K34" s="3" t="s">
        <v>39</v>
      </c>
      <c r="L34" s="3" t="s">
        <v>21</v>
      </c>
      <c r="M34" s="3"/>
    </row>
    <row r="35" spans="1:13" ht="41.4">
      <c r="A35" s="3" t="s">
        <v>119</v>
      </c>
      <c r="B35" s="3" t="s">
        <v>88</v>
      </c>
      <c r="C35" s="3" t="s">
        <v>89</v>
      </c>
      <c r="D35" s="4">
        <v>36892</v>
      </c>
      <c r="E35" s="4">
        <v>37833</v>
      </c>
      <c r="F35" s="3" t="s">
        <v>128</v>
      </c>
      <c r="G35" s="5" t="b">
        <v>1</v>
      </c>
      <c r="H35" s="5" t="b">
        <v>0</v>
      </c>
      <c r="I35" s="5" t="b">
        <v>1</v>
      </c>
      <c r="J35" s="3" t="s">
        <v>127</v>
      </c>
      <c r="K35" s="3" t="s">
        <v>39</v>
      </c>
      <c r="L35" s="3" t="s">
        <v>21</v>
      </c>
      <c r="M35" s="3"/>
    </row>
    <row r="36" spans="1:13" ht="41.4">
      <c r="A36" s="3" t="s">
        <v>119</v>
      </c>
      <c r="B36" s="3" t="s">
        <v>124</v>
      </c>
      <c r="C36" s="3" t="s">
        <v>129</v>
      </c>
      <c r="D36" s="4">
        <v>37834</v>
      </c>
      <c r="E36" s="4">
        <v>39051</v>
      </c>
      <c r="F36" s="3" t="s">
        <v>130</v>
      </c>
      <c r="G36" s="5" t="b">
        <v>1</v>
      </c>
      <c r="H36" s="5" t="b">
        <v>1</v>
      </c>
      <c r="I36" s="5" t="b">
        <v>0</v>
      </c>
      <c r="J36" s="3" t="s">
        <v>127</v>
      </c>
      <c r="K36" s="3" t="s">
        <v>39</v>
      </c>
      <c r="L36" s="3" t="s">
        <v>21</v>
      </c>
      <c r="M36" s="3"/>
    </row>
    <row r="37" spans="1:13" ht="41.4">
      <c r="A37" s="3" t="s">
        <v>119</v>
      </c>
      <c r="B37" s="3" t="s">
        <v>88</v>
      </c>
      <c r="C37" s="3" t="s">
        <v>92</v>
      </c>
      <c r="D37" s="4">
        <v>39052</v>
      </c>
      <c r="E37" s="4">
        <v>40178</v>
      </c>
      <c r="F37" s="3" t="s">
        <v>131</v>
      </c>
      <c r="G37" s="5" t="b">
        <v>1</v>
      </c>
      <c r="H37" s="5" t="b">
        <v>0</v>
      </c>
      <c r="I37" s="5" t="b">
        <v>1</v>
      </c>
      <c r="J37" s="3" t="s">
        <v>127</v>
      </c>
      <c r="K37" s="3" t="s">
        <v>39</v>
      </c>
      <c r="L37" s="3" t="s">
        <v>21</v>
      </c>
      <c r="M37" s="3"/>
    </row>
    <row r="38" spans="1:13" ht="41.4">
      <c r="A38" s="3" t="s">
        <v>119</v>
      </c>
      <c r="B38" s="3" t="s">
        <v>27</v>
      </c>
      <c r="C38" s="3" t="s">
        <v>94</v>
      </c>
      <c r="D38" s="4">
        <v>40179</v>
      </c>
      <c r="E38" s="4">
        <v>43069</v>
      </c>
      <c r="F38" s="3" t="s">
        <v>32</v>
      </c>
      <c r="G38" s="5" t="b">
        <v>1</v>
      </c>
      <c r="H38" s="5" t="b">
        <v>1</v>
      </c>
      <c r="I38" s="5" t="b">
        <v>0</v>
      </c>
      <c r="J38" s="3" t="s">
        <v>33</v>
      </c>
      <c r="K38" s="3" t="s">
        <v>39</v>
      </c>
      <c r="L38" s="3" t="s">
        <v>21</v>
      </c>
      <c r="M38" s="3"/>
    </row>
    <row r="39" spans="1:13" ht="41.4">
      <c r="A39" s="3" t="s">
        <v>132</v>
      </c>
      <c r="B39" s="3" t="s">
        <v>27</v>
      </c>
      <c r="C39" s="3" t="s">
        <v>120</v>
      </c>
      <c r="D39" s="4">
        <v>34151</v>
      </c>
      <c r="E39" s="4">
        <v>40543</v>
      </c>
      <c r="F39" s="3" t="s">
        <v>133</v>
      </c>
      <c r="G39" s="5" t="b">
        <v>1</v>
      </c>
      <c r="H39" s="5" t="b">
        <v>1</v>
      </c>
      <c r="I39" s="5" t="b">
        <v>0</v>
      </c>
      <c r="J39" s="3" t="s">
        <v>134</v>
      </c>
      <c r="K39" s="3" t="s">
        <v>39</v>
      </c>
      <c r="L39" s="3" t="s">
        <v>49</v>
      </c>
      <c r="M39" s="3" t="s">
        <v>116</v>
      </c>
    </row>
    <row r="40" spans="1:13" ht="41.4">
      <c r="A40" s="3" t="s">
        <v>132</v>
      </c>
      <c r="B40" s="3" t="s">
        <v>27</v>
      </c>
      <c r="C40" s="3" t="s">
        <v>42</v>
      </c>
      <c r="D40" s="4">
        <v>40544</v>
      </c>
      <c r="E40" s="4">
        <v>43465</v>
      </c>
      <c r="F40" s="3" t="s">
        <v>82</v>
      </c>
      <c r="G40" s="5" t="b">
        <v>1</v>
      </c>
      <c r="H40" s="5" t="b">
        <v>1</v>
      </c>
      <c r="I40" s="5" t="b">
        <v>0</v>
      </c>
      <c r="J40" s="3" t="s">
        <v>33</v>
      </c>
      <c r="K40" s="3" t="s">
        <v>39</v>
      </c>
      <c r="L40" s="3" t="s">
        <v>21</v>
      </c>
      <c r="M40" s="3"/>
    </row>
    <row r="41" spans="1:13" ht="41.4">
      <c r="A41" s="3" t="s">
        <v>135</v>
      </c>
      <c r="B41" s="3" t="s">
        <v>136</v>
      </c>
      <c r="C41" s="3" t="s">
        <v>36</v>
      </c>
      <c r="D41" s="4">
        <v>29403</v>
      </c>
      <c r="E41" s="4">
        <v>41274</v>
      </c>
      <c r="F41" s="3" t="s">
        <v>137</v>
      </c>
      <c r="G41" s="5" t="b">
        <v>1</v>
      </c>
      <c r="H41" s="5" t="b">
        <v>1</v>
      </c>
      <c r="I41" s="5" t="b">
        <v>0</v>
      </c>
      <c r="J41" s="3" t="s">
        <v>122</v>
      </c>
      <c r="K41" s="3" t="s">
        <v>39</v>
      </c>
      <c r="L41" s="3" t="s">
        <v>49</v>
      </c>
      <c r="M41" s="3" t="s">
        <v>116</v>
      </c>
    </row>
    <row r="42" spans="1:13" ht="41.4">
      <c r="A42" s="3" t="s">
        <v>135</v>
      </c>
      <c r="B42" s="3" t="s">
        <v>27</v>
      </c>
      <c r="C42" s="3" t="s">
        <v>42</v>
      </c>
      <c r="D42" s="4">
        <v>41275</v>
      </c>
      <c r="E42" s="4">
        <v>44196</v>
      </c>
      <c r="F42" s="3" t="s">
        <v>82</v>
      </c>
      <c r="G42" s="5" t="b">
        <v>1</v>
      </c>
      <c r="H42" s="5" t="b">
        <v>1</v>
      </c>
      <c r="I42" s="5" t="b">
        <v>0</v>
      </c>
      <c r="J42" s="3" t="s">
        <v>33</v>
      </c>
      <c r="K42" s="3" t="s">
        <v>39</v>
      </c>
      <c r="L42" s="3" t="s">
        <v>21</v>
      </c>
      <c r="M42" s="3"/>
    </row>
    <row r="43" spans="1:13" ht="41.4">
      <c r="A43" s="3" t="s">
        <v>138</v>
      </c>
      <c r="B43" s="3" t="s">
        <v>27</v>
      </c>
      <c r="C43" s="3" t="s">
        <v>139</v>
      </c>
      <c r="D43" s="4">
        <v>33420</v>
      </c>
      <c r="E43" s="4">
        <v>40877</v>
      </c>
      <c r="F43" s="3" t="s">
        <v>140</v>
      </c>
      <c r="G43" s="5" t="b">
        <v>1</v>
      </c>
      <c r="H43" s="5" t="b">
        <v>1</v>
      </c>
      <c r="I43" s="5" t="b">
        <v>0</v>
      </c>
      <c r="J43" s="3" t="s">
        <v>141</v>
      </c>
      <c r="K43" s="3" t="s">
        <v>39</v>
      </c>
      <c r="L43" s="3" t="s">
        <v>49</v>
      </c>
      <c r="M43" s="3" t="s">
        <v>116</v>
      </c>
    </row>
    <row r="44" spans="1:13" ht="41.4">
      <c r="A44" s="3" t="s">
        <v>138</v>
      </c>
      <c r="B44" s="3" t="s">
        <v>88</v>
      </c>
      <c r="C44" s="3" t="s">
        <v>142</v>
      </c>
      <c r="D44" s="4">
        <v>40878</v>
      </c>
      <c r="E44" s="4">
        <v>42369</v>
      </c>
      <c r="F44" s="3" t="s">
        <v>143</v>
      </c>
      <c r="G44" s="5" t="b">
        <v>1</v>
      </c>
      <c r="H44" s="5" t="b">
        <v>0</v>
      </c>
      <c r="I44" s="5" t="b">
        <v>1</v>
      </c>
      <c r="J44" s="3" t="s">
        <v>127</v>
      </c>
      <c r="K44" s="3" t="s">
        <v>39</v>
      </c>
      <c r="L44" s="3" t="s">
        <v>21</v>
      </c>
      <c r="M44" s="3"/>
    </row>
    <row r="45" spans="1:13" ht="41.4">
      <c r="A45" s="3" t="s">
        <v>138</v>
      </c>
      <c r="B45" s="3" t="s">
        <v>144</v>
      </c>
      <c r="C45" s="3" t="s">
        <v>145</v>
      </c>
      <c r="D45" s="4">
        <v>42370</v>
      </c>
      <c r="E45" s="4">
        <v>42735</v>
      </c>
      <c r="F45" s="3" t="s">
        <v>146</v>
      </c>
      <c r="G45" s="5" t="b">
        <v>1</v>
      </c>
      <c r="H45" s="5" t="b">
        <v>0</v>
      </c>
      <c r="I45" s="5" t="b">
        <v>0</v>
      </c>
      <c r="J45" s="3" t="s">
        <v>127</v>
      </c>
      <c r="K45" s="3" t="s">
        <v>39</v>
      </c>
      <c r="L45" s="3" t="s">
        <v>21</v>
      </c>
      <c r="M45" s="3"/>
    </row>
    <row r="46" spans="1:13" ht="41.4">
      <c r="A46" s="3" t="s">
        <v>138</v>
      </c>
      <c r="B46" s="3" t="s">
        <v>27</v>
      </c>
      <c r="C46" s="3" t="s">
        <v>147</v>
      </c>
      <c r="D46" s="4">
        <v>42736</v>
      </c>
      <c r="E46" s="4">
        <v>44561</v>
      </c>
      <c r="F46" s="3" t="s">
        <v>148</v>
      </c>
      <c r="G46" s="5" t="b">
        <v>1</v>
      </c>
      <c r="H46" s="5" t="b">
        <v>1</v>
      </c>
      <c r="I46" s="5" t="b">
        <v>0</v>
      </c>
      <c r="J46" s="3" t="s">
        <v>33</v>
      </c>
      <c r="K46" s="3" t="s">
        <v>39</v>
      </c>
      <c r="L46" s="3" t="s">
        <v>21</v>
      </c>
      <c r="M46" s="3"/>
    </row>
    <row r="47" spans="1:13" ht="41.4">
      <c r="A47" s="3" t="s">
        <v>149</v>
      </c>
      <c r="B47" s="3" t="s">
        <v>150</v>
      </c>
      <c r="C47" s="3" t="s">
        <v>151</v>
      </c>
      <c r="D47" s="4">
        <v>32325</v>
      </c>
      <c r="E47" s="4">
        <v>36891</v>
      </c>
      <c r="F47" s="3" t="s">
        <v>152</v>
      </c>
      <c r="G47" s="5" t="b">
        <v>1</v>
      </c>
      <c r="H47" s="5" t="b">
        <v>1</v>
      </c>
      <c r="I47" s="5" t="b">
        <v>0</v>
      </c>
      <c r="J47" s="3" t="s">
        <v>127</v>
      </c>
      <c r="K47" s="3" t="s">
        <v>39</v>
      </c>
      <c r="L47" s="3" t="s">
        <v>49</v>
      </c>
      <c r="M47" s="3" t="s">
        <v>116</v>
      </c>
    </row>
    <row r="48" spans="1:13" ht="41.4">
      <c r="A48" s="3" t="s">
        <v>149</v>
      </c>
      <c r="B48" s="3" t="s">
        <v>88</v>
      </c>
      <c r="C48" s="3" t="s">
        <v>153</v>
      </c>
      <c r="D48" s="4">
        <v>36892</v>
      </c>
      <c r="E48" s="4">
        <v>43100</v>
      </c>
      <c r="F48" s="3" t="s">
        <v>154</v>
      </c>
      <c r="G48" s="5" t="b">
        <v>1</v>
      </c>
      <c r="H48" s="5" t="b">
        <v>0</v>
      </c>
      <c r="I48" s="5" t="b">
        <v>1</v>
      </c>
      <c r="J48" s="3" t="s">
        <v>155</v>
      </c>
      <c r="K48" s="3" t="s">
        <v>39</v>
      </c>
      <c r="L48" s="3" t="s">
        <v>49</v>
      </c>
      <c r="M48" s="3"/>
    </row>
    <row r="49" spans="1:13" ht="41.4">
      <c r="A49" s="3" t="s">
        <v>149</v>
      </c>
      <c r="B49" s="3" t="s">
        <v>27</v>
      </c>
      <c r="C49" s="3" t="s">
        <v>156</v>
      </c>
      <c r="D49" s="4">
        <v>43101</v>
      </c>
      <c r="E49" s="4">
        <v>45692</v>
      </c>
      <c r="F49" s="3" t="s">
        <v>82</v>
      </c>
      <c r="G49" s="5" t="b">
        <v>1</v>
      </c>
      <c r="H49" s="5" t="b">
        <v>1</v>
      </c>
      <c r="I49" s="5" t="b">
        <v>0</v>
      </c>
      <c r="J49" s="3" t="s">
        <v>33</v>
      </c>
      <c r="K49" s="3" t="s">
        <v>39</v>
      </c>
      <c r="L49" s="3" t="s">
        <v>21</v>
      </c>
      <c r="M49" s="3"/>
    </row>
    <row r="50" spans="1:13" ht="41.4">
      <c r="A50" s="3" t="s">
        <v>157</v>
      </c>
      <c r="B50" s="3" t="s">
        <v>158</v>
      </c>
      <c r="C50" s="3" t="s">
        <v>159</v>
      </c>
      <c r="D50" s="4">
        <v>34881</v>
      </c>
      <c r="E50" s="4">
        <v>43434</v>
      </c>
      <c r="F50" s="3" t="s">
        <v>160</v>
      </c>
      <c r="G50" s="5" t="b">
        <v>1</v>
      </c>
      <c r="H50" s="5" t="b">
        <v>0</v>
      </c>
      <c r="I50" s="5" t="b">
        <v>0</v>
      </c>
      <c r="J50" s="3" t="s">
        <v>161</v>
      </c>
      <c r="K50" s="3" t="s">
        <v>39</v>
      </c>
      <c r="L50" s="3" t="s">
        <v>49</v>
      </c>
      <c r="M50" s="3" t="s">
        <v>162</v>
      </c>
    </row>
    <row r="51" spans="1:13" ht="41.4">
      <c r="A51" s="3" t="s">
        <v>157</v>
      </c>
      <c r="B51" s="3" t="s">
        <v>88</v>
      </c>
      <c r="C51" s="3" t="s">
        <v>163</v>
      </c>
      <c r="D51" s="4">
        <v>43435</v>
      </c>
      <c r="E51" s="4">
        <v>43465</v>
      </c>
      <c r="F51" s="3" t="s">
        <v>164</v>
      </c>
      <c r="G51" s="5" t="b">
        <v>1</v>
      </c>
      <c r="H51" s="5" t="b">
        <v>0</v>
      </c>
      <c r="I51" s="5" t="b">
        <v>1</v>
      </c>
      <c r="J51" s="3" t="s">
        <v>165</v>
      </c>
      <c r="K51" s="3" t="s">
        <v>39</v>
      </c>
      <c r="L51" s="3" t="s">
        <v>21</v>
      </c>
      <c r="M51" s="3"/>
    </row>
    <row r="52" spans="1:13" ht="41.4">
      <c r="A52" s="3" t="s">
        <v>157</v>
      </c>
      <c r="B52" s="3" t="s">
        <v>27</v>
      </c>
      <c r="C52" s="3" t="s">
        <v>42</v>
      </c>
      <c r="D52" s="4">
        <v>43466</v>
      </c>
      <c r="E52" s="4">
        <v>44926</v>
      </c>
      <c r="F52" s="3" t="s">
        <v>82</v>
      </c>
      <c r="G52" s="5" t="b">
        <v>1</v>
      </c>
      <c r="H52" s="5" t="b">
        <v>1</v>
      </c>
      <c r="I52" s="5" t="b">
        <v>0</v>
      </c>
      <c r="J52" s="3" t="s">
        <v>33</v>
      </c>
      <c r="K52" s="3" t="s">
        <v>39</v>
      </c>
      <c r="L52" s="3" t="s">
        <v>21</v>
      </c>
      <c r="M52" s="3"/>
    </row>
    <row r="53" spans="1:13" ht="41.4">
      <c r="A53" s="3" t="s">
        <v>166</v>
      </c>
      <c r="B53" s="3" t="s">
        <v>167</v>
      </c>
      <c r="C53" s="3" t="s">
        <v>168</v>
      </c>
      <c r="D53" s="4">
        <v>27942</v>
      </c>
      <c r="E53" s="4">
        <v>30681</v>
      </c>
      <c r="F53" s="3" t="s">
        <v>169</v>
      </c>
      <c r="G53" s="5" t="b">
        <v>1</v>
      </c>
      <c r="H53" s="5" t="b">
        <v>1</v>
      </c>
      <c r="I53" s="5" t="b">
        <v>0</v>
      </c>
      <c r="J53" s="3" t="s">
        <v>170</v>
      </c>
      <c r="K53" s="3" t="s">
        <v>171</v>
      </c>
      <c r="L53" s="3" t="s">
        <v>49</v>
      </c>
      <c r="M53" s="3" t="s">
        <v>172</v>
      </c>
    </row>
    <row r="54" spans="1:13" ht="41.4">
      <c r="A54" s="3" t="s">
        <v>166</v>
      </c>
      <c r="B54" s="3" t="s">
        <v>173</v>
      </c>
      <c r="C54" s="3" t="s">
        <v>174</v>
      </c>
      <c r="D54" s="4">
        <v>30682</v>
      </c>
      <c r="E54" s="4">
        <v>37986</v>
      </c>
      <c r="F54" s="3" t="s">
        <v>175</v>
      </c>
      <c r="G54" s="5" t="b">
        <v>1</v>
      </c>
      <c r="H54" s="5" t="b">
        <v>1</v>
      </c>
      <c r="I54" s="5" t="b">
        <v>0</v>
      </c>
      <c r="J54" s="3" t="s">
        <v>170</v>
      </c>
      <c r="K54" s="3" t="s">
        <v>171</v>
      </c>
      <c r="L54" s="3" t="s">
        <v>49</v>
      </c>
      <c r="M54" s="3" t="s">
        <v>176</v>
      </c>
    </row>
    <row r="55" spans="1:13" ht="27.6">
      <c r="A55" s="3" t="s">
        <v>166</v>
      </c>
      <c r="B55" s="3" t="s">
        <v>177</v>
      </c>
      <c r="C55" s="3" t="s">
        <v>178</v>
      </c>
      <c r="D55" s="4">
        <v>37987</v>
      </c>
      <c r="E55" s="4">
        <v>40543</v>
      </c>
      <c r="F55" s="3" t="s">
        <v>179</v>
      </c>
      <c r="G55" s="5" t="b">
        <v>1</v>
      </c>
      <c r="H55" s="5" t="b">
        <v>1</v>
      </c>
      <c r="I55" s="5" t="b">
        <v>0</v>
      </c>
      <c r="J55" s="3" t="s">
        <v>170</v>
      </c>
      <c r="K55" s="3" t="s">
        <v>171</v>
      </c>
      <c r="L55" s="3" t="s">
        <v>49</v>
      </c>
      <c r="M55" s="3" t="s">
        <v>180</v>
      </c>
    </row>
    <row r="56" spans="1:13" ht="27.6">
      <c r="A56" s="3" t="s">
        <v>166</v>
      </c>
      <c r="B56" s="3" t="s">
        <v>181</v>
      </c>
      <c r="C56" s="3" t="s">
        <v>182</v>
      </c>
      <c r="D56" s="4">
        <v>40544</v>
      </c>
      <c r="E56" s="4">
        <v>43465</v>
      </c>
      <c r="F56" s="3" t="s">
        <v>183</v>
      </c>
      <c r="G56" s="5" t="b">
        <v>1</v>
      </c>
      <c r="H56" s="5" t="b">
        <v>1</v>
      </c>
      <c r="I56" s="5" t="b">
        <v>0</v>
      </c>
      <c r="J56" s="3" t="s">
        <v>170</v>
      </c>
      <c r="K56" s="3" t="s">
        <v>171</v>
      </c>
      <c r="L56" s="3" t="s">
        <v>49</v>
      </c>
      <c r="M56" s="3" t="s">
        <v>184</v>
      </c>
    </row>
    <row r="57" spans="1:13" ht="27.6">
      <c r="A57" s="3" t="s">
        <v>166</v>
      </c>
      <c r="B57" s="3" t="s">
        <v>27</v>
      </c>
      <c r="C57" s="3" t="s">
        <v>42</v>
      </c>
      <c r="D57" s="4">
        <v>43466</v>
      </c>
      <c r="E57" s="4">
        <v>46203</v>
      </c>
      <c r="F57" s="3" t="s">
        <v>82</v>
      </c>
      <c r="G57" s="5" t="b">
        <v>1</v>
      </c>
      <c r="H57" s="5" t="b">
        <v>1</v>
      </c>
      <c r="I57" s="5" t="b">
        <v>0</v>
      </c>
      <c r="J57" s="3" t="s">
        <v>33</v>
      </c>
      <c r="K57" s="3" t="s">
        <v>171</v>
      </c>
      <c r="L57" s="3" t="s">
        <v>21</v>
      </c>
      <c r="M57" s="3"/>
    </row>
    <row r="58" spans="1:13" ht="55.2">
      <c r="A58" s="3" t="s">
        <v>185</v>
      </c>
      <c r="B58" s="3" t="s">
        <v>186</v>
      </c>
      <c r="C58" s="3" t="s">
        <v>187</v>
      </c>
      <c r="D58" s="4">
        <v>36892</v>
      </c>
      <c r="E58" s="4">
        <v>39447</v>
      </c>
      <c r="F58" s="3" t="s">
        <v>188</v>
      </c>
      <c r="G58" s="5" t="b">
        <v>1</v>
      </c>
      <c r="H58" s="5" t="b">
        <v>0</v>
      </c>
      <c r="I58" s="5" t="b">
        <v>1</v>
      </c>
      <c r="J58" s="3" t="s">
        <v>189</v>
      </c>
      <c r="K58" s="3" t="s">
        <v>190</v>
      </c>
      <c r="L58" s="3" t="s">
        <v>21</v>
      </c>
      <c r="M58" s="3"/>
    </row>
    <row r="59" spans="1:13" ht="55.2">
      <c r="A59" s="3" t="s">
        <v>185</v>
      </c>
      <c r="B59" s="3" t="s">
        <v>191</v>
      </c>
      <c r="C59" s="3" t="s">
        <v>192</v>
      </c>
      <c r="D59" s="4">
        <v>39448</v>
      </c>
      <c r="E59" s="4">
        <v>44196</v>
      </c>
      <c r="F59" s="3" t="s">
        <v>193</v>
      </c>
      <c r="G59" s="5" t="b">
        <v>1</v>
      </c>
      <c r="H59" s="5" t="b">
        <v>0</v>
      </c>
      <c r="I59" s="5" t="b">
        <v>1</v>
      </c>
      <c r="J59" s="3" t="s">
        <v>189</v>
      </c>
      <c r="K59" s="3" t="s">
        <v>190</v>
      </c>
      <c r="L59" s="3" t="s">
        <v>21</v>
      </c>
      <c r="M59" s="3"/>
    </row>
    <row r="60" spans="1:13" ht="27.6">
      <c r="A60" s="3" t="s">
        <v>185</v>
      </c>
      <c r="B60" s="3" t="s">
        <v>27</v>
      </c>
      <c r="C60" s="3" t="s">
        <v>156</v>
      </c>
      <c r="D60" s="4">
        <v>44197</v>
      </c>
      <c r="E60" s="4">
        <v>46203</v>
      </c>
      <c r="F60" s="3" t="s">
        <v>82</v>
      </c>
      <c r="G60" s="5" t="b">
        <v>1</v>
      </c>
      <c r="H60" s="5" t="b">
        <v>1</v>
      </c>
      <c r="I60" s="5" t="b">
        <v>0</v>
      </c>
      <c r="J60" s="3" t="s">
        <v>33</v>
      </c>
      <c r="K60" s="3" t="s">
        <v>171</v>
      </c>
      <c r="L60" s="3" t="s">
        <v>21</v>
      </c>
      <c r="M60" s="3"/>
    </row>
    <row r="61" spans="1:13" ht="41.4">
      <c r="A61" s="3" t="s">
        <v>194</v>
      </c>
      <c r="B61" s="3" t="s">
        <v>195</v>
      </c>
      <c r="C61" s="3" t="s">
        <v>196</v>
      </c>
      <c r="D61" s="4">
        <v>37257</v>
      </c>
      <c r="E61" s="4">
        <v>43434</v>
      </c>
      <c r="F61" s="3" t="s">
        <v>197</v>
      </c>
      <c r="G61" s="5" t="b">
        <v>1</v>
      </c>
      <c r="H61" s="5" t="b">
        <v>0</v>
      </c>
      <c r="I61" s="5" t="b">
        <v>1</v>
      </c>
      <c r="J61" s="3" t="s">
        <v>198</v>
      </c>
      <c r="K61" s="3" t="s">
        <v>199</v>
      </c>
      <c r="L61" s="3" t="s">
        <v>49</v>
      </c>
      <c r="M61" s="3" t="s">
        <v>200</v>
      </c>
    </row>
    <row r="62" spans="1:13" ht="41.4">
      <c r="A62" s="3" t="s">
        <v>194</v>
      </c>
      <c r="B62" s="3" t="s">
        <v>88</v>
      </c>
      <c r="C62" s="3" t="s">
        <v>201</v>
      </c>
      <c r="D62" s="4">
        <v>43435</v>
      </c>
      <c r="E62" s="4">
        <v>44561</v>
      </c>
      <c r="F62" s="3" t="s">
        <v>202</v>
      </c>
      <c r="G62" s="5" t="b">
        <v>1</v>
      </c>
      <c r="H62" s="5" t="b">
        <v>0</v>
      </c>
      <c r="I62" s="5" t="b">
        <v>1</v>
      </c>
      <c r="J62" s="3" t="s">
        <v>198</v>
      </c>
      <c r="K62" s="3" t="s">
        <v>199</v>
      </c>
      <c r="L62" s="3" t="s">
        <v>21</v>
      </c>
      <c r="M62" s="3"/>
    </row>
    <row r="63" spans="1:13" ht="41.4">
      <c r="A63" s="3" t="s">
        <v>194</v>
      </c>
      <c r="B63" s="3" t="s">
        <v>27</v>
      </c>
      <c r="C63" s="3" t="s">
        <v>203</v>
      </c>
      <c r="D63" s="4">
        <v>44562</v>
      </c>
      <c r="E63" s="4">
        <v>46203</v>
      </c>
      <c r="F63" s="3" t="s">
        <v>32</v>
      </c>
      <c r="G63" s="5" t="b">
        <v>1</v>
      </c>
      <c r="H63" s="5" t="b">
        <v>1</v>
      </c>
      <c r="I63" s="5" t="b">
        <v>0</v>
      </c>
      <c r="J63" s="3" t="s">
        <v>170</v>
      </c>
      <c r="K63" s="3" t="s">
        <v>199</v>
      </c>
      <c r="L63" s="3" t="s">
        <v>21</v>
      </c>
      <c r="M63" s="3"/>
    </row>
    <row r="64" spans="1:13" ht="55.2">
      <c r="A64" s="3" t="s">
        <v>204</v>
      </c>
      <c r="B64" s="3" t="s">
        <v>205</v>
      </c>
      <c r="C64" s="3" t="s">
        <v>206</v>
      </c>
      <c r="D64" s="4">
        <v>39814</v>
      </c>
      <c r="E64" s="4">
        <v>43434</v>
      </c>
      <c r="F64" s="3" t="s">
        <v>207</v>
      </c>
      <c r="G64" s="5" t="b">
        <v>1</v>
      </c>
      <c r="H64" s="5" t="b">
        <v>0</v>
      </c>
      <c r="I64" s="5" t="b">
        <v>1</v>
      </c>
      <c r="J64" s="3" t="s">
        <v>208</v>
      </c>
      <c r="K64" s="3" t="s">
        <v>209</v>
      </c>
      <c r="L64" s="3" t="s">
        <v>21</v>
      </c>
      <c r="M64" s="3"/>
    </row>
    <row r="65" spans="1:13" ht="55.2">
      <c r="A65" s="3" t="s">
        <v>204</v>
      </c>
      <c r="B65" s="3" t="s">
        <v>191</v>
      </c>
      <c r="C65" s="3" t="s">
        <v>210</v>
      </c>
      <c r="D65" s="4">
        <v>43435</v>
      </c>
      <c r="E65" s="4">
        <v>44377</v>
      </c>
      <c r="F65" s="3" t="s">
        <v>211</v>
      </c>
      <c r="G65" s="5" t="b">
        <v>1</v>
      </c>
      <c r="H65" s="5" t="b">
        <v>0</v>
      </c>
      <c r="I65" s="5" t="b">
        <v>1</v>
      </c>
      <c r="J65" s="3" t="s">
        <v>208</v>
      </c>
      <c r="K65" s="3" t="s">
        <v>209</v>
      </c>
      <c r="L65" s="3" t="s">
        <v>21</v>
      </c>
      <c r="M65" s="3"/>
    </row>
    <row r="66" spans="1:13" ht="55.2">
      <c r="A66" s="3" t="s">
        <v>204</v>
      </c>
      <c r="B66" s="3" t="s">
        <v>27</v>
      </c>
      <c r="C66" s="3" t="s">
        <v>212</v>
      </c>
      <c r="D66" s="4">
        <v>44378</v>
      </c>
      <c r="E66" s="4">
        <v>44943</v>
      </c>
      <c r="F66" s="3" t="s">
        <v>213</v>
      </c>
      <c r="G66" s="5" t="b">
        <v>1</v>
      </c>
      <c r="H66" s="5" t="b">
        <v>1</v>
      </c>
      <c r="I66" s="5" t="b">
        <v>0</v>
      </c>
      <c r="J66" s="3" t="s">
        <v>208</v>
      </c>
      <c r="K66" s="3" t="s">
        <v>209</v>
      </c>
      <c r="L66" s="3" t="s">
        <v>21</v>
      </c>
      <c r="M66" s="3"/>
    </row>
    <row r="67" spans="1:13" ht="55.2">
      <c r="A67" s="3" t="s">
        <v>204</v>
      </c>
      <c r="B67" s="3" t="s">
        <v>27</v>
      </c>
      <c r="C67" s="3" t="s">
        <v>42</v>
      </c>
      <c r="D67" s="4">
        <v>44944</v>
      </c>
      <c r="E67" s="4">
        <v>46203</v>
      </c>
      <c r="F67" s="3" t="s">
        <v>82</v>
      </c>
      <c r="G67" s="5" t="b">
        <v>1</v>
      </c>
      <c r="H67" s="5" t="b">
        <v>1</v>
      </c>
      <c r="I67" s="5" t="b">
        <v>0</v>
      </c>
      <c r="J67" s="3" t="s">
        <v>214</v>
      </c>
      <c r="K67" s="3" t="s">
        <v>209</v>
      </c>
      <c r="L67" s="3" t="s">
        <v>21</v>
      </c>
      <c r="M67" s="3"/>
    </row>
    <row r="68" spans="1:13" ht="55.2">
      <c r="A68" s="3" t="s">
        <v>215</v>
      </c>
      <c r="B68" s="3" t="s">
        <v>27</v>
      </c>
      <c r="C68" s="3" t="s">
        <v>216</v>
      </c>
      <c r="D68" s="4">
        <v>35796</v>
      </c>
      <c r="E68" s="4">
        <v>45692</v>
      </c>
      <c r="F68" s="3" t="s">
        <v>217</v>
      </c>
      <c r="G68" s="5" t="b">
        <v>1</v>
      </c>
      <c r="H68" s="5" t="b">
        <v>1</v>
      </c>
      <c r="I68" s="5" t="b">
        <v>0</v>
      </c>
      <c r="J68" s="3" t="s">
        <v>218</v>
      </c>
      <c r="K68" s="3" t="s">
        <v>219</v>
      </c>
      <c r="L68" s="3" t="s">
        <v>21</v>
      </c>
      <c r="M68" s="3" t="s">
        <v>220</v>
      </c>
    </row>
    <row r="69" spans="1:13" ht="27.6">
      <c r="A69" s="3" t="s">
        <v>215</v>
      </c>
      <c r="B69" s="3" t="s">
        <v>27</v>
      </c>
      <c r="C69" s="3" t="s">
        <v>42</v>
      </c>
      <c r="D69" s="4">
        <v>45693</v>
      </c>
      <c r="E69" s="4">
        <v>46203</v>
      </c>
      <c r="F69" s="3" t="s">
        <v>82</v>
      </c>
      <c r="G69" s="5" t="b">
        <v>1</v>
      </c>
      <c r="H69" s="5" t="b">
        <v>1</v>
      </c>
      <c r="I69" s="5" t="b">
        <v>0</v>
      </c>
      <c r="J69" s="3" t="s">
        <v>198</v>
      </c>
      <c r="K69" s="3" t="s">
        <v>221</v>
      </c>
      <c r="L69" s="3" t="s">
        <v>21</v>
      </c>
      <c r="M69" s="3"/>
    </row>
  </sheetData>
  <mergeCells count="2">
    <mergeCell ref="A1:M1"/>
    <mergeCell ref="A2:M2"/>
  </mergeCells>
  <conditionalFormatting sqref="L4:L69">
    <cfRule type="containsText" dxfId="3" priority="1" operator="containsText" text="Baja"/>
    <cfRule type="containsText" dxfId="2" priority="2" operator="containsText" text="Alta"/>
  </conditionalFormatting>
  <dataValidations count="1">
    <dataValidation type="list" sqref="L4:L69" xr:uid="{00000000-0002-0000-0000-000000000000}">
      <formula1>"Alta,Media,Baja"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24"/>
  <sheetViews>
    <sheetView showGridLines="0" workbookViewId="0"/>
  </sheetViews>
  <sheetFormatPr defaultRowHeight="13.8"/>
  <cols>
    <col min="1" max="2" width="13" customWidth="1"/>
    <col min="3" max="7" width="28" customWidth="1"/>
  </cols>
  <sheetData>
    <row r="1" spans="1:7" ht="28.05" customHeight="1">
      <c r="A1" s="57" t="s">
        <v>222</v>
      </c>
      <c r="B1" s="57"/>
      <c r="C1" s="57"/>
      <c r="D1" s="57"/>
      <c r="E1" s="57"/>
      <c r="F1" s="57"/>
      <c r="G1" s="57"/>
    </row>
    <row r="2" spans="1:7">
      <c r="A2" s="58" t="s">
        <v>223</v>
      </c>
      <c r="B2" s="59"/>
      <c r="C2" s="59"/>
      <c r="D2" s="59"/>
      <c r="E2" s="59"/>
      <c r="F2" s="59"/>
      <c r="G2" s="59"/>
    </row>
    <row r="3" spans="1:7">
      <c r="A3" s="2" t="s">
        <v>5</v>
      </c>
      <c r="B3" s="2" t="s">
        <v>6</v>
      </c>
      <c r="C3" s="2" t="s">
        <v>94</v>
      </c>
      <c r="D3" s="2" t="s">
        <v>224</v>
      </c>
      <c r="E3" s="2" t="s">
        <v>225</v>
      </c>
      <c r="F3" s="2" t="s">
        <v>226</v>
      </c>
      <c r="G3" s="2" t="s">
        <v>227</v>
      </c>
    </row>
    <row r="4" spans="1:7">
      <c r="A4" s="6">
        <v>34700</v>
      </c>
      <c r="B4" s="6">
        <v>35430</v>
      </c>
      <c r="C4" s="1" t="s">
        <v>15</v>
      </c>
      <c r="D4" s="1" t="s">
        <v>34</v>
      </c>
      <c r="E4" s="1" t="s">
        <v>44</v>
      </c>
      <c r="F4" s="1" t="s">
        <v>53</v>
      </c>
      <c r="G4" s="1" t="s">
        <v>60</v>
      </c>
    </row>
    <row r="5" spans="1:7">
      <c r="A5" s="6">
        <v>35431</v>
      </c>
      <c r="B5" s="6">
        <v>35795</v>
      </c>
      <c r="C5" s="1" t="s">
        <v>15</v>
      </c>
      <c r="D5" s="1" t="s">
        <v>67</v>
      </c>
      <c r="E5" s="1" t="s">
        <v>44</v>
      </c>
      <c r="F5" s="1" t="s">
        <v>53</v>
      </c>
      <c r="G5" s="1" t="s">
        <v>60</v>
      </c>
    </row>
    <row r="6" spans="1:7">
      <c r="A6" s="6">
        <v>35796</v>
      </c>
      <c r="B6" s="6">
        <v>35822</v>
      </c>
      <c r="C6" s="1" t="s">
        <v>84</v>
      </c>
      <c r="D6" s="1" t="s">
        <v>67</v>
      </c>
      <c r="E6" s="1" t="s">
        <v>53</v>
      </c>
      <c r="F6" s="1" t="s">
        <v>60</v>
      </c>
      <c r="G6" s="1"/>
    </row>
    <row r="7" spans="1:7">
      <c r="A7" s="6">
        <v>35823</v>
      </c>
      <c r="B7" s="6">
        <v>39069</v>
      </c>
      <c r="C7" s="1" t="s">
        <v>84</v>
      </c>
      <c r="D7" s="1" t="s">
        <v>67</v>
      </c>
      <c r="E7" s="1" t="s">
        <v>73</v>
      </c>
      <c r="F7" s="1" t="s">
        <v>53</v>
      </c>
      <c r="G7" s="1" t="s">
        <v>60</v>
      </c>
    </row>
    <row r="8" spans="1:7">
      <c r="A8" s="6">
        <v>39070</v>
      </c>
      <c r="B8" s="6">
        <v>39266</v>
      </c>
      <c r="C8" s="1" t="s">
        <v>84</v>
      </c>
      <c r="D8" s="1" t="s">
        <v>67</v>
      </c>
      <c r="E8" s="1" t="s">
        <v>73</v>
      </c>
      <c r="F8" s="1" t="s">
        <v>53</v>
      </c>
      <c r="G8" s="1"/>
    </row>
    <row r="9" spans="1:7">
      <c r="A9" s="6">
        <v>39267</v>
      </c>
      <c r="B9" s="6">
        <v>39813</v>
      </c>
      <c r="C9" s="1" t="s">
        <v>84</v>
      </c>
      <c r="D9" s="1" t="s">
        <v>67</v>
      </c>
      <c r="E9" s="1" t="s">
        <v>73</v>
      </c>
      <c r="F9" s="1" t="s">
        <v>53</v>
      </c>
      <c r="G9" s="1" t="s">
        <v>95</v>
      </c>
    </row>
    <row r="10" spans="1:7">
      <c r="A10" s="6">
        <v>39814</v>
      </c>
      <c r="B10" s="6">
        <v>39959</v>
      </c>
      <c r="C10" s="1" t="s">
        <v>84</v>
      </c>
      <c r="D10" s="1" t="s">
        <v>67</v>
      </c>
      <c r="E10" s="1" t="s">
        <v>53</v>
      </c>
      <c r="F10" s="1" t="s">
        <v>95</v>
      </c>
      <c r="G10" s="1"/>
    </row>
    <row r="11" spans="1:7">
      <c r="A11" s="6">
        <v>39960</v>
      </c>
      <c r="B11" s="6">
        <v>40178</v>
      </c>
      <c r="C11" s="1" t="s">
        <v>84</v>
      </c>
      <c r="D11" s="1" t="s">
        <v>67</v>
      </c>
      <c r="E11" s="1" t="s">
        <v>53</v>
      </c>
      <c r="F11" s="1" t="s">
        <v>95</v>
      </c>
      <c r="G11" s="1" t="s">
        <v>111</v>
      </c>
    </row>
    <row r="12" spans="1:7">
      <c r="A12" s="6">
        <v>40179</v>
      </c>
      <c r="B12" s="6">
        <v>40543</v>
      </c>
      <c r="C12" s="1" t="s">
        <v>119</v>
      </c>
      <c r="D12" s="1" t="s">
        <v>67</v>
      </c>
      <c r="E12" s="1" t="s">
        <v>53</v>
      </c>
      <c r="F12" s="1" t="s">
        <v>95</v>
      </c>
      <c r="G12" s="1" t="s">
        <v>111</v>
      </c>
    </row>
    <row r="13" spans="1:7">
      <c r="A13" s="6">
        <v>40544</v>
      </c>
      <c r="B13" s="6">
        <v>41274</v>
      </c>
      <c r="C13" s="1" t="s">
        <v>119</v>
      </c>
      <c r="D13" s="1" t="s">
        <v>67</v>
      </c>
      <c r="E13" s="1" t="s">
        <v>132</v>
      </c>
      <c r="F13" s="1" t="s">
        <v>95</v>
      </c>
      <c r="G13" s="1" t="s">
        <v>111</v>
      </c>
    </row>
    <row r="14" spans="1:7">
      <c r="A14" s="6">
        <v>41275</v>
      </c>
      <c r="B14" s="6">
        <v>42735</v>
      </c>
      <c r="C14" s="1" t="s">
        <v>119</v>
      </c>
      <c r="D14" s="1" t="s">
        <v>135</v>
      </c>
      <c r="E14" s="1" t="s">
        <v>132</v>
      </c>
      <c r="F14" s="1" t="s">
        <v>95</v>
      </c>
      <c r="G14" s="1" t="s">
        <v>111</v>
      </c>
    </row>
    <row r="15" spans="1:7">
      <c r="A15" s="6">
        <v>42736</v>
      </c>
      <c r="B15" s="6">
        <v>43069</v>
      </c>
      <c r="C15" s="1" t="s">
        <v>119</v>
      </c>
      <c r="D15" s="1" t="s">
        <v>135</v>
      </c>
      <c r="E15" s="1" t="s">
        <v>132</v>
      </c>
      <c r="F15" s="1" t="s">
        <v>95</v>
      </c>
      <c r="G15" s="1" t="s">
        <v>138</v>
      </c>
    </row>
    <row r="16" spans="1:7">
      <c r="A16" s="6">
        <v>43070</v>
      </c>
      <c r="B16" s="6">
        <v>43100</v>
      </c>
      <c r="C16" s="1" t="s">
        <v>138</v>
      </c>
      <c r="D16" s="1" t="s">
        <v>135</v>
      </c>
      <c r="E16" s="1" t="s">
        <v>132</v>
      </c>
      <c r="F16" s="1" t="s">
        <v>95</v>
      </c>
      <c r="G16" s="1"/>
    </row>
    <row r="17" spans="1:7">
      <c r="A17" s="6">
        <v>43101</v>
      </c>
      <c r="B17" s="6">
        <v>43434</v>
      </c>
      <c r="C17" s="1" t="s">
        <v>138</v>
      </c>
      <c r="D17" s="1" t="s">
        <v>135</v>
      </c>
      <c r="E17" s="1" t="s">
        <v>132</v>
      </c>
      <c r="F17" s="1" t="s">
        <v>95</v>
      </c>
      <c r="G17" s="1" t="s">
        <v>149</v>
      </c>
    </row>
    <row r="18" spans="1:7">
      <c r="A18" s="6">
        <v>43435</v>
      </c>
      <c r="B18" s="6">
        <v>43465</v>
      </c>
      <c r="C18" s="1" t="s">
        <v>138</v>
      </c>
      <c r="D18" s="1" t="s">
        <v>135</v>
      </c>
      <c r="E18" s="1" t="s">
        <v>132</v>
      </c>
      <c r="F18" s="1" t="s">
        <v>149</v>
      </c>
      <c r="G18" s="1"/>
    </row>
    <row r="19" spans="1:7">
      <c r="A19" s="6">
        <v>43466</v>
      </c>
      <c r="B19" s="6">
        <v>44196</v>
      </c>
      <c r="C19" s="1" t="s">
        <v>138</v>
      </c>
      <c r="D19" s="1" t="s">
        <v>135</v>
      </c>
      <c r="E19" s="1" t="s">
        <v>149</v>
      </c>
      <c r="F19" s="1" t="s">
        <v>157</v>
      </c>
      <c r="G19" s="1" t="s">
        <v>166</v>
      </c>
    </row>
    <row r="20" spans="1:7">
      <c r="A20" s="6">
        <v>44197</v>
      </c>
      <c r="B20" s="6">
        <v>44561</v>
      </c>
      <c r="C20" s="1" t="s">
        <v>138</v>
      </c>
      <c r="D20" s="1" t="s">
        <v>149</v>
      </c>
      <c r="E20" s="1" t="s">
        <v>157</v>
      </c>
      <c r="F20" s="1" t="s">
        <v>166</v>
      </c>
      <c r="G20" s="1" t="s">
        <v>185</v>
      </c>
    </row>
    <row r="21" spans="1:7">
      <c r="A21" s="6">
        <v>44562</v>
      </c>
      <c r="B21" s="6">
        <v>44926</v>
      </c>
      <c r="C21" s="1" t="s">
        <v>194</v>
      </c>
      <c r="D21" s="1" t="s">
        <v>149</v>
      </c>
      <c r="E21" s="1" t="s">
        <v>157</v>
      </c>
      <c r="F21" s="1" t="s">
        <v>166</v>
      </c>
      <c r="G21" s="1" t="s">
        <v>185</v>
      </c>
    </row>
    <row r="22" spans="1:7">
      <c r="A22" s="6">
        <v>44927</v>
      </c>
      <c r="B22" s="6">
        <v>44943</v>
      </c>
      <c r="C22" s="1" t="s">
        <v>194</v>
      </c>
      <c r="D22" s="1" t="s">
        <v>149</v>
      </c>
      <c r="E22" s="1" t="s">
        <v>166</v>
      </c>
      <c r="F22" s="1" t="s">
        <v>185</v>
      </c>
      <c r="G22" s="1"/>
    </row>
    <row r="23" spans="1:7">
      <c r="A23" s="6">
        <v>44944</v>
      </c>
      <c r="B23" s="6">
        <v>45692</v>
      </c>
      <c r="C23" s="1" t="s">
        <v>194</v>
      </c>
      <c r="D23" s="1" t="s">
        <v>149</v>
      </c>
      <c r="E23" s="1" t="s">
        <v>166</v>
      </c>
      <c r="F23" s="1" t="s">
        <v>185</v>
      </c>
      <c r="G23" s="1" t="s">
        <v>204</v>
      </c>
    </row>
    <row r="24" spans="1:7">
      <c r="A24" s="6">
        <v>45693</v>
      </c>
      <c r="B24" s="6">
        <v>46203</v>
      </c>
      <c r="C24" s="1" t="s">
        <v>194</v>
      </c>
      <c r="D24" s="1" t="s">
        <v>166</v>
      </c>
      <c r="E24" s="1" t="s">
        <v>185</v>
      </c>
      <c r="F24" s="1" t="s">
        <v>204</v>
      </c>
      <c r="G24" s="1" t="s">
        <v>215</v>
      </c>
    </row>
  </sheetData>
  <mergeCells count="2">
    <mergeCell ref="A1:G1"/>
    <mergeCell ref="A2:G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O380"/>
  <sheetViews>
    <sheetView showGridLines="0" workbookViewId="0"/>
  </sheetViews>
  <sheetFormatPr defaultRowHeight="13.8"/>
  <cols>
    <col min="1" max="1" width="13" customWidth="1"/>
    <col min="2" max="4" width="16" customWidth="1"/>
    <col min="5" max="67" width="14" customWidth="1"/>
  </cols>
  <sheetData>
    <row r="1" spans="1:67" ht="28.05" customHeight="1">
      <c r="A1" s="60" t="s">
        <v>228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</row>
    <row r="2" spans="1:67">
      <c r="A2" s="7" t="s">
        <v>229</v>
      </c>
      <c r="B2" s="7" t="s">
        <v>230</v>
      </c>
      <c r="C2" s="7" t="s">
        <v>231</v>
      </c>
      <c r="D2" s="7" t="s">
        <v>232</v>
      </c>
      <c r="E2" s="7" t="s">
        <v>233</v>
      </c>
      <c r="F2" s="7" t="s">
        <v>234</v>
      </c>
      <c r="G2" s="7" t="s">
        <v>235</v>
      </c>
      <c r="H2" s="7" t="s">
        <v>236</v>
      </c>
      <c r="I2" s="7" t="s">
        <v>237</v>
      </c>
      <c r="J2" s="7" t="s">
        <v>238</v>
      </c>
      <c r="K2" s="7" t="s">
        <v>239</v>
      </c>
      <c r="L2" s="7" t="s">
        <v>240</v>
      </c>
      <c r="M2" s="7" t="s">
        <v>241</v>
      </c>
      <c r="N2" s="7" t="s">
        <v>242</v>
      </c>
      <c r="O2" s="7" t="s">
        <v>243</v>
      </c>
      <c r="P2" s="7" t="s">
        <v>244</v>
      </c>
      <c r="Q2" s="7" t="s">
        <v>245</v>
      </c>
      <c r="R2" s="7" t="s">
        <v>246</v>
      </c>
      <c r="S2" s="7" t="s">
        <v>247</v>
      </c>
      <c r="T2" s="7" t="s">
        <v>248</v>
      </c>
      <c r="U2" s="7" t="s">
        <v>249</v>
      </c>
      <c r="V2" s="7" t="s">
        <v>250</v>
      </c>
      <c r="W2" s="7" t="s">
        <v>251</v>
      </c>
      <c r="X2" s="7" t="s">
        <v>252</v>
      </c>
      <c r="Y2" s="7" t="s">
        <v>253</v>
      </c>
      <c r="Z2" s="7" t="s">
        <v>254</v>
      </c>
      <c r="AA2" s="7" t="s">
        <v>255</v>
      </c>
      <c r="AB2" s="7" t="s">
        <v>256</v>
      </c>
      <c r="AC2" s="7" t="s">
        <v>257</v>
      </c>
      <c r="AD2" s="7" t="s">
        <v>258</v>
      </c>
      <c r="AE2" s="7" t="s">
        <v>259</v>
      </c>
      <c r="AF2" s="7" t="s">
        <v>260</v>
      </c>
      <c r="AG2" s="7" t="s">
        <v>261</v>
      </c>
      <c r="AH2" s="7" t="s">
        <v>262</v>
      </c>
      <c r="AI2" s="7" t="s">
        <v>263</v>
      </c>
      <c r="AJ2" s="7" t="s">
        <v>264</v>
      </c>
      <c r="AK2" s="7" t="s">
        <v>265</v>
      </c>
      <c r="AL2" s="7" t="s">
        <v>266</v>
      </c>
      <c r="AM2" s="7" t="s">
        <v>267</v>
      </c>
      <c r="AN2" s="7" t="s">
        <v>268</v>
      </c>
      <c r="AO2" s="7" t="s">
        <v>269</v>
      </c>
      <c r="AP2" s="7" t="s">
        <v>270</v>
      </c>
      <c r="AQ2" s="7" t="s">
        <v>271</v>
      </c>
      <c r="AR2" s="7" t="s">
        <v>272</v>
      </c>
      <c r="AS2" s="7" t="s">
        <v>273</v>
      </c>
      <c r="AT2" s="7" t="s">
        <v>274</v>
      </c>
      <c r="AU2" s="7" t="s">
        <v>275</v>
      </c>
      <c r="AV2" s="7" t="s">
        <v>276</v>
      </c>
      <c r="AW2" s="7" t="s">
        <v>277</v>
      </c>
      <c r="AX2" s="7" t="s">
        <v>278</v>
      </c>
      <c r="AY2" s="7" t="s">
        <v>279</v>
      </c>
      <c r="AZ2" s="7" t="s">
        <v>280</v>
      </c>
      <c r="BA2" s="7" t="s">
        <v>281</v>
      </c>
      <c r="BB2" s="7" t="s">
        <v>282</v>
      </c>
      <c r="BC2" s="7" t="s">
        <v>283</v>
      </c>
      <c r="BD2" s="7" t="s">
        <v>284</v>
      </c>
      <c r="BE2" s="7" t="s">
        <v>285</v>
      </c>
      <c r="BF2" s="7" t="s">
        <v>286</v>
      </c>
      <c r="BG2" s="7" t="s">
        <v>287</v>
      </c>
      <c r="BH2" s="7" t="s">
        <v>288</v>
      </c>
      <c r="BI2" s="7" t="s">
        <v>289</v>
      </c>
      <c r="BJ2" s="7" t="s">
        <v>290</v>
      </c>
      <c r="BK2" s="7" t="s">
        <v>291</v>
      </c>
      <c r="BL2" s="7" t="s">
        <v>292</v>
      </c>
      <c r="BM2" s="7" t="s">
        <v>293</v>
      </c>
      <c r="BN2" s="7" t="s">
        <v>294</v>
      </c>
      <c r="BO2" s="7" t="s">
        <v>295</v>
      </c>
    </row>
    <row r="3" spans="1:67">
      <c r="A3" s="8">
        <v>34730</v>
      </c>
      <c r="B3" s="9">
        <f t="shared" ref="B3:B66" si="0">IFERROR(AVERAGE(E3,H3,K3,N3,Q3,T3,W3,Z3,AC3,AF3,AI3,AL3,AO3,AR3,AU3,AX3,BA3,BD3,BG3,BJ3,BM3),"")</f>
        <v>30.941634667378519</v>
      </c>
      <c r="C3" s="9">
        <f t="shared" ref="C3:C66" si="1">IFERROR(AVERAGE(F3,I3,L3,O3,R3,U3,X3,AA3,AD3,AG3,AJ3,AM3,AP3,AS3,AV3,AY3,BB3,BE3,BH3,BK3,BN3),"")</f>
        <v>5.5010027584413095</v>
      </c>
      <c r="D3" s="9">
        <f t="shared" ref="D3:D66" si="2">IFERROR(AVERAGE(G3,J3,M3,P3,S3,V3,Y3,AB3,AE3,AH3,AK3,AN3,AQ3,AT3,AW3,AZ3,BC3,BF3,BI3,BL3,BO3),"")</f>
        <v>25.540291723991594</v>
      </c>
      <c r="E3" s="9">
        <f>SUM(IF(Career_History!G4=TRUE,IF(A3&lt;Career_History!D4,0,MIN(A3,Career_History!E4)-Career_History!D4+1),0),IF(Career_History!G5=TRUE,IF(A3&lt;Career_History!D5,0,MIN(A3,Career_History!E5)-Career_History!D5+1),0),IF(Career_History!G6=TRUE,IF(A3&lt;Career_History!D6,0,MIN(A3,Career_History!E6)-Career_History!D6+1),0),IF(Career_History!G7=TRUE,IF(A3&lt;Career_History!D7,0,MIN(A3,Career_History!E7)-Career_History!D7+1),0))/365.2425</f>
        <v>40.091172303332719</v>
      </c>
      <c r="F3" s="9">
        <f>SUM(IF(Career_History!I4=TRUE,IF(A3&lt;Career_History!D4,0,MIN(A3,Career_History!E4)-Career_History!D4+1),0),IF(Career_History!I5=TRUE,IF(A3&lt;Career_History!D5,0,MIN(A3,Career_History!E5)-Career_History!D5+1),0),IF(Career_History!I6=TRUE,IF(A3&lt;Career_History!D6,0,MIN(A3,Career_History!E6)-Career_History!D6+1),0),IF(Career_History!I7=TRUE,IF(A3&lt;Career_History!D7,0,MIN(A3,Career_History!E7)-Career_History!D7+1),0))/365.2425</f>
        <v>0.99933605755080523</v>
      </c>
      <c r="G3" s="9">
        <f>SUM(IF(Career_History!H4=TRUE,IF(A3&lt;Career_History!D4,0,MIN(A3,Career_History!E4)-Career_History!D4+1),0),IF(Career_History!H5=TRUE,IF(A3&lt;Career_History!D5,0,MIN(A3,Career_History!E5)-Career_History!D5+1),0),IF(Career_History!H6=TRUE,IF(A3&lt;Career_History!D6,0,MIN(A3,Career_History!E6)-Career_History!D6+1),0),IF(Career_History!H7=TRUE,IF(A3&lt;Career_History!D7,0,MIN(A3,Career_History!E7)-Career_History!D7+1),0))/365.2425</f>
        <v>36.589389241394414</v>
      </c>
      <c r="H3" s="9">
        <f>SUM(IF(Career_History!G8=TRUE,IF(A3&lt;Career_History!D8,0,MIN(A3,Career_History!E8)-Career_History!D8+1),0),IF(Career_History!G9=TRUE,IF(A3&lt;Career_History!D9,0,MIN(A3,Career_History!E9)-Career_History!D9+1),0))/365.2425</f>
        <v>34.341567588656851</v>
      </c>
      <c r="I3" s="9">
        <f>SUM(IF(Career_History!I8=TRUE,IF(A3&lt;Career_History!D8,0,MIN(A3,Career_History!E8)-Career_History!D8+1),0),IF(Career_History!I9=TRUE,IF(A3&lt;Career_History!D9,0,MIN(A3,Career_History!E9)-Career_History!D9+1),0))/365.2425</f>
        <v>0</v>
      </c>
      <c r="J3" s="9">
        <f>SUM(IF(Career_History!H8=TRUE,IF(A3&lt;Career_History!D8,0,MIN(A3,Career_History!E8)-Career_History!D8+1),0),IF(Career_History!H9=TRUE,IF(A3&lt;Career_History!D9,0,MIN(A3,Career_History!E9)-Career_History!D9+1),0))/365.2425</f>
        <v>34.341567588656851</v>
      </c>
      <c r="K3" s="9">
        <f>SUM(IF(Career_History!G10=TRUE,IF(A3&lt;Career_History!D10,0,MIN(A3,Career_History!E10)-Career_History!D10+1),0),IF(Career_History!G11=TRUE,IF(A3&lt;Career_History!D11,0,MIN(A3,Career_History!E11)-Career_History!D11+1),0))/365.2425</f>
        <v>27.343477278794225</v>
      </c>
      <c r="L3" s="9">
        <f>SUM(IF(Career_History!I10=TRUE,IF(A3&lt;Career_History!D10,0,MIN(A3,Career_History!E10)-Career_History!D10+1),0),IF(Career_History!I11=TRUE,IF(A3&lt;Career_History!D11,0,MIN(A3,Career_History!E11)-Career_History!D11+1),0))/365.2425</f>
        <v>26.505677734655741</v>
      </c>
      <c r="M3" s="9">
        <f>SUM(IF(Career_History!H10=TRUE,IF(A3&lt;Career_History!D10,0,MIN(A3,Career_History!E10)-Career_History!D10+1),0),IF(Career_History!H11=TRUE,IF(A3&lt;Career_History!D11,0,MIN(A3,Career_History!E11)-Career_History!D11+1),0))/365.2425</f>
        <v>27.343477278794225</v>
      </c>
      <c r="N3" s="9">
        <f>SUM(IF(Career_History!G12=TRUE,IF(A3&lt;Career_History!D12,0,MIN(A3,Career_History!E12)-Career_History!D12+1),0),IF(Career_History!G13=TRUE,IF(A3&lt;Career_History!D13,0,MIN(A3,Career_History!E13)-Career_History!D13+1),0))/365.2425</f>
        <v>23.589806772212981</v>
      </c>
      <c r="O3" s="9">
        <f>SUM(IF(Career_History!I12=TRUE,IF(A3&lt;Career_History!D12,0,MIN(A3,Career_History!E12)-Career_History!D12+1),0),IF(Career_History!I13=TRUE,IF(A3&lt;Career_History!D13,0,MIN(A3,Career_History!E13)-Career_History!D13+1),0))/365.2425</f>
        <v>0</v>
      </c>
      <c r="P3" s="9">
        <f>SUM(IF(Career_History!H12=TRUE,IF(A3&lt;Career_History!D12,0,MIN(A3,Career_History!E12)-Career_History!D12+1),0),IF(Career_History!H13=TRUE,IF(A3&lt;Career_History!D13,0,MIN(A3,Career_History!E13)-Career_History!D13+1),0))/365.2425</f>
        <v>8.4875117216643731E-2</v>
      </c>
      <c r="Q3" s="9">
        <f>SUM(IF(Career_History!G14=TRUE,IF(A3&lt;Career_History!D14,0,MIN(A3,Career_History!E14)-Career_History!D14+1),0),IF(Career_History!G15=TRUE,IF(A3&lt;Career_History!D15,0,MIN(A3,Career_History!E15)-Career_History!D15+1),0))/365.2425</f>
        <v>29.342149393895834</v>
      </c>
      <c r="R3" s="9">
        <f>SUM(IF(Career_History!I14=TRUE,IF(A3&lt;Career_History!D14,0,MIN(A3,Career_History!E14)-Career_History!D14+1),0),IF(Career_History!I15=TRUE,IF(A3&lt;Career_History!D15,0,MIN(A3,Career_History!E15)-Career_History!D15+1),0))/365.2425</f>
        <v>0</v>
      </c>
      <c r="S3" s="9">
        <f>SUM(IF(Career_History!H14=TRUE,IF(A3&lt;Career_History!D14,0,MIN(A3,Career_History!E14)-Career_History!D14+1),0),IF(Career_History!H15=TRUE,IF(A3&lt;Career_History!D15,0,MIN(A3,Career_History!E15)-Career_History!D15+1),0))/365.2425</f>
        <v>29.342149393895834</v>
      </c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</row>
    <row r="4" spans="1:67">
      <c r="A4" s="8">
        <v>34758</v>
      </c>
      <c r="B4" s="9">
        <f t="shared" si="0"/>
        <v>31.018296063574201</v>
      </c>
      <c r="C4" s="9">
        <f t="shared" si="1"/>
        <v>5.5010027584413095</v>
      </c>
      <c r="D4" s="9">
        <f t="shared" si="2"/>
        <v>25.616953120187269</v>
      </c>
      <c r="E4" s="9">
        <f>SUM(IF(Career_History!G4=TRUE,IF(A4&lt;Career_History!D4,0,MIN(A4,Career_History!E4)-Career_History!D4+1),0),IF(Career_History!G5=TRUE,IF(A4&lt;Career_History!D5,0,MIN(A4,Career_History!E5)-Career_History!D5+1),0),IF(Career_History!G6=TRUE,IF(A4&lt;Career_History!D6,0,MIN(A4,Career_History!E6)-Career_History!D6+1),0),IF(Career_History!G7=TRUE,IF(A4&lt;Career_History!D7,0,MIN(A4,Career_History!E7)-Career_History!D7+1),0))/365.2425</f>
        <v>40.167833699528394</v>
      </c>
      <c r="F4" s="9">
        <f>SUM(IF(Career_History!I4=TRUE,IF(A4&lt;Career_History!D4,0,MIN(A4,Career_History!E4)-Career_History!D4+1),0),IF(Career_History!I5=TRUE,IF(A4&lt;Career_History!D5,0,MIN(A4,Career_History!E5)-Career_History!D5+1),0),IF(Career_History!I6=TRUE,IF(A4&lt;Career_History!D6,0,MIN(A4,Career_History!E6)-Career_History!D6+1),0),IF(Career_History!I7=TRUE,IF(A4&lt;Career_History!D7,0,MIN(A4,Career_History!E7)-Career_History!D7+1),0))/365.2425</f>
        <v>0.99933605755080523</v>
      </c>
      <c r="G4" s="9">
        <f>SUM(IF(Career_History!H4=TRUE,IF(A4&lt;Career_History!D4,0,MIN(A4,Career_History!E4)-Career_History!D4+1),0),IF(Career_History!H5=TRUE,IF(A4&lt;Career_History!D5,0,MIN(A4,Career_History!E5)-Career_History!D5+1),0),IF(Career_History!H6=TRUE,IF(A4&lt;Career_History!D6,0,MIN(A4,Career_History!E6)-Career_History!D6+1),0),IF(Career_History!H7=TRUE,IF(A4&lt;Career_History!D7,0,MIN(A4,Career_History!E7)-Career_History!D7+1),0))/365.2425</f>
        <v>36.666050637590097</v>
      </c>
      <c r="H4" s="9">
        <f>SUM(IF(Career_History!G8=TRUE,IF(A4&lt;Career_History!D8,0,MIN(A4,Career_History!E8)-Career_History!D8+1),0),IF(Career_History!G9=TRUE,IF(A4&lt;Career_History!D9,0,MIN(A4,Career_History!E9)-Career_History!D9+1),0))/365.2425</f>
        <v>34.418228984852526</v>
      </c>
      <c r="I4" s="9">
        <f>SUM(IF(Career_History!I8=TRUE,IF(A4&lt;Career_History!D8,0,MIN(A4,Career_History!E8)-Career_History!D8+1),0),IF(Career_History!I9=TRUE,IF(A4&lt;Career_History!D9,0,MIN(A4,Career_History!E9)-Career_History!D9+1),0))/365.2425</f>
        <v>0</v>
      </c>
      <c r="J4" s="9">
        <f>SUM(IF(Career_History!H8=TRUE,IF(A4&lt;Career_History!D8,0,MIN(A4,Career_History!E8)-Career_History!D8+1),0),IF(Career_History!H9=TRUE,IF(A4&lt;Career_History!D9,0,MIN(A4,Career_History!E9)-Career_History!D9+1),0))/365.2425</f>
        <v>34.418228984852526</v>
      </c>
      <c r="K4" s="9">
        <f>SUM(IF(Career_History!G10=TRUE,IF(A4&lt;Career_History!D10,0,MIN(A4,Career_History!E10)-Career_History!D10+1),0),IF(Career_History!G11=TRUE,IF(A4&lt;Career_History!D11,0,MIN(A4,Career_History!E11)-Career_History!D11+1),0))/365.2425</f>
        <v>27.420138674989904</v>
      </c>
      <c r="L4" s="9">
        <f>SUM(IF(Career_History!I10=TRUE,IF(A4&lt;Career_History!D10,0,MIN(A4,Career_History!E10)-Career_History!D10+1),0),IF(Career_History!I11=TRUE,IF(A4&lt;Career_History!D11,0,MIN(A4,Career_History!E11)-Career_History!D11+1),0))/365.2425</f>
        <v>26.505677734655741</v>
      </c>
      <c r="M4" s="9">
        <f>SUM(IF(Career_History!H10=TRUE,IF(A4&lt;Career_History!D10,0,MIN(A4,Career_History!E10)-Career_History!D10+1),0),IF(Career_History!H11=TRUE,IF(A4&lt;Career_History!D11,0,MIN(A4,Career_History!E11)-Career_History!D11+1),0))/365.2425</f>
        <v>27.420138674989904</v>
      </c>
      <c r="N4" s="9">
        <f>SUM(IF(Career_History!G12=TRUE,IF(A4&lt;Career_History!D12,0,MIN(A4,Career_History!E12)-Career_History!D12+1),0),IF(Career_History!G13=TRUE,IF(A4&lt;Career_History!D13,0,MIN(A4,Career_History!E13)-Career_History!D13+1),0))/365.2425</f>
        <v>23.66646816840866</v>
      </c>
      <c r="O4" s="9">
        <f>SUM(IF(Career_History!I12=TRUE,IF(A4&lt;Career_History!D12,0,MIN(A4,Career_History!E12)-Career_History!D12+1),0),IF(Career_History!I13=TRUE,IF(A4&lt;Career_History!D13,0,MIN(A4,Career_History!E13)-Career_History!D13+1),0))/365.2425</f>
        <v>0</v>
      </c>
      <c r="P4" s="9">
        <f>SUM(IF(Career_History!H12=TRUE,IF(A4&lt;Career_History!D12,0,MIN(A4,Career_History!E12)-Career_History!D12+1),0),IF(Career_History!H13=TRUE,IF(A4&lt;Career_History!D13,0,MIN(A4,Career_History!E13)-Career_History!D13+1),0))/365.2425</f>
        <v>0.16153651341232195</v>
      </c>
      <c r="Q4" s="9">
        <f>SUM(IF(Career_History!G14=TRUE,IF(A4&lt;Career_History!D14,0,MIN(A4,Career_History!E14)-Career_History!D14+1),0),IF(Career_History!G15=TRUE,IF(A4&lt;Career_History!D15,0,MIN(A4,Career_History!E15)-Career_History!D15+1),0))/365.2425</f>
        <v>29.418810790091513</v>
      </c>
      <c r="R4" s="9">
        <f>SUM(IF(Career_History!I14=TRUE,IF(A4&lt;Career_History!D14,0,MIN(A4,Career_History!E14)-Career_History!D14+1),0),IF(Career_History!I15=TRUE,IF(A4&lt;Career_History!D15,0,MIN(A4,Career_History!E15)-Career_History!D15+1),0))/365.2425</f>
        <v>0</v>
      </c>
      <c r="S4" s="9">
        <f>SUM(IF(Career_History!H14=TRUE,IF(A4&lt;Career_History!D14,0,MIN(A4,Career_History!E14)-Career_History!D14+1),0),IF(Career_History!H15=TRUE,IF(A4&lt;Career_History!D15,0,MIN(A4,Career_History!E15)-Career_History!D15+1),0))/365.2425</f>
        <v>29.418810790091513</v>
      </c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</row>
    <row r="5" spans="1:67">
      <c r="A5" s="8">
        <v>34789</v>
      </c>
      <c r="B5" s="9">
        <f t="shared" si="0"/>
        <v>31.103171180790845</v>
      </c>
      <c r="C5" s="9">
        <f t="shared" si="1"/>
        <v>5.5010027584413095</v>
      </c>
      <c r="D5" s="9">
        <f t="shared" si="2"/>
        <v>25.70182823740392</v>
      </c>
      <c r="E5" s="9">
        <f>SUM(IF(Career_History!G4=TRUE,IF(A5&lt;Career_History!D4,0,MIN(A5,Career_History!E4)-Career_History!D4+1),0),IF(Career_History!G5=TRUE,IF(A5&lt;Career_History!D5,0,MIN(A5,Career_History!E5)-Career_History!D5+1),0),IF(Career_History!G6=TRUE,IF(A5&lt;Career_History!D6,0,MIN(A5,Career_History!E6)-Career_History!D6+1),0),IF(Career_History!G7=TRUE,IF(A5&lt;Career_History!D7,0,MIN(A5,Career_History!E7)-Career_History!D7+1),0))/365.2425</f>
        <v>40.252708816745042</v>
      </c>
      <c r="F5" s="9">
        <f>SUM(IF(Career_History!I4=TRUE,IF(A5&lt;Career_History!D4,0,MIN(A5,Career_History!E4)-Career_History!D4+1),0),IF(Career_History!I5=TRUE,IF(A5&lt;Career_History!D5,0,MIN(A5,Career_History!E5)-Career_History!D5+1),0),IF(Career_History!I6=TRUE,IF(A5&lt;Career_History!D6,0,MIN(A5,Career_History!E6)-Career_History!D6+1),0),IF(Career_History!I7=TRUE,IF(A5&lt;Career_History!D7,0,MIN(A5,Career_History!E7)-Career_History!D7+1),0))/365.2425</f>
        <v>0.99933605755080523</v>
      </c>
      <c r="G5" s="9">
        <f>SUM(IF(Career_History!H4=TRUE,IF(A5&lt;Career_History!D4,0,MIN(A5,Career_History!E4)-Career_History!D4+1),0),IF(Career_History!H5=TRUE,IF(A5&lt;Career_History!D5,0,MIN(A5,Career_History!E5)-Career_History!D5+1),0),IF(Career_History!H6=TRUE,IF(A5&lt;Career_History!D6,0,MIN(A5,Career_History!E6)-Career_History!D6+1),0),IF(Career_History!H7=TRUE,IF(A5&lt;Career_History!D7,0,MIN(A5,Career_History!E7)-Career_History!D7+1),0))/365.2425</f>
        <v>36.750925754806737</v>
      </c>
      <c r="H5" s="9">
        <f>SUM(IF(Career_History!G8=TRUE,IF(A5&lt;Career_History!D8,0,MIN(A5,Career_History!E8)-Career_History!D8+1),0),IF(Career_History!G9=TRUE,IF(A5&lt;Career_History!D9,0,MIN(A5,Career_History!E9)-Career_History!D9+1),0))/365.2425</f>
        <v>34.503104102069173</v>
      </c>
      <c r="I5" s="9">
        <f>SUM(IF(Career_History!I8=TRUE,IF(A5&lt;Career_History!D8,0,MIN(A5,Career_History!E8)-Career_History!D8+1),0),IF(Career_History!I9=TRUE,IF(A5&lt;Career_History!D9,0,MIN(A5,Career_History!E9)-Career_History!D9+1),0))/365.2425</f>
        <v>0</v>
      </c>
      <c r="J5" s="9">
        <f>SUM(IF(Career_History!H8=TRUE,IF(A5&lt;Career_History!D8,0,MIN(A5,Career_History!E8)-Career_History!D8+1),0),IF(Career_History!H9=TRUE,IF(A5&lt;Career_History!D9,0,MIN(A5,Career_History!E9)-Career_History!D9+1),0))/365.2425</f>
        <v>34.503104102069173</v>
      </c>
      <c r="K5" s="9">
        <f>SUM(IF(Career_History!G10=TRUE,IF(A5&lt;Career_History!D10,0,MIN(A5,Career_History!E10)-Career_History!D10+1),0),IF(Career_History!G11=TRUE,IF(A5&lt;Career_History!D11,0,MIN(A5,Career_History!E11)-Career_History!D11+1),0))/365.2425</f>
        <v>27.505013792206547</v>
      </c>
      <c r="L5" s="9">
        <f>SUM(IF(Career_History!I10=TRUE,IF(A5&lt;Career_History!D10,0,MIN(A5,Career_History!E10)-Career_History!D10+1),0),IF(Career_History!I11=TRUE,IF(A5&lt;Career_History!D11,0,MIN(A5,Career_History!E11)-Career_History!D11+1),0))/365.2425</f>
        <v>26.505677734655741</v>
      </c>
      <c r="M5" s="9">
        <f>SUM(IF(Career_History!H10=TRUE,IF(A5&lt;Career_History!D10,0,MIN(A5,Career_History!E10)-Career_History!D10+1),0),IF(Career_History!H11=TRUE,IF(A5&lt;Career_History!D11,0,MIN(A5,Career_History!E11)-Career_History!D11+1),0))/365.2425</f>
        <v>27.505013792206547</v>
      </c>
      <c r="N5" s="9">
        <f>SUM(IF(Career_History!G12=TRUE,IF(A5&lt;Career_History!D12,0,MIN(A5,Career_History!E12)-Career_History!D12+1),0),IF(Career_History!G13=TRUE,IF(A5&lt;Career_History!D13,0,MIN(A5,Career_History!E13)-Career_History!D13+1),0))/365.2425</f>
        <v>23.751343285625303</v>
      </c>
      <c r="O5" s="9">
        <f>SUM(IF(Career_History!I12=TRUE,IF(A5&lt;Career_History!D12,0,MIN(A5,Career_History!E12)-Career_History!D12+1),0),IF(Career_History!I13=TRUE,IF(A5&lt;Career_History!D13,0,MIN(A5,Career_History!E13)-Career_History!D13+1),0))/365.2425</f>
        <v>0</v>
      </c>
      <c r="P5" s="9">
        <f>SUM(IF(Career_History!H12=TRUE,IF(A5&lt;Career_History!D12,0,MIN(A5,Career_History!E12)-Career_History!D12+1),0),IF(Career_History!H13=TRUE,IF(A5&lt;Career_History!D13,0,MIN(A5,Career_History!E13)-Career_History!D13+1),0))/365.2425</f>
        <v>0.24641163062896568</v>
      </c>
      <c r="Q5" s="9">
        <f>SUM(IF(Career_History!G14=TRUE,IF(A5&lt;Career_History!D14,0,MIN(A5,Career_History!E14)-Career_History!D14+1),0),IF(Career_History!G15=TRUE,IF(A5&lt;Career_History!D15,0,MIN(A5,Career_History!E15)-Career_History!D15+1),0))/365.2425</f>
        <v>29.503685907308157</v>
      </c>
      <c r="R5" s="9">
        <f>SUM(IF(Career_History!I14=TRUE,IF(A5&lt;Career_History!D14,0,MIN(A5,Career_History!E14)-Career_History!D14+1),0),IF(Career_History!I15=TRUE,IF(A5&lt;Career_History!D15,0,MIN(A5,Career_History!E15)-Career_History!D15+1),0))/365.2425</f>
        <v>0</v>
      </c>
      <c r="S5" s="9">
        <f>SUM(IF(Career_History!H14=TRUE,IF(A5&lt;Career_History!D14,0,MIN(A5,Career_History!E14)-Career_History!D14+1),0),IF(Career_History!H15=TRUE,IF(A5&lt;Career_History!D15,0,MIN(A5,Career_History!E15)-Career_History!D15+1),0))/365.2425</f>
        <v>29.503685907308157</v>
      </c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</row>
    <row r="6" spans="1:67">
      <c r="A6" s="8">
        <v>34819</v>
      </c>
      <c r="B6" s="9">
        <f t="shared" si="0"/>
        <v>31.1853083910005</v>
      </c>
      <c r="C6" s="9">
        <f t="shared" si="1"/>
        <v>5.5010027584413095</v>
      </c>
      <c r="D6" s="9">
        <f t="shared" si="2"/>
        <v>25.783965447613571</v>
      </c>
      <c r="E6" s="9">
        <f>SUM(IF(Career_History!G4=TRUE,IF(A6&lt;Career_History!D4,0,MIN(A6,Career_History!E4)-Career_History!D4+1),0),IF(Career_History!G5=TRUE,IF(A6&lt;Career_History!D5,0,MIN(A6,Career_History!E5)-Career_History!D5+1),0),IF(Career_History!G6=TRUE,IF(A6&lt;Career_History!D6,0,MIN(A6,Career_History!E6)-Career_History!D6+1),0),IF(Career_History!G7=TRUE,IF(A6&lt;Career_History!D7,0,MIN(A6,Career_History!E7)-Career_History!D7+1),0))/365.2425</f>
        <v>40.334846026954693</v>
      </c>
      <c r="F6" s="9">
        <f>SUM(IF(Career_History!I4=TRUE,IF(A6&lt;Career_History!D4,0,MIN(A6,Career_History!E4)-Career_History!D4+1),0),IF(Career_History!I5=TRUE,IF(A6&lt;Career_History!D5,0,MIN(A6,Career_History!E5)-Career_History!D5+1),0),IF(Career_History!I6=TRUE,IF(A6&lt;Career_History!D6,0,MIN(A6,Career_History!E6)-Career_History!D6+1),0),IF(Career_History!I7=TRUE,IF(A6&lt;Career_History!D7,0,MIN(A6,Career_History!E7)-Career_History!D7+1),0))/365.2425</f>
        <v>0.99933605755080523</v>
      </c>
      <c r="G6" s="9">
        <f>SUM(IF(Career_History!H4=TRUE,IF(A6&lt;Career_History!D4,0,MIN(A6,Career_History!E4)-Career_History!D4+1),0),IF(Career_History!H5=TRUE,IF(A6&lt;Career_History!D5,0,MIN(A6,Career_History!E5)-Career_History!D5+1),0),IF(Career_History!H6=TRUE,IF(A6&lt;Career_History!D6,0,MIN(A6,Career_History!E6)-Career_History!D6+1),0),IF(Career_History!H7=TRUE,IF(A6&lt;Career_History!D7,0,MIN(A6,Career_History!E7)-Career_History!D7+1),0))/365.2425</f>
        <v>36.833062965016396</v>
      </c>
      <c r="H6" s="9">
        <f>SUM(IF(Career_History!G8=TRUE,IF(A6&lt;Career_History!D8,0,MIN(A6,Career_History!E8)-Career_History!D8+1),0),IF(Career_History!G9=TRUE,IF(A6&lt;Career_History!D9,0,MIN(A6,Career_History!E9)-Career_History!D9+1),0))/365.2425</f>
        <v>34.585241312278825</v>
      </c>
      <c r="I6" s="9">
        <f>SUM(IF(Career_History!I8=TRUE,IF(A6&lt;Career_History!D8,0,MIN(A6,Career_History!E8)-Career_History!D8+1),0),IF(Career_History!I9=TRUE,IF(A6&lt;Career_History!D9,0,MIN(A6,Career_History!E9)-Career_History!D9+1),0))/365.2425</f>
        <v>0</v>
      </c>
      <c r="J6" s="9">
        <f>SUM(IF(Career_History!H8=TRUE,IF(A6&lt;Career_History!D8,0,MIN(A6,Career_History!E8)-Career_History!D8+1),0),IF(Career_History!H9=TRUE,IF(A6&lt;Career_History!D9,0,MIN(A6,Career_History!E9)-Career_History!D9+1),0))/365.2425</f>
        <v>34.585241312278825</v>
      </c>
      <c r="K6" s="9">
        <f>SUM(IF(Career_History!G10=TRUE,IF(A6&lt;Career_History!D10,0,MIN(A6,Career_History!E10)-Career_History!D10+1),0),IF(Career_History!G11=TRUE,IF(A6&lt;Career_History!D11,0,MIN(A6,Career_History!E11)-Career_History!D11+1),0))/365.2425</f>
        <v>27.587151002416203</v>
      </c>
      <c r="L6" s="9">
        <f>SUM(IF(Career_History!I10=TRUE,IF(A6&lt;Career_History!D10,0,MIN(A6,Career_History!E10)-Career_History!D10+1),0),IF(Career_History!I11=TRUE,IF(A6&lt;Career_History!D11,0,MIN(A6,Career_History!E11)-Career_History!D11+1),0))/365.2425</f>
        <v>26.505677734655741</v>
      </c>
      <c r="M6" s="9">
        <f>SUM(IF(Career_History!H10=TRUE,IF(A6&lt;Career_History!D10,0,MIN(A6,Career_History!E10)-Career_History!D10+1),0),IF(Career_History!H11=TRUE,IF(A6&lt;Career_History!D11,0,MIN(A6,Career_History!E11)-Career_History!D11+1),0))/365.2425</f>
        <v>27.587151002416203</v>
      </c>
      <c r="N6" s="9">
        <f>SUM(IF(Career_History!G12=TRUE,IF(A6&lt;Career_History!D12,0,MIN(A6,Career_History!E12)-Career_History!D12+1),0),IF(Career_History!G13=TRUE,IF(A6&lt;Career_History!D13,0,MIN(A6,Career_History!E13)-Career_History!D13+1),0))/365.2425</f>
        <v>23.833480495834959</v>
      </c>
      <c r="O6" s="9">
        <f>SUM(IF(Career_History!I12=TRUE,IF(A6&lt;Career_History!D12,0,MIN(A6,Career_History!E12)-Career_History!D12+1),0),IF(Career_History!I13=TRUE,IF(A6&lt;Career_History!D13,0,MIN(A6,Career_History!E13)-Career_History!D13+1),0))/365.2425</f>
        <v>0</v>
      </c>
      <c r="P6" s="9">
        <f>SUM(IF(Career_History!H12=TRUE,IF(A6&lt;Career_History!D12,0,MIN(A6,Career_History!E12)-Career_History!D12+1),0),IF(Career_History!H13=TRUE,IF(A6&lt;Career_History!D13,0,MIN(A6,Career_History!E13)-Career_History!D13+1),0))/365.2425</f>
        <v>0.3285488408386209</v>
      </c>
      <c r="Q6" s="9">
        <f>SUM(IF(Career_History!G14=TRUE,IF(A6&lt;Career_History!D14,0,MIN(A6,Career_History!E14)-Career_History!D14+1),0),IF(Career_History!G15=TRUE,IF(A6&lt;Career_History!D15,0,MIN(A6,Career_History!E15)-Career_History!D15+1),0))/365.2425</f>
        <v>29.585823117517812</v>
      </c>
      <c r="R6" s="9">
        <f>SUM(IF(Career_History!I14=TRUE,IF(A6&lt;Career_History!D14,0,MIN(A6,Career_History!E14)-Career_History!D14+1),0),IF(Career_History!I15=TRUE,IF(A6&lt;Career_History!D15,0,MIN(A6,Career_History!E15)-Career_History!D15+1),0))/365.2425</f>
        <v>0</v>
      </c>
      <c r="S6" s="9">
        <f>SUM(IF(Career_History!H14=TRUE,IF(A6&lt;Career_History!D14,0,MIN(A6,Career_History!E14)-Career_History!D14+1),0),IF(Career_History!H15=TRUE,IF(A6&lt;Career_History!D15,0,MIN(A6,Career_History!E15)-Career_History!D15+1),0))/365.2425</f>
        <v>29.585823117517812</v>
      </c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</row>
    <row r="7" spans="1:67">
      <c r="A7" s="8">
        <v>34850</v>
      </c>
      <c r="B7" s="9">
        <f t="shared" si="0"/>
        <v>31.270183508217144</v>
      </c>
      <c r="C7" s="9">
        <f t="shared" si="1"/>
        <v>5.5010027584413095</v>
      </c>
      <c r="D7" s="9">
        <f t="shared" si="2"/>
        <v>25.868840564830215</v>
      </c>
      <c r="E7" s="9">
        <f>SUM(IF(Career_History!G4=TRUE,IF(A7&lt;Career_History!D4,0,MIN(A7,Career_History!E4)-Career_History!D4+1),0),IF(Career_History!G5=TRUE,IF(A7&lt;Career_History!D5,0,MIN(A7,Career_History!E5)-Career_History!D5+1),0),IF(Career_History!G6=TRUE,IF(A7&lt;Career_History!D6,0,MIN(A7,Career_History!E6)-Career_History!D6+1),0),IF(Career_History!G7=TRUE,IF(A7&lt;Career_History!D7,0,MIN(A7,Career_History!E7)-Career_History!D7+1),0))/365.2425</f>
        <v>40.419721144171341</v>
      </c>
      <c r="F7" s="9">
        <f>SUM(IF(Career_History!I4=TRUE,IF(A7&lt;Career_History!D4,0,MIN(A7,Career_History!E4)-Career_History!D4+1),0),IF(Career_History!I5=TRUE,IF(A7&lt;Career_History!D5,0,MIN(A7,Career_History!E5)-Career_History!D5+1),0),IF(Career_History!I6=TRUE,IF(A7&lt;Career_History!D6,0,MIN(A7,Career_History!E6)-Career_History!D6+1),0),IF(Career_History!I7=TRUE,IF(A7&lt;Career_History!D7,0,MIN(A7,Career_History!E7)-Career_History!D7+1),0))/365.2425</f>
        <v>0.99933605755080523</v>
      </c>
      <c r="G7" s="9">
        <f>SUM(IF(Career_History!H4=TRUE,IF(A7&lt;Career_History!D4,0,MIN(A7,Career_History!E4)-Career_History!D4+1),0),IF(Career_History!H5=TRUE,IF(A7&lt;Career_History!D5,0,MIN(A7,Career_History!E5)-Career_History!D5+1),0),IF(Career_History!H6=TRUE,IF(A7&lt;Career_History!D6,0,MIN(A7,Career_History!E6)-Career_History!D6+1),0),IF(Career_History!H7=TRUE,IF(A7&lt;Career_History!D7,0,MIN(A7,Career_History!E7)-Career_History!D7+1),0))/365.2425</f>
        <v>36.917938082233036</v>
      </c>
      <c r="H7" s="9">
        <f>SUM(IF(Career_History!G8=TRUE,IF(A7&lt;Career_History!D8,0,MIN(A7,Career_History!E8)-Career_History!D8+1),0),IF(Career_History!G9=TRUE,IF(A7&lt;Career_History!D9,0,MIN(A7,Career_History!E9)-Career_History!D9+1),0))/365.2425</f>
        <v>34.670116429495472</v>
      </c>
      <c r="I7" s="9">
        <f>SUM(IF(Career_History!I8=TRUE,IF(A7&lt;Career_History!D8,0,MIN(A7,Career_History!E8)-Career_History!D8+1),0),IF(Career_History!I9=TRUE,IF(A7&lt;Career_History!D9,0,MIN(A7,Career_History!E9)-Career_History!D9+1),0))/365.2425</f>
        <v>0</v>
      </c>
      <c r="J7" s="9">
        <f>SUM(IF(Career_History!H8=TRUE,IF(A7&lt;Career_History!D8,0,MIN(A7,Career_History!E8)-Career_History!D8+1),0),IF(Career_History!H9=TRUE,IF(A7&lt;Career_History!D9,0,MIN(A7,Career_History!E9)-Career_History!D9+1),0))/365.2425</f>
        <v>34.670116429495472</v>
      </c>
      <c r="K7" s="9">
        <f>SUM(IF(Career_History!G10=TRUE,IF(A7&lt;Career_History!D10,0,MIN(A7,Career_History!E10)-Career_History!D10+1),0),IF(Career_History!G11=TRUE,IF(A7&lt;Career_History!D11,0,MIN(A7,Career_History!E11)-Career_History!D11+1),0))/365.2425</f>
        <v>27.672026119632847</v>
      </c>
      <c r="L7" s="9">
        <f>SUM(IF(Career_History!I10=TRUE,IF(A7&lt;Career_History!D10,0,MIN(A7,Career_History!E10)-Career_History!D10+1),0),IF(Career_History!I11=TRUE,IF(A7&lt;Career_History!D11,0,MIN(A7,Career_History!E11)-Career_History!D11+1),0))/365.2425</f>
        <v>26.505677734655741</v>
      </c>
      <c r="M7" s="9">
        <f>SUM(IF(Career_History!H10=TRUE,IF(A7&lt;Career_History!D10,0,MIN(A7,Career_History!E10)-Career_History!D10+1),0),IF(Career_History!H11=TRUE,IF(A7&lt;Career_History!D11,0,MIN(A7,Career_History!E11)-Career_History!D11+1),0))/365.2425</f>
        <v>27.672026119632847</v>
      </c>
      <c r="N7" s="9">
        <f>SUM(IF(Career_History!G12=TRUE,IF(A7&lt;Career_History!D12,0,MIN(A7,Career_History!E12)-Career_History!D12+1),0),IF(Career_History!G13=TRUE,IF(A7&lt;Career_History!D13,0,MIN(A7,Career_History!E13)-Career_History!D13+1),0))/365.2425</f>
        <v>23.918355613051602</v>
      </c>
      <c r="O7" s="9">
        <f>SUM(IF(Career_History!I12=TRUE,IF(A7&lt;Career_History!D12,0,MIN(A7,Career_History!E12)-Career_History!D12+1),0),IF(Career_History!I13=TRUE,IF(A7&lt;Career_History!D13,0,MIN(A7,Career_History!E13)-Career_History!D13+1),0))/365.2425</f>
        <v>0</v>
      </c>
      <c r="P7" s="9">
        <f>SUM(IF(Career_History!H12=TRUE,IF(A7&lt;Career_History!D12,0,MIN(A7,Career_History!E12)-Career_History!D12+1),0),IF(Career_History!H13=TRUE,IF(A7&lt;Career_History!D13,0,MIN(A7,Career_History!E13)-Career_History!D13+1),0))/365.2425</f>
        <v>0.41342395805526466</v>
      </c>
      <c r="Q7" s="9">
        <f>SUM(IF(Career_History!G14=TRUE,IF(A7&lt;Career_History!D14,0,MIN(A7,Career_History!E14)-Career_History!D14+1),0),IF(Career_History!G15=TRUE,IF(A7&lt;Career_History!D15,0,MIN(A7,Career_History!E15)-Career_History!D15+1),0))/365.2425</f>
        <v>29.670698234734456</v>
      </c>
      <c r="R7" s="9">
        <f>SUM(IF(Career_History!I14=TRUE,IF(A7&lt;Career_History!D14,0,MIN(A7,Career_History!E14)-Career_History!D14+1),0),IF(Career_History!I15=TRUE,IF(A7&lt;Career_History!D15,0,MIN(A7,Career_History!E15)-Career_History!D15+1),0))/365.2425</f>
        <v>0</v>
      </c>
      <c r="S7" s="9">
        <f>SUM(IF(Career_History!H14=TRUE,IF(A7&lt;Career_History!D14,0,MIN(A7,Career_History!E14)-Career_History!D14+1),0),IF(Career_History!H15=TRUE,IF(A7&lt;Career_History!D15,0,MIN(A7,Career_History!E15)-Career_History!D15+1),0))/365.2425</f>
        <v>29.670698234734456</v>
      </c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</row>
    <row r="8" spans="1:67">
      <c r="A8" s="8">
        <v>34880</v>
      </c>
      <c r="B8" s="9">
        <f t="shared" si="0"/>
        <v>31.352320718426796</v>
      </c>
      <c r="C8" s="9">
        <f t="shared" si="1"/>
        <v>5.5010027584413095</v>
      </c>
      <c r="D8" s="9">
        <f t="shared" si="2"/>
        <v>25.95097777503987</v>
      </c>
      <c r="E8" s="9">
        <f>SUM(IF(Career_History!G4=TRUE,IF(A8&lt;Career_History!D4,0,MIN(A8,Career_History!E4)-Career_History!D4+1),0),IF(Career_History!G5=TRUE,IF(A8&lt;Career_History!D5,0,MIN(A8,Career_History!E5)-Career_History!D5+1),0),IF(Career_History!G6=TRUE,IF(A8&lt;Career_History!D6,0,MIN(A8,Career_History!E6)-Career_History!D6+1),0),IF(Career_History!G7=TRUE,IF(A8&lt;Career_History!D7,0,MIN(A8,Career_History!E7)-Career_History!D7+1),0))/365.2425</f>
        <v>40.501858354380992</v>
      </c>
      <c r="F8" s="9">
        <f>SUM(IF(Career_History!I4=TRUE,IF(A8&lt;Career_History!D4,0,MIN(A8,Career_History!E4)-Career_History!D4+1),0),IF(Career_History!I5=TRUE,IF(A8&lt;Career_History!D5,0,MIN(A8,Career_History!E5)-Career_History!D5+1),0),IF(Career_History!I6=TRUE,IF(A8&lt;Career_History!D6,0,MIN(A8,Career_History!E6)-Career_History!D6+1),0),IF(Career_History!I7=TRUE,IF(A8&lt;Career_History!D7,0,MIN(A8,Career_History!E7)-Career_History!D7+1),0))/365.2425</f>
        <v>0.99933605755080523</v>
      </c>
      <c r="G8" s="9">
        <f>SUM(IF(Career_History!H4=TRUE,IF(A8&lt;Career_History!D4,0,MIN(A8,Career_History!E4)-Career_History!D4+1),0),IF(Career_History!H5=TRUE,IF(A8&lt;Career_History!D5,0,MIN(A8,Career_History!E5)-Career_History!D5+1),0),IF(Career_History!H6=TRUE,IF(A8&lt;Career_History!D6,0,MIN(A8,Career_History!E6)-Career_History!D6+1),0),IF(Career_History!H7=TRUE,IF(A8&lt;Career_History!D7,0,MIN(A8,Career_History!E7)-Career_History!D7+1),0))/365.2425</f>
        <v>37.000075292442695</v>
      </c>
      <c r="H8" s="9">
        <f>SUM(IF(Career_History!G8=TRUE,IF(A8&lt;Career_History!D8,0,MIN(A8,Career_History!E8)-Career_History!D8+1),0),IF(Career_History!G9=TRUE,IF(A8&lt;Career_History!D9,0,MIN(A8,Career_History!E9)-Career_History!D9+1),0))/365.2425</f>
        <v>34.752253639705124</v>
      </c>
      <c r="I8" s="9">
        <f>SUM(IF(Career_History!I8=TRUE,IF(A8&lt;Career_History!D8,0,MIN(A8,Career_History!E8)-Career_History!D8+1),0),IF(Career_History!I9=TRUE,IF(A8&lt;Career_History!D9,0,MIN(A8,Career_History!E9)-Career_History!D9+1),0))/365.2425</f>
        <v>0</v>
      </c>
      <c r="J8" s="9">
        <f>SUM(IF(Career_History!H8=TRUE,IF(A8&lt;Career_History!D8,0,MIN(A8,Career_History!E8)-Career_History!D8+1),0),IF(Career_History!H9=TRUE,IF(A8&lt;Career_History!D9,0,MIN(A8,Career_History!E9)-Career_History!D9+1),0))/365.2425</f>
        <v>34.752253639705124</v>
      </c>
      <c r="K8" s="9">
        <f>SUM(IF(Career_History!G10=TRUE,IF(A8&lt;Career_History!D10,0,MIN(A8,Career_History!E10)-Career_History!D10+1),0),IF(Career_History!G11=TRUE,IF(A8&lt;Career_History!D11,0,MIN(A8,Career_History!E11)-Career_History!D11+1),0))/365.2425</f>
        <v>27.754163329842502</v>
      </c>
      <c r="L8" s="9">
        <f>SUM(IF(Career_History!I10=TRUE,IF(A8&lt;Career_History!D10,0,MIN(A8,Career_History!E10)-Career_History!D10+1),0),IF(Career_History!I11=TRUE,IF(A8&lt;Career_History!D11,0,MIN(A8,Career_History!E11)-Career_History!D11+1),0))/365.2425</f>
        <v>26.505677734655741</v>
      </c>
      <c r="M8" s="9">
        <f>SUM(IF(Career_History!H10=TRUE,IF(A8&lt;Career_History!D10,0,MIN(A8,Career_History!E10)-Career_History!D10+1),0),IF(Career_History!H11=TRUE,IF(A8&lt;Career_History!D11,0,MIN(A8,Career_History!E11)-Career_History!D11+1),0))/365.2425</f>
        <v>27.754163329842502</v>
      </c>
      <c r="N8" s="9">
        <f>SUM(IF(Career_History!G12=TRUE,IF(A8&lt;Career_History!D12,0,MIN(A8,Career_History!E12)-Career_History!D12+1),0),IF(Career_History!G13=TRUE,IF(A8&lt;Career_History!D13,0,MIN(A8,Career_History!E13)-Career_History!D13+1),0))/365.2425</f>
        <v>24.000492823261258</v>
      </c>
      <c r="O8" s="9">
        <f>SUM(IF(Career_History!I12=TRUE,IF(A8&lt;Career_History!D12,0,MIN(A8,Career_History!E12)-Career_History!D12+1),0),IF(Career_History!I13=TRUE,IF(A8&lt;Career_History!D13,0,MIN(A8,Career_History!E13)-Career_History!D13+1),0))/365.2425</f>
        <v>0</v>
      </c>
      <c r="P8" s="9">
        <f>SUM(IF(Career_History!H12=TRUE,IF(A8&lt;Career_History!D12,0,MIN(A8,Career_History!E12)-Career_History!D12+1),0),IF(Career_History!H13=TRUE,IF(A8&lt;Career_History!D13,0,MIN(A8,Career_History!E13)-Career_History!D13+1),0))/365.2425</f>
        <v>0.49556116826491986</v>
      </c>
      <c r="Q8" s="9">
        <f>SUM(IF(Career_History!G14=TRUE,IF(A8&lt;Career_History!D14,0,MIN(A8,Career_History!E14)-Career_History!D14+1),0),IF(Career_History!G15=TRUE,IF(A8&lt;Career_History!D15,0,MIN(A8,Career_History!E15)-Career_History!D15+1),0))/365.2425</f>
        <v>29.752835444944111</v>
      </c>
      <c r="R8" s="9">
        <f>SUM(IF(Career_History!I14=TRUE,IF(A8&lt;Career_History!D14,0,MIN(A8,Career_History!E14)-Career_History!D14+1),0),IF(Career_History!I15=TRUE,IF(A8&lt;Career_History!D15,0,MIN(A8,Career_History!E15)-Career_History!D15+1),0))/365.2425</f>
        <v>0</v>
      </c>
      <c r="S8" s="9">
        <f>SUM(IF(Career_History!H14=TRUE,IF(A8&lt;Career_History!D14,0,MIN(A8,Career_History!E14)-Career_History!D14+1),0),IF(Career_History!H15=TRUE,IF(A8&lt;Career_History!D15,0,MIN(A8,Career_History!E15)-Career_History!D15+1),0))/365.2425</f>
        <v>29.752835444944111</v>
      </c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</row>
    <row r="9" spans="1:67">
      <c r="A9" s="8">
        <v>34911</v>
      </c>
      <c r="B9" s="9">
        <f t="shared" si="0"/>
        <v>31.437195835643443</v>
      </c>
      <c r="C9" s="9">
        <f t="shared" si="1"/>
        <v>5.5010027584413095</v>
      </c>
      <c r="D9" s="9">
        <f t="shared" si="2"/>
        <v>26.035852892256521</v>
      </c>
      <c r="E9" s="9">
        <f>SUM(IF(Career_History!G4=TRUE,IF(A9&lt;Career_History!D4,0,MIN(A9,Career_History!E4)-Career_History!D4+1),0),IF(Career_History!G5=TRUE,IF(A9&lt;Career_History!D5,0,MIN(A9,Career_History!E5)-Career_History!D5+1),0),IF(Career_History!G6=TRUE,IF(A9&lt;Career_History!D6,0,MIN(A9,Career_History!E6)-Career_History!D6+1),0),IF(Career_History!G7=TRUE,IF(A9&lt;Career_History!D7,0,MIN(A9,Career_History!E7)-Career_History!D7+1),0))/365.2425</f>
        <v>40.58673347159764</v>
      </c>
      <c r="F9" s="9">
        <f>SUM(IF(Career_History!I4=TRUE,IF(A9&lt;Career_History!D4,0,MIN(A9,Career_History!E4)-Career_History!D4+1),0),IF(Career_History!I5=TRUE,IF(A9&lt;Career_History!D5,0,MIN(A9,Career_History!E5)-Career_History!D5+1),0),IF(Career_History!I6=TRUE,IF(A9&lt;Career_History!D6,0,MIN(A9,Career_History!E6)-Career_History!D6+1),0),IF(Career_History!I7=TRUE,IF(A9&lt;Career_History!D7,0,MIN(A9,Career_History!E7)-Career_History!D7+1),0))/365.2425</f>
        <v>0.99933605755080523</v>
      </c>
      <c r="G9" s="9">
        <f>SUM(IF(Career_History!H4=TRUE,IF(A9&lt;Career_History!D4,0,MIN(A9,Career_History!E4)-Career_History!D4+1),0),IF(Career_History!H5=TRUE,IF(A9&lt;Career_History!D5,0,MIN(A9,Career_History!E5)-Career_History!D5+1),0),IF(Career_History!H6=TRUE,IF(A9&lt;Career_History!D6,0,MIN(A9,Career_History!E6)-Career_History!D6+1),0),IF(Career_History!H7=TRUE,IF(A9&lt;Career_History!D7,0,MIN(A9,Career_History!E7)-Career_History!D7+1),0))/365.2425</f>
        <v>37.084950409659335</v>
      </c>
      <c r="H9" s="9">
        <f>SUM(IF(Career_History!G8=TRUE,IF(A9&lt;Career_History!D8,0,MIN(A9,Career_History!E8)-Career_History!D8+1),0),IF(Career_History!G9=TRUE,IF(A9&lt;Career_History!D9,0,MIN(A9,Career_History!E9)-Career_History!D9+1),0))/365.2425</f>
        <v>34.837128756921771</v>
      </c>
      <c r="I9" s="9">
        <f>SUM(IF(Career_History!I8=TRUE,IF(A9&lt;Career_History!D8,0,MIN(A9,Career_History!E8)-Career_History!D8+1),0),IF(Career_History!I9=TRUE,IF(A9&lt;Career_History!D9,0,MIN(A9,Career_History!E9)-Career_History!D9+1),0))/365.2425</f>
        <v>0</v>
      </c>
      <c r="J9" s="9">
        <f>SUM(IF(Career_History!H8=TRUE,IF(A9&lt;Career_History!D8,0,MIN(A9,Career_History!E8)-Career_History!D8+1),0),IF(Career_History!H9=TRUE,IF(A9&lt;Career_History!D9,0,MIN(A9,Career_History!E9)-Career_History!D9+1),0))/365.2425</f>
        <v>34.837128756921771</v>
      </c>
      <c r="K9" s="9">
        <f>SUM(IF(Career_History!G10=TRUE,IF(A9&lt;Career_History!D10,0,MIN(A9,Career_History!E10)-Career_History!D10+1),0),IF(Career_History!G11=TRUE,IF(A9&lt;Career_History!D11,0,MIN(A9,Career_History!E11)-Career_History!D11+1),0))/365.2425</f>
        <v>27.839038447059146</v>
      </c>
      <c r="L9" s="9">
        <f>SUM(IF(Career_History!I10=TRUE,IF(A9&lt;Career_History!D10,0,MIN(A9,Career_History!E10)-Career_History!D10+1),0),IF(Career_History!I11=TRUE,IF(A9&lt;Career_History!D11,0,MIN(A9,Career_History!E11)-Career_History!D11+1),0))/365.2425</f>
        <v>26.505677734655741</v>
      </c>
      <c r="M9" s="9">
        <f>SUM(IF(Career_History!H10=TRUE,IF(A9&lt;Career_History!D10,0,MIN(A9,Career_History!E10)-Career_History!D10+1),0),IF(Career_History!H11=TRUE,IF(A9&lt;Career_History!D11,0,MIN(A9,Career_History!E11)-Career_History!D11+1),0))/365.2425</f>
        <v>27.839038447059146</v>
      </c>
      <c r="N9" s="9">
        <f>SUM(IF(Career_History!G12=TRUE,IF(A9&lt;Career_History!D12,0,MIN(A9,Career_History!E12)-Career_History!D12+1),0),IF(Career_History!G13=TRUE,IF(A9&lt;Career_History!D13,0,MIN(A9,Career_History!E13)-Career_History!D13+1),0))/365.2425</f>
        <v>24.085367940477902</v>
      </c>
      <c r="O9" s="9">
        <f>SUM(IF(Career_History!I12=TRUE,IF(A9&lt;Career_History!D12,0,MIN(A9,Career_History!E12)-Career_History!D12+1),0),IF(Career_History!I13=TRUE,IF(A9&lt;Career_History!D13,0,MIN(A9,Career_History!E13)-Career_History!D13+1),0))/365.2425</f>
        <v>0</v>
      </c>
      <c r="P9" s="9">
        <f>SUM(IF(Career_History!H12=TRUE,IF(A9&lt;Career_History!D12,0,MIN(A9,Career_History!E12)-Career_History!D12+1),0),IF(Career_History!H13=TRUE,IF(A9&lt;Career_History!D13,0,MIN(A9,Career_History!E13)-Career_History!D13+1),0))/365.2425</f>
        <v>0.58043628548156356</v>
      </c>
      <c r="Q9" s="9">
        <f>SUM(IF(Career_History!G14=TRUE,IF(A9&lt;Career_History!D14,0,MIN(A9,Career_History!E14)-Career_History!D14+1),0),IF(Career_History!G15=TRUE,IF(A9&lt;Career_History!D15,0,MIN(A9,Career_History!E15)-Career_History!D15+1),0))/365.2425</f>
        <v>29.837710562160755</v>
      </c>
      <c r="R9" s="9">
        <f>SUM(IF(Career_History!I14=TRUE,IF(A9&lt;Career_History!D14,0,MIN(A9,Career_History!E14)-Career_History!D14+1),0),IF(Career_History!I15=TRUE,IF(A9&lt;Career_History!D15,0,MIN(A9,Career_History!E15)-Career_History!D15+1),0))/365.2425</f>
        <v>0</v>
      </c>
      <c r="S9" s="9">
        <f>SUM(IF(Career_History!H14=TRUE,IF(A9&lt;Career_History!D14,0,MIN(A9,Career_History!E14)-Career_History!D14+1),0),IF(Career_History!H15=TRUE,IF(A9&lt;Career_History!D15,0,MIN(A9,Career_History!E15)-Career_History!D15+1),0))/365.2425</f>
        <v>29.837710562160755</v>
      </c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</row>
    <row r="10" spans="1:67">
      <c r="A10" s="8">
        <v>34942</v>
      </c>
      <c r="B10" s="9">
        <f t="shared" si="0"/>
        <v>31.522070952860087</v>
      </c>
      <c r="C10" s="9">
        <f t="shared" si="1"/>
        <v>5.5010027584413095</v>
      </c>
      <c r="D10" s="9">
        <f t="shared" si="2"/>
        <v>26.120728009473158</v>
      </c>
      <c r="E10" s="9">
        <f>SUM(IF(Career_History!G4=TRUE,IF(A10&lt;Career_History!D4,0,MIN(A10,Career_History!E4)-Career_History!D4+1),0),IF(Career_History!G5=TRUE,IF(A10&lt;Career_History!D5,0,MIN(A10,Career_History!E5)-Career_History!D5+1),0),IF(Career_History!G6=TRUE,IF(A10&lt;Career_History!D6,0,MIN(A10,Career_History!E6)-Career_History!D6+1),0),IF(Career_History!G7=TRUE,IF(A10&lt;Career_History!D7,0,MIN(A10,Career_History!E7)-Career_History!D7+1),0))/365.2425</f>
        <v>40.67160858881428</v>
      </c>
      <c r="F10" s="9">
        <f>SUM(IF(Career_History!I4=TRUE,IF(A10&lt;Career_History!D4,0,MIN(A10,Career_History!E4)-Career_History!D4+1),0),IF(Career_History!I5=TRUE,IF(A10&lt;Career_History!D5,0,MIN(A10,Career_History!E5)-Career_History!D5+1),0),IF(Career_History!I6=TRUE,IF(A10&lt;Career_History!D6,0,MIN(A10,Career_History!E6)-Career_History!D6+1),0),IF(Career_History!I7=TRUE,IF(A10&lt;Career_History!D7,0,MIN(A10,Career_History!E7)-Career_History!D7+1),0))/365.2425</f>
        <v>0.99933605755080523</v>
      </c>
      <c r="G10" s="9">
        <f>SUM(IF(Career_History!H4=TRUE,IF(A10&lt;Career_History!D4,0,MIN(A10,Career_History!E4)-Career_History!D4+1),0),IF(Career_History!H5=TRUE,IF(A10&lt;Career_History!D5,0,MIN(A10,Career_History!E5)-Career_History!D5+1),0),IF(Career_History!H6=TRUE,IF(A10&lt;Career_History!D6,0,MIN(A10,Career_History!E6)-Career_History!D6+1),0),IF(Career_History!H7=TRUE,IF(A10&lt;Career_History!D7,0,MIN(A10,Career_History!E7)-Career_History!D7+1),0))/365.2425</f>
        <v>37.169825526875982</v>
      </c>
      <c r="H10" s="9">
        <f>SUM(IF(Career_History!G8=TRUE,IF(A10&lt;Career_History!D8,0,MIN(A10,Career_History!E8)-Career_History!D8+1),0),IF(Career_History!G9=TRUE,IF(A10&lt;Career_History!D9,0,MIN(A10,Career_History!E9)-Career_History!D9+1),0))/365.2425</f>
        <v>34.922003874138412</v>
      </c>
      <c r="I10" s="9">
        <f>SUM(IF(Career_History!I8=TRUE,IF(A10&lt;Career_History!D8,0,MIN(A10,Career_History!E8)-Career_History!D8+1),0),IF(Career_History!I9=TRUE,IF(A10&lt;Career_History!D9,0,MIN(A10,Career_History!E9)-Career_History!D9+1),0))/365.2425</f>
        <v>0</v>
      </c>
      <c r="J10" s="9">
        <f>SUM(IF(Career_History!H8=TRUE,IF(A10&lt;Career_History!D8,0,MIN(A10,Career_History!E8)-Career_History!D8+1),0),IF(Career_History!H9=TRUE,IF(A10&lt;Career_History!D9,0,MIN(A10,Career_History!E9)-Career_History!D9+1),0))/365.2425</f>
        <v>34.922003874138412</v>
      </c>
      <c r="K10" s="9">
        <f>SUM(IF(Career_History!G10=TRUE,IF(A10&lt;Career_History!D10,0,MIN(A10,Career_History!E10)-Career_History!D10+1),0),IF(Career_History!G11=TRUE,IF(A10&lt;Career_History!D11,0,MIN(A10,Career_History!E11)-Career_History!D11+1),0))/365.2425</f>
        <v>27.923913564275789</v>
      </c>
      <c r="L10" s="9">
        <f>SUM(IF(Career_History!I10=TRUE,IF(A10&lt;Career_History!D10,0,MIN(A10,Career_History!E10)-Career_History!D10+1),0),IF(Career_History!I11=TRUE,IF(A10&lt;Career_History!D11,0,MIN(A10,Career_History!E11)-Career_History!D11+1),0))/365.2425</f>
        <v>26.505677734655741</v>
      </c>
      <c r="M10" s="9">
        <f>SUM(IF(Career_History!H10=TRUE,IF(A10&lt;Career_History!D10,0,MIN(A10,Career_History!E10)-Career_History!D10+1),0),IF(Career_History!H11=TRUE,IF(A10&lt;Career_History!D11,0,MIN(A10,Career_History!E11)-Career_History!D11+1),0))/365.2425</f>
        <v>27.923913564275789</v>
      </c>
      <c r="N10" s="9">
        <f>SUM(IF(Career_History!G12=TRUE,IF(A10&lt;Career_History!D12,0,MIN(A10,Career_History!E12)-Career_History!D12+1),0),IF(Career_History!G13=TRUE,IF(A10&lt;Career_History!D13,0,MIN(A10,Career_History!E13)-Career_History!D13+1),0))/365.2425</f>
        <v>24.170243057694545</v>
      </c>
      <c r="O10" s="9">
        <f>SUM(IF(Career_History!I12=TRUE,IF(A10&lt;Career_History!D12,0,MIN(A10,Career_History!E12)-Career_History!D12+1),0),IF(Career_History!I13=TRUE,IF(A10&lt;Career_History!D13,0,MIN(A10,Career_History!E13)-Career_History!D13+1),0))/365.2425</f>
        <v>0</v>
      </c>
      <c r="P10" s="9">
        <f>SUM(IF(Career_History!H12=TRUE,IF(A10&lt;Career_History!D12,0,MIN(A10,Career_History!E12)-Career_History!D12+1),0),IF(Career_History!H13=TRUE,IF(A10&lt;Career_History!D13,0,MIN(A10,Career_History!E13)-Career_History!D13+1),0))/365.2425</f>
        <v>0.66531140269820732</v>
      </c>
      <c r="Q10" s="9">
        <f>SUM(IF(Career_History!G14=TRUE,IF(A10&lt;Career_History!D14,0,MIN(A10,Career_History!E14)-Career_History!D14+1),0),IF(Career_History!G15=TRUE,IF(A10&lt;Career_History!D15,0,MIN(A10,Career_History!E15)-Career_History!D15+1),0))/365.2425</f>
        <v>29.922585679377399</v>
      </c>
      <c r="R10" s="9">
        <f>SUM(IF(Career_History!I14=TRUE,IF(A10&lt;Career_History!D14,0,MIN(A10,Career_History!E14)-Career_History!D14+1),0),IF(Career_History!I15=TRUE,IF(A10&lt;Career_History!D15,0,MIN(A10,Career_History!E15)-Career_History!D15+1),0))/365.2425</f>
        <v>0</v>
      </c>
      <c r="S10" s="9">
        <f>SUM(IF(Career_History!H14=TRUE,IF(A10&lt;Career_History!D14,0,MIN(A10,Career_History!E14)-Career_History!D14+1),0),IF(Career_History!H15=TRUE,IF(A10&lt;Career_History!D15,0,MIN(A10,Career_History!E15)-Career_History!D15+1),0))/365.2425</f>
        <v>29.922585679377399</v>
      </c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</row>
    <row r="11" spans="1:67">
      <c r="A11" s="8">
        <v>34972</v>
      </c>
      <c r="B11" s="9">
        <f t="shared" si="0"/>
        <v>31.604208163069739</v>
      </c>
      <c r="C11" s="9">
        <f t="shared" si="1"/>
        <v>5.5010027584413095</v>
      </c>
      <c r="D11" s="9">
        <f t="shared" si="2"/>
        <v>26.20286521968281</v>
      </c>
      <c r="E11" s="9">
        <f>SUM(IF(Career_History!G4=TRUE,IF(A11&lt;Career_History!D4,0,MIN(A11,Career_History!E4)-Career_History!D4+1),0),IF(Career_History!G5=TRUE,IF(A11&lt;Career_History!D5,0,MIN(A11,Career_History!E5)-Career_History!D5+1),0),IF(Career_History!G6=TRUE,IF(A11&lt;Career_History!D6,0,MIN(A11,Career_History!E6)-Career_History!D6+1),0),IF(Career_History!G7=TRUE,IF(A11&lt;Career_History!D7,0,MIN(A11,Career_History!E7)-Career_History!D7+1),0))/365.2425</f>
        <v>40.753745799023939</v>
      </c>
      <c r="F11" s="9">
        <f>SUM(IF(Career_History!I4=TRUE,IF(A11&lt;Career_History!D4,0,MIN(A11,Career_History!E4)-Career_History!D4+1),0),IF(Career_History!I5=TRUE,IF(A11&lt;Career_History!D5,0,MIN(A11,Career_History!E5)-Career_History!D5+1),0),IF(Career_History!I6=TRUE,IF(A11&lt;Career_History!D6,0,MIN(A11,Career_History!E6)-Career_History!D6+1),0),IF(Career_History!I7=TRUE,IF(A11&lt;Career_History!D7,0,MIN(A11,Career_History!E7)-Career_History!D7+1),0))/365.2425</f>
        <v>0.99933605755080523</v>
      </c>
      <c r="G11" s="9">
        <f>SUM(IF(Career_History!H4=TRUE,IF(A11&lt;Career_History!D4,0,MIN(A11,Career_History!E4)-Career_History!D4+1),0),IF(Career_History!H5=TRUE,IF(A11&lt;Career_History!D5,0,MIN(A11,Career_History!E5)-Career_History!D5+1),0),IF(Career_History!H6=TRUE,IF(A11&lt;Career_History!D6,0,MIN(A11,Career_History!E6)-Career_History!D6+1),0),IF(Career_History!H7=TRUE,IF(A11&lt;Career_History!D7,0,MIN(A11,Career_History!E7)-Career_History!D7+1),0))/365.2425</f>
        <v>37.251962737085634</v>
      </c>
      <c r="H11" s="9">
        <f>SUM(IF(Career_History!G8=TRUE,IF(A11&lt;Career_History!D8,0,MIN(A11,Career_History!E8)-Career_History!D8+1),0),IF(Career_History!G9=TRUE,IF(A11&lt;Career_History!D9,0,MIN(A11,Career_History!E9)-Career_History!D9+1),0))/365.2425</f>
        <v>35.00414108434807</v>
      </c>
      <c r="I11" s="9">
        <f>SUM(IF(Career_History!I8=TRUE,IF(A11&lt;Career_History!D8,0,MIN(A11,Career_History!E8)-Career_History!D8+1),0),IF(Career_History!I9=TRUE,IF(A11&lt;Career_History!D9,0,MIN(A11,Career_History!E9)-Career_History!D9+1),0))/365.2425</f>
        <v>0</v>
      </c>
      <c r="J11" s="9">
        <f>SUM(IF(Career_History!H8=TRUE,IF(A11&lt;Career_History!D8,0,MIN(A11,Career_History!E8)-Career_History!D8+1),0),IF(Career_History!H9=TRUE,IF(A11&lt;Career_History!D9,0,MIN(A11,Career_History!E9)-Career_History!D9+1),0))/365.2425</f>
        <v>35.00414108434807</v>
      </c>
      <c r="K11" s="9">
        <f>SUM(IF(Career_History!G10=TRUE,IF(A11&lt;Career_History!D10,0,MIN(A11,Career_History!E10)-Career_History!D10+1),0),IF(Career_History!G11=TRUE,IF(A11&lt;Career_History!D11,0,MIN(A11,Career_History!E11)-Career_History!D11+1),0))/365.2425</f>
        <v>28.006050774485445</v>
      </c>
      <c r="L11" s="9">
        <f>SUM(IF(Career_History!I10=TRUE,IF(A11&lt;Career_History!D10,0,MIN(A11,Career_History!E10)-Career_History!D10+1),0),IF(Career_History!I11=TRUE,IF(A11&lt;Career_History!D11,0,MIN(A11,Career_History!E11)-Career_History!D11+1),0))/365.2425</f>
        <v>26.505677734655741</v>
      </c>
      <c r="M11" s="9">
        <f>SUM(IF(Career_History!H10=TRUE,IF(A11&lt;Career_History!D10,0,MIN(A11,Career_History!E10)-Career_History!D10+1),0),IF(Career_History!H11=TRUE,IF(A11&lt;Career_History!D11,0,MIN(A11,Career_History!E11)-Career_History!D11+1),0))/365.2425</f>
        <v>28.006050774485445</v>
      </c>
      <c r="N11" s="9">
        <f>SUM(IF(Career_History!G12=TRUE,IF(A11&lt;Career_History!D12,0,MIN(A11,Career_History!E12)-Career_History!D12+1),0),IF(Career_History!G13=TRUE,IF(A11&lt;Career_History!D13,0,MIN(A11,Career_History!E13)-Career_History!D13+1),0))/365.2425</f>
        <v>24.252380267904201</v>
      </c>
      <c r="O11" s="9">
        <f>SUM(IF(Career_History!I12=TRUE,IF(A11&lt;Career_History!D12,0,MIN(A11,Career_History!E12)-Career_History!D12+1),0),IF(Career_History!I13=TRUE,IF(A11&lt;Career_History!D13,0,MIN(A11,Career_History!E13)-Career_History!D13+1),0))/365.2425</f>
        <v>0</v>
      </c>
      <c r="P11" s="9">
        <f>SUM(IF(Career_History!H12=TRUE,IF(A11&lt;Career_History!D12,0,MIN(A11,Career_History!E12)-Career_History!D12+1),0),IF(Career_History!H13=TRUE,IF(A11&lt;Career_History!D13,0,MIN(A11,Career_History!E13)-Career_History!D13+1),0))/365.2425</f>
        <v>0.74744861290786258</v>
      </c>
      <c r="Q11" s="9">
        <f>SUM(IF(Career_History!G14=TRUE,IF(A11&lt;Career_History!D14,0,MIN(A11,Career_History!E14)-Career_History!D14+1),0),IF(Career_History!G15=TRUE,IF(A11&lt;Career_History!D15,0,MIN(A11,Career_History!E15)-Career_History!D15+1),0))/365.2425</f>
        <v>30.004722889587054</v>
      </c>
      <c r="R11" s="9">
        <f>SUM(IF(Career_History!I14=TRUE,IF(A11&lt;Career_History!D14,0,MIN(A11,Career_History!E14)-Career_History!D14+1),0),IF(Career_History!I15=TRUE,IF(A11&lt;Career_History!D15,0,MIN(A11,Career_History!E15)-Career_History!D15+1),0))/365.2425</f>
        <v>0</v>
      </c>
      <c r="S11" s="9">
        <f>SUM(IF(Career_History!H14=TRUE,IF(A11&lt;Career_History!D14,0,MIN(A11,Career_History!E14)-Career_History!D14+1),0),IF(Career_History!H15=TRUE,IF(A11&lt;Career_History!D15,0,MIN(A11,Career_History!E15)-Career_History!D15+1),0))/365.2425</f>
        <v>30.004722889587054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</row>
    <row r="12" spans="1:67">
      <c r="A12" s="8">
        <v>35003</v>
      </c>
      <c r="B12" s="9">
        <f t="shared" si="0"/>
        <v>31.689083280286383</v>
      </c>
      <c r="C12" s="9">
        <f t="shared" si="1"/>
        <v>5.5010027584413095</v>
      </c>
      <c r="D12" s="9">
        <f t="shared" si="2"/>
        <v>26.287740336899457</v>
      </c>
      <c r="E12" s="9">
        <f>SUM(IF(Career_History!G4=TRUE,IF(A12&lt;Career_History!D4,0,MIN(A12,Career_History!E4)-Career_History!D4+1),0),IF(Career_History!G5=TRUE,IF(A12&lt;Career_History!D5,0,MIN(A12,Career_History!E5)-Career_History!D5+1),0),IF(Career_History!G6=TRUE,IF(A12&lt;Career_History!D6,0,MIN(A12,Career_History!E6)-Career_History!D6+1),0),IF(Career_History!G7=TRUE,IF(A12&lt;Career_History!D7,0,MIN(A12,Career_History!E7)-Career_History!D7+1),0))/365.2425</f>
        <v>40.838620916240579</v>
      </c>
      <c r="F12" s="9">
        <f>SUM(IF(Career_History!I4=TRUE,IF(A12&lt;Career_History!D4,0,MIN(A12,Career_History!E4)-Career_History!D4+1),0),IF(Career_History!I5=TRUE,IF(A12&lt;Career_History!D5,0,MIN(A12,Career_History!E5)-Career_History!D5+1),0),IF(Career_History!I6=TRUE,IF(A12&lt;Career_History!D6,0,MIN(A12,Career_History!E6)-Career_History!D6+1),0),IF(Career_History!I7=TRUE,IF(A12&lt;Career_History!D7,0,MIN(A12,Career_History!E7)-Career_History!D7+1),0))/365.2425</f>
        <v>0.99933605755080523</v>
      </c>
      <c r="G12" s="9">
        <f>SUM(IF(Career_History!H4=TRUE,IF(A12&lt;Career_History!D4,0,MIN(A12,Career_History!E4)-Career_History!D4+1),0),IF(Career_History!H5=TRUE,IF(A12&lt;Career_History!D5,0,MIN(A12,Career_History!E5)-Career_History!D5+1),0),IF(Career_History!H6=TRUE,IF(A12&lt;Career_History!D6,0,MIN(A12,Career_History!E6)-Career_History!D6+1),0),IF(Career_History!H7=TRUE,IF(A12&lt;Career_History!D7,0,MIN(A12,Career_History!E7)-Career_History!D7+1),0))/365.2425</f>
        <v>37.336837854302281</v>
      </c>
      <c r="H12" s="9">
        <f>SUM(IF(Career_History!G8=TRUE,IF(A12&lt;Career_History!D8,0,MIN(A12,Career_History!E8)-Career_History!D8+1),0),IF(Career_History!G9=TRUE,IF(A12&lt;Career_History!D9,0,MIN(A12,Career_History!E9)-Career_History!D9+1),0))/365.2425</f>
        <v>35.089016201564711</v>
      </c>
      <c r="I12" s="9">
        <f>SUM(IF(Career_History!I8=TRUE,IF(A12&lt;Career_History!D8,0,MIN(A12,Career_History!E8)-Career_History!D8+1),0),IF(Career_History!I9=TRUE,IF(A12&lt;Career_History!D9,0,MIN(A12,Career_History!E9)-Career_History!D9+1),0))/365.2425</f>
        <v>0</v>
      </c>
      <c r="J12" s="9">
        <f>SUM(IF(Career_History!H8=TRUE,IF(A12&lt;Career_History!D8,0,MIN(A12,Career_History!E8)-Career_History!D8+1),0),IF(Career_History!H9=TRUE,IF(A12&lt;Career_History!D9,0,MIN(A12,Career_History!E9)-Career_History!D9+1),0))/365.2425</f>
        <v>35.089016201564711</v>
      </c>
      <c r="K12" s="9">
        <f>SUM(IF(Career_History!G10=TRUE,IF(A12&lt;Career_History!D10,0,MIN(A12,Career_History!E10)-Career_History!D10+1),0),IF(Career_History!G11=TRUE,IF(A12&lt;Career_History!D11,0,MIN(A12,Career_History!E11)-Career_History!D11+1),0))/365.2425</f>
        <v>28.090925891702089</v>
      </c>
      <c r="L12" s="9">
        <f>SUM(IF(Career_History!I10=TRUE,IF(A12&lt;Career_History!D10,0,MIN(A12,Career_History!E10)-Career_History!D10+1),0),IF(Career_History!I11=TRUE,IF(A12&lt;Career_History!D11,0,MIN(A12,Career_History!E11)-Career_History!D11+1),0))/365.2425</f>
        <v>26.505677734655741</v>
      </c>
      <c r="M12" s="9">
        <f>SUM(IF(Career_History!H10=TRUE,IF(A12&lt;Career_History!D10,0,MIN(A12,Career_History!E10)-Career_History!D10+1),0),IF(Career_History!H11=TRUE,IF(A12&lt;Career_History!D11,0,MIN(A12,Career_History!E11)-Career_History!D11+1),0))/365.2425</f>
        <v>28.090925891702089</v>
      </c>
      <c r="N12" s="9">
        <f>SUM(IF(Career_History!G12=TRUE,IF(A12&lt;Career_History!D12,0,MIN(A12,Career_History!E12)-Career_History!D12+1),0),IF(Career_History!G13=TRUE,IF(A12&lt;Career_History!D13,0,MIN(A12,Career_History!E13)-Career_History!D13+1),0))/365.2425</f>
        <v>24.337255385120844</v>
      </c>
      <c r="O12" s="9">
        <f>SUM(IF(Career_History!I12=TRUE,IF(A12&lt;Career_History!D12,0,MIN(A12,Career_History!E12)-Career_History!D12+1),0),IF(Career_History!I13=TRUE,IF(A12&lt;Career_History!D13,0,MIN(A12,Career_History!E13)-Career_History!D13+1),0))/365.2425</f>
        <v>0</v>
      </c>
      <c r="P12" s="9">
        <f>SUM(IF(Career_History!H12=TRUE,IF(A12&lt;Career_History!D12,0,MIN(A12,Career_History!E12)-Career_History!D12+1),0),IF(Career_History!H13=TRUE,IF(A12&lt;Career_History!D13,0,MIN(A12,Career_History!E13)-Career_History!D13+1),0))/365.2425</f>
        <v>0.83232373012450633</v>
      </c>
      <c r="Q12" s="9">
        <f>SUM(IF(Career_History!G14=TRUE,IF(A12&lt;Career_History!D14,0,MIN(A12,Career_History!E14)-Career_History!D14+1),0),IF(Career_History!G15=TRUE,IF(A12&lt;Career_History!D15,0,MIN(A12,Career_History!E15)-Career_History!D15+1),0))/365.2425</f>
        <v>30.089598006803698</v>
      </c>
      <c r="R12" s="9">
        <f>SUM(IF(Career_History!I14=TRUE,IF(A12&lt;Career_History!D14,0,MIN(A12,Career_History!E14)-Career_History!D14+1),0),IF(Career_History!I15=TRUE,IF(A12&lt;Career_History!D15,0,MIN(A12,Career_History!E15)-Career_History!D15+1),0))/365.2425</f>
        <v>0</v>
      </c>
      <c r="S12" s="9">
        <f>SUM(IF(Career_History!H14=TRUE,IF(A12&lt;Career_History!D14,0,MIN(A12,Career_History!E14)-Career_History!D14+1),0),IF(Career_History!H15=TRUE,IF(A12&lt;Career_History!D15,0,MIN(A12,Career_History!E15)-Career_History!D15+1),0))/365.2425</f>
        <v>30.089598006803698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</row>
    <row r="13" spans="1:67">
      <c r="A13" s="8">
        <v>35033</v>
      </c>
      <c r="B13" s="9">
        <f t="shared" si="0"/>
        <v>31.771220490496034</v>
      </c>
      <c r="C13" s="9">
        <f t="shared" si="1"/>
        <v>5.5010027584413095</v>
      </c>
      <c r="D13" s="9">
        <f t="shared" si="2"/>
        <v>26.369877547109116</v>
      </c>
      <c r="E13" s="9">
        <f>SUM(IF(Career_History!G4=TRUE,IF(A13&lt;Career_History!D4,0,MIN(A13,Career_History!E4)-Career_History!D4+1),0),IF(Career_History!G5=TRUE,IF(A13&lt;Career_History!D5,0,MIN(A13,Career_History!E5)-Career_History!D5+1),0),IF(Career_History!G6=TRUE,IF(A13&lt;Career_History!D6,0,MIN(A13,Career_History!E6)-Career_History!D6+1),0),IF(Career_History!G7=TRUE,IF(A13&lt;Career_History!D7,0,MIN(A13,Career_History!E7)-Career_History!D7+1),0))/365.2425</f>
        <v>40.920758126450231</v>
      </c>
      <c r="F13" s="9">
        <f>SUM(IF(Career_History!I4=TRUE,IF(A13&lt;Career_History!D4,0,MIN(A13,Career_History!E4)-Career_History!D4+1),0),IF(Career_History!I5=TRUE,IF(A13&lt;Career_History!D5,0,MIN(A13,Career_History!E5)-Career_History!D5+1),0),IF(Career_History!I6=TRUE,IF(A13&lt;Career_History!D6,0,MIN(A13,Career_History!E6)-Career_History!D6+1),0),IF(Career_History!I7=TRUE,IF(A13&lt;Career_History!D7,0,MIN(A13,Career_History!E7)-Career_History!D7+1),0))/365.2425</f>
        <v>0.99933605755080523</v>
      </c>
      <c r="G13" s="9">
        <f>SUM(IF(Career_History!H4=TRUE,IF(A13&lt;Career_History!D4,0,MIN(A13,Career_History!E4)-Career_History!D4+1),0),IF(Career_History!H5=TRUE,IF(A13&lt;Career_History!D5,0,MIN(A13,Career_History!E5)-Career_History!D5+1),0),IF(Career_History!H6=TRUE,IF(A13&lt;Career_History!D6,0,MIN(A13,Career_History!E6)-Career_History!D6+1),0),IF(Career_History!H7=TRUE,IF(A13&lt;Career_History!D7,0,MIN(A13,Career_History!E7)-Career_History!D7+1),0))/365.2425</f>
        <v>37.418975064511933</v>
      </c>
      <c r="H13" s="9">
        <f>SUM(IF(Career_History!G8=TRUE,IF(A13&lt;Career_History!D8,0,MIN(A13,Career_History!E8)-Career_History!D8+1),0),IF(Career_History!G9=TRUE,IF(A13&lt;Career_History!D9,0,MIN(A13,Career_History!E9)-Career_History!D9+1),0))/365.2425</f>
        <v>35.17115341177437</v>
      </c>
      <c r="I13" s="9">
        <f>SUM(IF(Career_History!I8=TRUE,IF(A13&lt;Career_History!D8,0,MIN(A13,Career_History!E8)-Career_History!D8+1),0),IF(Career_History!I9=TRUE,IF(A13&lt;Career_History!D9,0,MIN(A13,Career_History!E9)-Career_History!D9+1),0))/365.2425</f>
        <v>0</v>
      </c>
      <c r="J13" s="9">
        <f>SUM(IF(Career_History!H8=TRUE,IF(A13&lt;Career_History!D8,0,MIN(A13,Career_History!E8)-Career_History!D8+1),0),IF(Career_History!H9=TRUE,IF(A13&lt;Career_History!D9,0,MIN(A13,Career_History!E9)-Career_History!D9+1),0))/365.2425</f>
        <v>35.17115341177437</v>
      </c>
      <c r="K13" s="9">
        <f>SUM(IF(Career_History!G10=TRUE,IF(A13&lt;Career_History!D10,0,MIN(A13,Career_History!E10)-Career_History!D10+1),0),IF(Career_History!G11=TRUE,IF(A13&lt;Career_History!D11,0,MIN(A13,Career_History!E11)-Career_History!D11+1),0))/365.2425</f>
        <v>28.173063101911744</v>
      </c>
      <c r="L13" s="9">
        <f>SUM(IF(Career_History!I10=TRUE,IF(A13&lt;Career_History!D10,0,MIN(A13,Career_History!E10)-Career_History!D10+1),0),IF(Career_History!I11=TRUE,IF(A13&lt;Career_History!D11,0,MIN(A13,Career_History!E11)-Career_History!D11+1),0))/365.2425</f>
        <v>26.505677734655741</v>
      </c>
      <c r="M13" s="9">
        <f>SUM(IF(Career_History!H10=TRUE,IF(A13&lt;Career_History!D10,0,MIN(A13,Career_History!E10)-Career_History!D10+1),0),IF(Career_History!H11=TRUE,IF(A13&lt;Career_History!D11,0,MIN(A13,Career_History!E11)-Career_History!D11+1),0))/365.2425</f>
        <v>28.173063101911744</v>
      </c>
      <c r="N13" s="9">
        <f>SUM(IF(Career_History!G12=TRUE,IF(A13&lt;Career_History!D12,0,MIN(A13,Career_History!E12)-Career_History!D12+1),0),IF(Career_History!G13=TRUE,IF(A13&lt;Career_History!D13,0,MIN(A13,Career_History!E13)-Career_History!D13+1),0))/365.2425</f>
        <v>24.4193925953305</v>
      </c>
      <c r="O13" s="9">
        <f>SUM(IF(Career_History!I12=TRUE,IF(A13&lt;Career_History!D12,0,MIN(A13,Career_History!E12)-Career_History!D12+1),0),IF(Career_History!I13=TRUE,IF(A13&lt;Career_History!D13,0,MIN(A13,Career_History!E13)-Career_History!D13+1),0))/365.2425</f>
        <v>0</v>
      </c>
      <c r="P13" s="9">
        <f>SUM(IF(Career_History!H12=TRUE,IF(A13&lt;Career_History!D12,0,MIN(A13,Career_History!E12)-Career_History!D12+1),0),IF(Career_History!H13=TRUE,IF(A13&lt;Career_History!D13,0,MIN(A13,Career_History!E13)-Career_History!D13+1),0))/365.2425</f>
        <v>0.91446094033416159</v>
      </c>
      <c r="Q13" s="9">
        <f>SUM(IF(Career_History!G14=TRUE,IF(A13&lt;Career_History!D14,0,MIN(A13,Career_History!E14)-Career_History!D14+1),0),IF(Career_History!G15=TRUE,IF(A13&lt;Career_History!D15,0,MIN(A13,Career_History!E15)-Career_History!D15+1),0))/365.2425</f>
        <v>30.171735217013353</v>
      </c>
      <c r="R13" s="9">
        <f>SUM(IF(Career_History!I14=TRUE,IF(A13&lt;Career_History!D14,0,MIN(A13,Career_History!E14)-Career_History!D14+1),0),IF(Career_History!I15=TRUE,IF(A13&lt;Career_History!D15,0,MIN(A13,Career_History!E15)-Career_History!D15+1),0))/365.2425</f>
        <v>0</v>
      </c>
      <c r="S13" s="9">
        <f>SUM(IF(Career_History!H14=TRUE,IF(A13&lt;Career_History!D14,0,MIN(A13,Career_History!E14)-Career_History!D14+1),0),IF(Career_History!H15=TRUE,IF(A13&lt;Career_History!D15,0,MIN(A13,Career_History!E15)-Career_History!D15+1),0))/365.2425</f>
        <v>30.171735217013353</v>
      </c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</row>
    <row r="14" spans="1:67">
      <c r="A14" s="8">
        <v>35064</v>
      </c>
      <c r="B14" s="9">
        <f t="shared" si="0"/>
        <v>31.856095607712682</v>
      </c>
      <c r="C14" s="9">
        <f t="shared" si="1"/>
        <v>5.5010027584413095</v>
      </c>
      <c r="D14" s="9">
        <f t="shared" si="2"/>
        <v>26.45475266432576</v>
      </c>
      <c r="E14" s="9">
        <f>SUM(IF(Career_History!G4=TRUE,IF(A14&lt;Career_History!D4,0,MIN(A14,Career_History!E4)-Career_History!D4+1),0),IF(Career_History!G5=TRUE,IF(A14&lt;Career_History!D5,0,MIN(A14,Career_History!E5)-Career_History!D5+1),0),IF(Career_History!G6=TRUE,IF(A14&lt;Career_History!D6,0,MIN(A14,Career_History!E6)-Career_History!D6+1),0),IF(Career_History!G7=TRUE,IF(A14&lt;Career_History!D7,0,MIN(A14,Career_History!E7)-Career_History!D7+1),0))/365.2425</f>
        <v>41.005633243666878</v>
      </c>
      <c r="F14" s="9">
        <f>SUM(IF(Career_History!I4=TRUE,IF(A14&lt;Career_History!D4,0,MIN(A14,Career_History!E4)-Career_History!D4+1),0),IF(Career_History!I5=TRUE,IF(A14&lt;Career_History!D5,0,MIN(A14,Career_History!E5)-Career_History!D5+1),0),IF(Career_History!I6=TRUE,IF(A14&lt;Career_History!D6,0,MIN(A14,Career_History!E6)-Career_History!D6+1),0),IF(Career_History!I7=TRUE,IF(A14&lt;Career_History!D7,0,MIN(A14,Career_History!E7)-Career_History!D7+1),0))/365.2425</f>
        <v>0.99933605755080523</v>
      </c>
      <c r="G14" s="9">
        <f>SUM(IF(Career_History!H4=TRUE,IF(A14&lt;Career_History!D4,0,MIN(A14,Career_History!E4)-Career_History!D4+1),0),IF(Career_History!H5=TRUE,IF(A14&lt;Career_History!D5,0,MIN(A14,Career_History!E5)-Career_History!D5+1),0),IF(Career_History!H6=TRUE,IF(A14&lt;Career_History!D6,0,MIN(A14,Career_History!E6)-Career_History!D6+1),0),IF(Career_History!H7=TRUE,IF(A14&lt;Career_History!D7,0,MIN(A14,Career_History!E7)-Career_History!D7+1),0))/365.2425</f>
        <v>37.503850181728573</v>
      </c>
      <c r="H14" s="9">
        <f>SUM(IF(Career_History!G8=TRUE,IF(A14&lt;Career_History!D8,0,MIN(A14,Career_History!E8)-Career_History!D8+1),0),IF(Career_History!G9=TRUE,IF(A14&lt;Career_History!D9,0,MIN(A14,Career_History!E9)-Career_History!D9+1),0))/365.2425</f>
        <v>35.25602852899101</v>
      </c>
      <c r="I14" s="9">
        <f>SUM(IF(Career_History!I8=TRUE,IF(A14&lt;Career_History!D8,0,MIN(A14,Career_History!E8)-Career_History!D8+1),0),IF(Career_History!I9=TRUE,IF(A14&lt;Career_History!D9,0,MIN(A14,Career_History!E9)-Career_History!D9+1),0))/365.2425</f>
        <v>0</v>
      </c>
      <c r="J14" s="9">
        <f>SUM(IF(Career_History!H8=TRUE,IF(A14&lt;Career_History!D8,0,MIN(A14,Career_History!E8)-Career_History!D8+1),0),IF(Career_History!H9=TRUE,IF(A14&lt;Career_History!D9,0,MIN(A14,Career_History!E9)-Career_History!D9+1),0))/365.2425</f>
        <v>35.25602852899101</v>
      </c>
      <c r="K14" s="9">
        <f>SUM(IF(Career_History!G10=TRUE,IF(A14&lt;Career_History!D10,0,MIN(A14,Career_History!E10)-Career_History!D10+1),0),IF(Career_History!G11=TRUE,IF(A14&lt;Career_History!D11,0,MIN(A14,Career_History!E11)-Career_History!D11+1),0))/365.2425</f>
        <v>28.257938219128388</v>
      </c>
      <c r="L14" s="9">
        <f>SUM(IF(Career_History!I10=TRUE,IF(A14&lt;Career_History!D10,0,MIN(A14,Career_History!E10)-Career_History!D10+1),0),IF(Career_History!I11=TRUE,IF(A14&lt;Career_History!D11,0,MIN(A14,Career_History!E11)-Career_History!D11+1),0))/365.2425</f>
        <v>26.505677734655741</v>
      </c>
      <c r="M14" s="9">
        <f>SUM(IF(Career_History!H10=TRUE,IF(A14&lt;Career_History!D10,0,MIN(A14,Career_History!E10)-Career_History!D10+1),0),IF(Career_History!H11=TRUE,IF(A14&lt;Career_History!D11,0,MIN(A14,Career_History!E11)-Career_History!D11+1),0))/365.2425</f>
        <v>28.257938219128388</v>
      </c>
      <c r="N14" s="9">
        <f>SUM(IF(Career_History!G12=TRUE,IF(A14&lt;Career_History!D12,0,MIN(A14,Career_History!E12)-Career_History!D12+1),0),IF(Career_History!G13=TRUE,IF(A14&lt;Career_History!D13,0,MIN(A14,Career_History!E13)-Career_History!D13+1),0))/365.2425</f>
        <v>24.504267712547144</v>
      </c>
      <c r="O14" s="9">
        <f>SUM(IF(Career_History!I12=TRUE,IF(A14&lt;Career_History!D12,0,MIN(A14,Career_History!E12)-Career_History!D12+1),0),IF(Career_History!I13=TRUE,IF(A14&lt;Career_History!D13,0,MIN(A14,Career_History!E13)-Career_History!D13+1),0))/365.2425</f>
        <v>0</v>
      </c>
      <c r="P14" s="9">
        <f>SUM(IF(Career_History!H12=TRUE,IF(A14&lt;Career_History!D12,0,MIN(A14,Career_History!E12)-Career_History!D12+1),0),IF(Career_History!H13=TRUE,IF(A14&lt;Career_History!D13,0,MIN(A14,Career_History!E13)-Career_History!D13+1),0))/365.2425</f>
        <v>0.99933605755080523</v>
      </c>
      <c r="Q14" s="9">
        <f>SUM(IF(Career_History!G14=TRUE,IF(A14&lt;Career_History!D14,0,MIN(A14,Career_History!E14)-Career_History!D14+1),0),IF(Career_History!G15=TRUE,IF(A14&lt;Career_History!D15,0,MIN(A14,Career_History!E15)-Career_History!D15+1),0))/365.2425</f>
        <v>30.256610334229997</v>
      </c>
      <c r="R14" s="9">
        <f>SUM(IF(Career_History!I14=TRUE,IF(A14&lt;Career_History!D14,0,MIN(A14,Career_History!E14)-Career_History!D14+1),0),IF(Career_History!I15=TRUE,IF(A14&lt;Career_History!D15,0,MIN(A14,Career_History!E15)-Career_History!D15+1),0))/365.2425</f>
        <v>0</v>
      </c>
      <c r="S14" s="9">
        <f>SUM(IF(Career_History!H14=TRUE,IF(A14&lt;Career_History!D14,0,MIN(A14,Career_History!E14)-Career_History!D14+1),0),IF(Career_History!H15=TRUE,IF(A14&lt;Career_History!D15,0,MIN(A14,Career_History!E15)-Career_History!D15+1),0))/365.2425</f>
        <v>30.256610334229997</v>
      </c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</row>
    <row r="15" spans="1:67">
      <c r="A15" s="8">
        <v>35095</v>
      </c>
      <c r="B15" s="9">
        <f t="shared" si="0"/>
        <v>31.940970724929326</v>
      </c>
      <c r="C15" s="9">
        <f t="shared" si="1"/>
        <v>5.5010027584413095</v>
      </c>
      <c r="D15" s="9">
        <f t="shared" si="2"/>
        <v>26.539627781542396</v>
      </c>
      <c r="E15" s="9">
        <f>SUM(IF(Career_History!G4=TRUE,IF(A15&lt;Career_History!D4,0,MIN(A15,Career_History!E4)-Career_History!D4+1),0),IF(Career_History!G5=TRUE,IF(A15&lt;Career_History!D5,0,MIN(A15,Career_History!E5)-Career_History!D5+1),0),IF(Career_History!G6=TRUE,IF(A15&lt;Career_History!D6,0,MIN(A15,Career_History!E6)-Career_History!D6+1),0),IF(Career_History!G7=TRUE,IF(A15&lt;Career_History!D7,0,MIN(A15,Career_History!E7)-Career_History!D7+1),0))/365.2425</f>
        <v>41.090508360883518</v>
      </c>
      <c r="F15" s="9">
        <f>SUM(IF(Career_History!I4=TRUE,IF(A15&lt;Career_History!D4,0,MIN(A15,Career_History!E4)-Career_History!D4+1),0),IF(Career_History!I5=TRUE,IF(A15&lt;Career_History!D5,0,MIN(A15,Career_History!E5)-Career_History!D5+1),0),IF(Career_History!I6=TRUE,IF(A15&lt;Career_History!D6,0,MIN(A15,Career_History!E6)-Career_History!D6+1),0),IF(Career_History!I7=TRUE,IF(A15&lt;Career_History!D7,0,MIN(A15,Career_History!E7)-Career_History!D7+1),0))/365.2425</f>
        <v>0.99933605755080523</v>
      </c>
      <c r="G15" s="9">
        <f>SUM(IF(Career_History!H4=TRUE,IF(A15&lt;Career_History!D4,0,MIN(A15,Career_History!E4)-Career_History!D4+1),0),IF(Career_History!H5=TRUE,IF(A15&lt;Career_History!D5,0,MIN(A15,Career_History!E5)-Career_History!D5+1),0),IF(Career_History!H6=TRUE,IF(A15&lt;Career_History!D6,0,MIN(A15,Career_History!E6)-Career_History!D6+1),0),IF(Career_History!H7=TRUE,IF(A15&lt;Career_History!D7,0,MIN(A15,Career_History!E7)-Career_History!D7+1),0))/365.2425</f>
        <v>37.588725298945221</v>
      </c>
      <c r="H15" s="9">
        <f>SUM(IF(Career_History!G8=TRUE,IF(A15&lt;Career_History!D8,0,MIN(A15,Career_History!E8)-Career_History!D8+1),0),IF(Career_History!G9=TRUE,IF(A15&lt;Career_History!D9,0,MIN(A15,Career_History!E9)-Career_History!D9+1),0))/365.2425</f>
        <v>35.340903646207657</v>
      </c>
      <c r="I15" s="9">
        <f>SUM(IF(Career_History!I8=TRUE,IF(A15&lt;Career_History!D8,0,MIN(A15,Career_History!E8)-Career_History!D8+1),0),IF(Career_History!I9=TRUE,IF(A15&lt;Career_History!D9,0,MIN(A15,Career_History!E9)-Career_History!D9+1),0))/365.2425</f>
        <v>0</v>
      </c>
      <c r="J15" s="9">
        <f>SUM(IF(Career_History!H8=TRUE,IF(A15&lt;Career_History!D8,0,MIN(A15,Career_History!E8)-Career_History!D8+1),0),IF(Career_History!H9=TRUE,IF(A15&lt;Career_History!D9,0,MIN(A15,Career_History!E9)-Career_History!D9+1),0))/365.2425</f>
        <v>35.340903646207657</v>
      </c>
      <c r="K15" s="9">
        <f>SUM(IF(Career_History!G10=TRUE,IF(A15&lt;Career_History!D10,0,MIN(A15,Career_History!E10)-Career_History!D10+1),0),IF(Career_History!G11=TRUE,IF(A15&lt;Career_History!D11,0,MIN(A15,Career_History!E11)-Career_History!D11+1),0))/365.2425</f>
        <v>28.342813336345031</v>
      </c>
      <c r="L15" s="9">
        <f>SUM(IF(Career_History!I10=TRUE,IF(A15&lt;Career_History!D10,0,MIN(A15,Career_History!E10)-Career_History!D10+1),0),IF(Career_History!I11=TRUE,IF(A15&lt;Career_History!D11,0,MIN(A15,Career_History!E11)-Career_History!D11+1),0))/365.2425</f>
        <v>26.505677734655741</v>
      </c>
      <c r="M15" s="9">
        <f>SUM(IF(Career_History!H10=TRUE,IF(A15&lt;Career_History!D10,0,MIN(A15,Career_History!E10)-Career_History!D10+1),0),IF(Career_History!H11=TRUE,IF(A15&lt;Career_History!D11,0,MIN(A15,Career_History!E11)-Career_History!D11+1),0))/365.2425</f>
        <v>28.342813336345031</v>
      </c>
      <c r="N15" s="9">
        <f>SUM(IF(Career_History!G12=TRUE,IF(A15&lt;Career_History!D12,0,MIN(A15,Career_History!E12)-Career_History!D12+1),0),IF(Career_History!G13=TRUE,IF(A15&lt;Career_History!D13,0,MIN(A15,Career_History!E13)-Career_History!D13+1),0))/365.2425</f>
        <v>24.589142829763787</v>
      </c>
      <c r="O15" s="9">
        <f>SUM(IF(Career_History!I12=TRUE,IF(A15&lt;Career_History!D12,0,MIN(A15,Career_History!E12)-Career_History!D12+1),0),IF(Career_History!I13=TRUE,IF(A15&lt;Career_History!D13,0,MIN(A15,Career_History!E13)-Career_History!D13+1),0))/365.2425</f>
        <v>0</v>
      </c>
      <c r="P15" s="9">
        <f>SUM(IF(Career_History!H12=TRUE,IF(A15&lt;Career_History!D12,0,MIN(A15,Career_History!E12)-Career_History!D12+1),0),IF(Career_History!H13=TRUE,IF(A15&lt;Career_History!D13,0,MIN(A15,Career_History!E13)-Career_History!D13+1),0))/365.2425</f>
        <v>1.084211174767449</v>
      </c>
      <c r="Q15" s="9">
        <f>SUM(IF(Career_History!G14=TRUE,IF(A15&lt;Career_History!D14,0,MIN(A15,Career_History!E14)-Career_History!D14+1),0),IF(Career_History!G15=TRUE,IF(A15&lt;Career_History!D15,0,MIN(A15,Career_History!E15)-Career_History!D15+1),0))/365.2425</f>
        <v>30.341485451446641</v>
      </c>
      <c r="R15" s="9">
        <f>SUM(IF(Career_History!I14=TRUE,IF(A15&lt;Career_History!D14,0,MIN(A15,Career_History!E14)-Career_History!D14+1),0),IF(Career_History!I15=TRUE,IF(A15&lt;Career_History!D15,0,MIN(A15,Career_History!E15)-Career_History!D15+1),0))/365.2425</f>
        <v>0</v>
      </c>
      <c r="S15" s="9">
        <f>SUM(IF(Career_History!H14=TRUE,IF(A15&lt;Career_History!D14,0,MIN(A15,Career_History!E14)-Career_History!D14+1),0),IF(Career_History!H15=TRUE,IF(A15&lt;Career_History!D15,0,MIN(A15,Career_History!E15)-Career_History!D15+1),0))/365.2425</f>
        <v>30.341485451446641</v>
      </c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</row>
    <row r="16" spans="1:67">
      <c r="A16" s="8">
        <v>35124</v>
      </c>
      <c r="B16" s="9">
        <f t="shared" si="0"/>
        <v>32.020370028131993</v>
      </c>
      <c r="C16" s="9">
        <f t="shared" si="1"/>
        <v>5.5010027584413095</v>
      </c>
      <c r="D16" s="9">
        <f t="shared" si="2"/>
        <v>26.619027084745063</v>
      </c>
      <c r="E16" s="9">
        <f>SUM(IF(Career_History!G4=TRUE,IF(A16&lt;Career_History!D4,0,MIN(A16,Career_History!E4)-Career_History!D4+1),0),IF(Career_History!G5=TRUE,IF(A16&lt;Career_History!D5,0,MIN(A16,Career_History!E5)-Career_History!D5+1),0),IF(Career_History!G6=TRUE,IF(A16&lt;Career_History!D6,0,MIN(A16,Career_History!E6)-Career_History!D6+1),0),IF(Career_History!G7=TRUE,IF(A16&lt;Career_History!D7,0,MIN(A16,Career_History!E7)-Career_History!D7+1),0))/365.2425</f>
        <v>41.169907664086189</v>
      </c>
      <c r="F16" s="9">
        <f>SUM(IF(Career_History!I4=TRUE,IF(A16&lt;Career_History!D4,0,MIN(A16,Career_History!E4)-Career_History!D4+1),0),IF(Career_History!I5=TRUE,IF(A16&lt;Career_History!D5,0,MIN(A16,Career_History!E5)-Career_History!D5+1),0),IF(Career_History!I6=TRUE,IF(A16&lt;Career_History!D6,0,MIN(A16,Career_History!E6)-Career_History!D6+1),0),IF(Career_History!I7=TRUE,IF(A16&lt;Career_History!D7,0,MIN(A16,Career_History!E7)-Career_History!D7+1),0))/365.2425</f>
        <v>0.99933605755080523</v>
      </c>
      <c r="G16" s="9">
        <f>SUM(IF(Career_History!H4=TRUE,IF(A16&lt;Career_History!D4,0,MIN(A16,Career_History!E4)-Career_History!D4+1),0),IF(Career_History!H5=TRUE,IF(A16&lt;Career_History!D5,0,MIN(A16,Career_History!E5)-Career_History!D5+1),0),IF(Career_History!H6=TRUE,IF(A16&lt;Career_History!D6,0,MIN(A16,Career_History!E6)-Career_History!D6+1),0),IF(Career_History!H7=TRUE,IF(A16&lt;Career_History!D7,0,MIN(A16,Career_History!E7)-Career_History!D7+1),0))/365.2425</f>
        <v>37.668124602147884</v>
      </c>
      <c r="H16" s="9">
        <f>SUM(IF(Career_History!G8=TRUE,IF(A16&lt;Career_History!D8,0,MIN(A16,Career_History!E8)-Career_History!D8+1),0),IF(Career_History!G9=TRUE,IF(A16&lt;Career_History!D9,0,MIN(A16,Career_History!E9)-Career_History!D9+1),0))/365.2425</f>
        <v>35.420302949410321</v>
      </c>
      <c r="I16" s="9">
        <f>SUM(IF(Career_History!I8=TRUE,IF(A16&lt;Career_History!D8,0,MIN(A16,Career_History!E8)-Career_History!D8+1),0),IF(Career_History!I9=TRUE,IF(A16&lt;Career_History!D9,0,MIN(A16,Career_History!E9)-Career_History!D9+1),0))/365.2425</f>
        <v>0</v>
      </c>
      <c r="J16" s="9">
        <f>SUM(IF(Career_History!H8=TRUE,IF(A16&lt;Career_History!D8,0,MIN(A16,Career_History!E8)-Career_History!D8+1),0),IF(Career_History!H9=TRUE,IF(A16&lt;Career_History!D9,0,MIN(A16,Career_History!E9)-Career_History!D9+1),0))/365.2425</f>
        <v>35.420302949410321</v>
      </c>
      <c r="K16" s="9">
        <f>SUM(IF(Career_History!G10=TRUE,IF(A16&lt;Career_History!D10,0,MIN(A16,Career_History!E10)-Career_History!D10+1),0),IF(Career_History!G11=TRUE,IF(A16&lt;Career_History!D11,0,MIN(A16,Career_History!E11)-Career_History!D11+1),0))/365.2425</f>
        <v>28.422212639547698</v>
      </c>
      <c r="L16" s="9">
        <f>SUM(IF(Career_History!I10=TRUE,IF(A16&lt;Career_History!D10,0,MIN(A16,Career_History!E10)-Career_History!D10+1),0),IF(Career_History!I11=TRUE,IF(A16&lt;Career_History!D11,0,MIN(A16,Career_History!E11)-Career_History!D11+1),0))/365.2425</f>
        <v>26.505677734655741</v>
      </c>
      <c r="M16" s="9">
        <f>SUM(IF(Career_History!H10=TRUE,IF(A16&lt;Career_History!D10,0,MIN(A16,Career_History!E10)-Career_History!D10+1),0),IF(Career_History!H11=TRUE,IF(A16&lt;Career_History!D11,0,MIN(A16,Career_History!E11)-Career_History!D11+1),0))/365.2425</f>
        <v>28.422212639547698</v>
      </c>
      <c r="N16" s="9">
        <f>SUM(IF(Career_History!G12=TRUE,IF(A16&lt;Career_History!D12,0,MIN(A16,Career_History!E12)-Career_History!D12+1),0),IF(Career_History!G13=TRUE,IF(A16&lt;Career_History!D13,0,MIN(A16,Career_History!E13)-Career_History!D13+1),0))/365.2425</f>
        <v>24.668542132966454</v>
      </c>
      <c r="O16" s="9">
        <f>SUM(IF(Career_History!I12=TRUE,IF(A16&lt;Career_History!D12,0,MIN(A16,Career_History!E12)-Career_History!D12+1),0),IF(Career_History!I13=TRUE,IF(A16&lt;Career_History!D13,0,MIN(A16,Career_History!E13)-Career_History!D13+1),0))/365.2425</f>
        <v>0</v>
      </c>
      <c r="P16" s="9">
        <f>SUM(IF(Career_History!H12=TRUE,IF(A16&lt;Career_History!D12,0,MIN(A16,Career_History!E12)-Career_History!D12+1),0),IF(Career_History!H13=TRUE,IF(A16&lt;Career_History!D13,0,MIN(A16,Career_History!E13)-Career_History!D13+1),0))/365.2425</f>
        <v>1.1636104779701157</v>
      </c>
      <c r="Q16" s="9">
        <f>SUM(IF(Career_History!G14=TRUE,IF(A16&lt;Career_History!D14,0,MIN(A16,Career_History!E14)-Career_History!D14+1),0),IF(Career_History!G15=TRUE,IF(A16&lt;Career_History!D15,0,MIN(A16,Career_History!E15)-Career_History!D15+1),0))/365.2425</f>
        <v>30.420884754649308</v>
      </c>
      <c r="R16" s="9">
        <f>SUM(IF(Career_History!I14=TRUE,IF(A16&lt;Career_History!D14,0,MIN(A16,Career_History!E14)-Career_History!D14+1),0),IF(Career_History!I15=TRUE,IF(A16&lt;Career_History!D15,0,MIN(A16,Career_History!E15)-Career_History!D15+1),0))/365.2425</f>
        <v>0</v>
      </c>
      <c r="S16" s="9">
        <f>SUM(IF(Career_History!H14=TRUE,IF(A16&lt;Career_History!D14,0,MIN(A16,Career_History!E14)-Career_History!D14+1),0),IF(Career_History!H15=TRUE,IF(A16&lt;Career_History!D15,0,MIN(A16,Career_History!E15)-Career_History!D15+1),0))/365.2425</f>
        <v>30.420884754649308</v>
      </c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</row>
    <row r="17" spans="1:67">
      <c r="A17" s="8">
        <v>35155</v>
      </c>
      <c r="B17" s="9">
        <f t="shared" si="0"/>
        <v>32.10524514534864</v>
      </c>
      <c r="C17" s="9">
        <f t="shared" si="1"/>
        <v>5.5010027584413095</v>
      </c>
      <c r="D17" s="9">
        <f t="shared" si="2"/>
        <v>26.703902201961718</v>
      </c>
      <c r="E17" s="9">
        <f>SUM(IF(Career_History!G4=TRUE,IF(A17&lt;Career_History!D4,0,MIN(A17,Career_History!E4)-Career_History!D4+1),0),IF(Career_History!G5=TRUE,IF(A17&lt;Career_History!D5,0,MIN(A17,Career_History!E5)-Career_History!D5+1),0),IF(Career_History!G6=TRUE,IF(A17&lt;Career_History!D6,0,MIN(A17,Career_History!E6)-Career_History!D6+1),0),IF(Career_History!G7=TRUE,IF(A17&lt;Career_History!D7,0,MIN(A17,Career_History!E7)-Career_History!D7+1),0))/365.2425</f>
        <v>41.254782781302829</v>
      </c>
      <c r="F17" s="9">
        <f>SUM(IF(Career_History!I4=TRUE,IF(A17&lt;Career_History!D4,0,MIN(A17,Career_History!E4)-Career_History!D4+1),0),IF(Career_History!I5=TRUE,IF(A17&lt;Career_History!D5,0,MIN(A17,Career_History!E5)-Career_History!D5+1),0),IF(Career_History!I6=TRUE,IF(A17&lt;Career_History!D6,0,MIN(A17,Career_History!E6)-Career_History!D6+1),0),IF(Career_History!I7=TRUE,IF(A17&lt;Career_History!D7,0,MIN(A17,Career_History!E7)-Career_History!D7+1),0))/365.2425</f>
        <v>0.99933605755080523</v>
      </c>
      <c r="G17" s="9">
        <f>SUM(IF(Career_History!H4=TRUE,IF(A17&lt;Career_History!D4,0,MIN(A17,Career_History!E4)-Career_History!D4+1),0),IF(Career_History!H5=TRUE,IF(A17&lt;Career_History!D5,0,MIN(A17,Career_History!E5)-Career_History!D5+1),0),IF(Career_History!H6=TRUE,IF(A17&lt;Career_History!D6,0,MIN(A17,Career_History!E6)-Career_History!D6+1),0),IF(Career_History!H7=TRUE,IF(A17&lt;Career_History!D7,0,MIN(A17,Career_History!E7)-Career_History!D7+1),0))/365.2425</f>
        <v>37.752999719364531</v>
      </c>
      <c r="H17" s="9">
        <f>SUM(IF(Career_History!G8=TRUE,IF(A17&lt;Career_History!D8,0,MIN(A17,Career_History!E8)-Career_History!D8+1),0),IF(Career_History!G9=TRUE,IF(A17&lt;Career_History!D9,0,MIN(A17,Career_History!E9)-Career_History!D9+1),0))/365.2425</f>
        <v>35.505178066626968</v>
      </c>
      <c r="I17" s="9">
        <f>SUM(IF(Career_History!I8=TRUE,IF(A17&lt;Career_History!D8,0,MIN(A17,Career_History!E8)-Career_History!D8+1),0),IF(Career_History!I9=TRUE,IF(A17&lt;Career_History!D9,0,MIN(A17,Career_History!E9)-Career_History!D9+1),0))/365.2425</f>
        <v>0</v>
      </c>
      <c r="J17" s="9">
        <f>SUM(IF(Career_History!H8=TRUE,IF(A17&lt;Career_History!D8,0,MIN(A17,Career_History!E8)-Career_History!D8+1),0),IF(Career_History!H9=TRUE,IF(A17&lt;Career_History!D9,0,MIN(A17,Career_History!E9)-Career_History!D9+1),0))/365.2425</f>
        <v>35.505178066626968</v>
      </c>
      <c r="K17" s="9">
        <f>SUM(IF(Career_History!G10=TRUE,IF(A17&lt;Career_History!D10,0,MIN(A17,Career_History!E10)-Career_History!D10+1),0),IF(Career_History!G11=TRUE,IF(A17&lt;Career_History!D11,0,MIN(A17,Career_History!E11)-Career_History!D11+1),0))/365.2425</f>
        <v>28.507087756764342</v>
      </c>
      <c r="L17" s="9">
        <f>SUM(IF(Career_History!I10=TRUE,IF(A17&lt;Career_History!D10,0,MIN(A17,Career_History!E10)-Career_History!D10+1),0),IF(Career_History!I11=TRUE,IF(A17&lt;Career_History!D11,0,MIN(A17,Career_History!E11)-Career_History!D11+1),0))/365.2425</f>
        <v>26.505677734655741</v>
      </c>
      <c r="M17" s="9">
        <f>SUM(IF(Career_History!H10=TRUE,IF(A17&lt;Career_History!D10,0,MIN(A17,Career_History!E10)-Career_History!D10+1),0),IF(Career_History!H11=TRUE,IF(A17&lt;Career_History!D11,0,MIN(A17,Career_History!E11)-Career_History!D11+1),0))/365.2425</f>
        <v>28.507087756764342</v>
      </c>
      <c r="N17" s="9">
        <f>SUM(IF(Career_History!G12=TRUE,IF(A17&lt;Career_History!D12,0,MIN(A17,Career_History!E12)-Career_History!D12+1),0),IF(Career_History!G13=TRUE,IF(A17&lt;Career_History!D13,0,MIN(A17,Career_History!E13)-Career_History!D13+1),0))/365.2425</f>
        <v>24.753417250183098</v>
      </c>
      <c r="O17" s="9">
        <f>SUM(IF(Career_History!I12=TRUE,IF(A17&lt;Career_History!D12,0,MIN(A17,Career_History!E12)-Career_History!D12+1),0),IF(Career_History!I13=TRUE,IF(A17&lt;Career_History!D13,0,MIN(A17,Career_History!E13)-Career_History!D13+1),0))/365.2425</f>
        <v>0</v>
      </c>
      <c r="P17" s="9">
        <f>SUM(IF(Career_History!H12=TRUE,IF(A17&lt;Career_History!D12,0,MIN(A17,Career_History!E12)-Career_History!D12+1),0),IF(Career_History!H13=TRUE,IF(A17&lt;Career_History!D13,0,MIN(A17,Career_History!E13)-Career_History!D13+1),0))/365.2425</f>
        <v>1.2484855951867595</v>
      </c>
      <c r="Q17" s="9">
        <f>SUM(IF(Career_History!G14=TRUE,IF(A17&lt;Career_History!D14,0,MIN(A17,Career_History!E14)-Career_History!D14+1),0),IF(Career_History!G15=TRUE,IF(A17&lt;Career_History!D15,0,MIN(A17,Career_History!E15)-Career_History!D15+1),0))/365.2425</f>
        <v>30.505759871865951</v>
      </c>
      <c r="R17" s="9">
        <f>SUM(IF(Career_History!I14=TRUE,IF(A17&lt;Career_History!D14,0,MIN(A17,Career_History!E14)-Career_History!D14+1),0),IF(Career_History!I15=TRUE,IF(A17&lt;Career_History!D15,0,MIN(A17,Career_History!E15)-Career_History!D15+1),0))/365.2425</f>
        <v>0</v>
      </c>
      <c r="S17" s="9">
        <f>SUM(IF(Career_History!H14=TRUE,IF(A17&lt;Career_History!D14,0,MIN(A17,Career_History!E14)-Career_History!D14+1),0),IF(Career_History!H15=TRUE,IF(A17&lt;Career_History!D15,0,MIN(A17,Career_History!E15)-Career_History!D15+1),0))/365.2425</f>
        <v>30.505759871865951</v>
      </c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</row>
    <row r="18" spans="1:67">
      <c r="A18" s="8">
        <v>35185</v>
      </c>
      <c r="B18" s="9">
        <f t="shared" si="0"/>
        <v>32.187382355558292</v>
      </c>
      <c r="C18" s="9">
        <f t="shared" si="1"/>
        <v>5.5010027584413095</v>
      </c>
      <c r="D18" s="9">
        <f t="shared" si="2"/>
        <v>26.78603941217137</v>
      </c>
      <c r="E18" s="9">
        <f>SUM(IF(Career_History!G4=TRUE,IF(A18&lt;Career_History!D4,0,MIN(A18,Career_History!E4)-Career_History!D4+1),0),IF(Career_History!G5=TRUE,IF(A18&lt;Career_History!D5,0,MIN(A18,Career_History!E5)-Career_History!D5+1),0),IF(Career_History!G6=TRUE,IF(A18&lt;Career_History!D6,0,MIN(A18,Career_History!E6)-Career_History!D6+1),0),IF(Career_History!G7=TRUE,IF(A18&lt;Career_History!D7,0,MIN(A18,Career_History!E7)-Career_History!D7+1),0))/365.2425</f>
        <v>41.336919991512488</v>
      </c>
      <c r="F18" s="9">
        <f>SUM(IF(Career_History!I4=TRUE,IF(A18&lt;Career_History!D4,0,MIN(A18,Career_History!E4)-Career_History!D4+1),0),IF(Career_History!I5=TRUE,IF(A18&lt;Career_History!D5,0,MIN(A18,Career_History!E5)-Career_History!D5+1),0),IF(Career_History!I6=TRUE,IF(A18&lt;Career_History!D6,0,MIN(A18,Career_History!E6)-Career_History!D6+1),0),IF(Career_History!I7=TRUE,IF(A18&lt;Career_History!D7,0,MIN(A18,Career_History!E7)-Career_History!D7+1),0))/365.2425</f>
        <v>0.99933605755080523</v>
      </c>
      <c r="G18" s="9">
        <f>SUM(IF(Career_History!H4=TRUE,IF(A18&lt;Career_History!D4,0,MIN(A18,Career_History!E4)-Career_History!D4+1),0),IF(Career_History!H5=TRUE,IF(A18&lt;Career_History!D5,0,MIN(A18,Career_History!E5)-Career_History!D5+1),0),IF(Career_History!H6=TRUE,IF(A18&lt;Career_History!D6,0,MIN(A18,Career_History!E6)-Career_History!D6+1),0),IF(Career_History!H7=TRUE,IF(A18&lt;Career_History!D7,0,MIN(A18,Career_History!E7)-Career_History!D7+1),0))/365.2425</f>
        <v>37.835136929574183</v>
      </c>
      <c r="H18" s="9">
        <f>SUM(IF(Career_History!G8=TRUE,IF(A18&lt;Career_History!D8,0,MIN(A18,Career_History!E8)-Career_History!D8+1),0),IF(Career_History!G9=TRUE,IF(A18&lt;Career_History!D9,0,MIN(A18,Career_History!E9)-Career_History!D9+1),0))/365.2425</f>
        <v>35.58731527683662</v>
      </c>
      <c r="I18" s="9">
        <f>SUM(IF(Career_History!I8=TRUE,IF(A18&lt;Career_History!D8,0,MIN(A18,Career_History!E8)-Career_History!D8+1),0),IF(Career_History!I9=TRUE,IF(A18&lt;Career_History!D9,0,MIN(A18,Career_History!E9)-Career_History!D9+1),0))/365.2425</f>
        <v>0</v>
      </c>
      <c r="J18" s="9">
        <f>SUM(IF(Career_History!H8=TRUE,IF(A18&lt;Career_History!D8,0,MIN(A18,Career_History!E8)-Career_History!D8+1),0),IF(Career_History!H9=TRUE,IF(A18&lt;Career_History!D9,0,MIN(A18,Career_History!E9)-Career_History!D9+1),0))/365.2425</f>
        <v>35.58731527683662</v>
      </c>
      <c r="K18" s="9">
        <f>SUM(IF(Career_History!G10=TRUE,IF(A18&lt;Career_History!D10,0,MIN(A18,Career_History!E10)-Career_History!D10+1),0),IF(Career_History!G11=TRUE,IF(A18&lt;Career_History!D11,0,MIN(A18,Career_History!E11)-Career_History!D11+1),0))/365.2425</f>
        <v>28.589224966973998</v>
      </c>
      <c r="L18" s="9">
        <f>SUM(IF(Career_History!I10=TRUE,IF(A18&lt;Career_History!D10,0,MIN(A18,Career_History!E10)-Career_History!D10+1),0),IF(Career_History!I11=TRUE,IF(A18&lt;Career_History!D11,0,MIN(A18,Career_History!E11)-Career_History!D11+1),0))/365.2425</f>
        <v>26.505677734655741</v>
      </c>
      <c r="M18" s="9">
        <f>SUM(IF(Career_History!H10=TRUE,IF(A18&lt;Career_History!D10,0,MIN(A18,Career_History!E10)-Career_History!D10+1),0),IF(Career_History!H11=TRUE,IF(A18&lt;Career_History!D11,0,MIN(A18,Career_History!E11)-Career_History!D11+1),0))/365.2425</f>
        <v>28.589224966973998</v>
      </c>
      <c r="N18" s="9">
        <f>SUM(IF(Career_History!G12=TRUE,IF(A18&lt;Career_History!D12,0,MIN(A18,Career_History!E12)-Career_History!D12+1),0),IF(Career_History!G13=TRUE,IF(A18&lt;Career_History!D13,0,MIN(A18,Career_History!E13)-Career_History!D13+1),0))/365.2425</f>
        <v>24.835554460392753</v>
      </c>
      <c r="O18" s="9">
        <f>SUM(IF(Career_History!I12=TRUE,IF(A18&lt;Career_History!D12,0,MIN(A18,Career_History!E12)-Career_History!D12+1),0),IF(Career_History!I13=TRUE,IF(A18&lt;Career_History!D13,0,MIN(A18,Career_History!E13)-Career_History!D13+1),0))/365.2425</f>
        <v>0</v>
      </c>
      <c r="P18" s="9">
        <f>SUM(IF(Career_History!H12=TRUE,IF(A18&lt;Career_History!D12,0,MIN(A18,Career_History!E12)-Career_History!D12+1),0),IF(Career_History!H13=TRUE,IF(A18&lt;Career_History!D13,0,MIN(A18,Career_History!E13)-Career_History!D13+1),0))/365.2425</f>
        <v>1.3306228053964146</v>
      </c>
      <c r="Q18" s="9">
        <f>SUM(IF(Career_History!G14=TRUE,IF(A18&lt;Career_History!D14,0,MIN(A18,Career_History!E14)-Career_History!D14+1),0),IF(Career_History!G15=TRUE,IF(A18&lt;Career_History!D15,0,MIN(A18,Career_History!E15)-Career_History!D15+1),0))/365.2425</f>
        <v>30.587897082075607</v>
      </c>
      <c r="R18" s="9">
        <f>SUM(IF(Career_History!I14=TRUE,IF(A18&lt;Career_History!D14,0,MIN(A18,Career_History!E14)-Career_History!D14+1),0),IF(Career_History!I15=TRUE,IF(A18&lt;Career_History!D15,0,MIN(A18,Career_History!E15)-Career_History!D15+1),0))/365.2425</f>
        <v>0</v>
      </c>
      <c r="S18" s="9">
        <f>SUM(IF(Career_History!H14=TRUE,IF(A18&lt;Career_History!D14,0,MIN(A18,Career_History!E14)-Career_History!D14+1),0),IF(Career_History!H15=TRUE,IF(A18&lt;Career_History!D15,0,MIN(A18,Career_History!E15)-Career_History!D15+1),0))/365.2425</f>
        <v>30.587897082075607</v>
      </c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</row>
    <row r="19" spans="1:67">
      <c r="A19" s="8">
        <v>35216</v>
      </c>
      <c r="B19" s="9">
        <f t="shared" si="0"/>
        <v>32.272257472774939</v>
      </c>
      <c r="C19" s="9">
        <f t="shared" si="1"/>
        <v>5.5010027584413095</v>
      </c>
      <c r="D19" s="9">
        <f t="shared" si="2"/>
        <v>26.870914529388006</v>
      </c>
      <c r="E19" s="9">
        <f>SUM(IF(Career_History!G4=TRUE,IF(A19&lt;Career_History!D4,0,MIN(A19,Career_History!E4)-Career_History!D4+1),0),IF(Career_History!G5=TRUE,IF(A19&lt;Career_History!D5,0,MIN(A19,Career_History!E5)-Career_History!D5+1),0),IF(Career_History!G6=TRUE,IF(A19&lt;Career_History!D6,0,MIN(A19,Career_History!E6)-Career_History!D6+1),0),IF(Career_History!G7=TRUE,IF(A19&lt;Career_History!D7,0,MIN(A19,Career_History!E7)-Career_History!D7+1),0))/365.2425</f>
        <v>41.421795108729128</v>
      </c>
      <c r="F19" s="9">
        <f>SUM(IF(Career_History!I4=TRUE,IF(A19&lt;Career_History!D4,0,MIN(A19,Career_History!E4)-Career_History!D4+1),0),IF(Career_History!I5=TRUE,IF(A19&lt;Career_History!D5,0,MIN(A19,Career_History!E5)-Career_History!D5+1),0),IF(Career_History!I6=TRUE,IF(A19&lt;Career_History!D6,0,MIN(A19,Career_History!E6)-Career_History!D6+1),0),IF(Career_History!I7=TRUE,IF(A19&lt;Career_History!D7,0,MIN(A19,Career_History!E7)-Career_History!D7+1),0))/365.2425</f>
        <v>0.99933605755080523</v>
      </c>
      <c r="G19" s="9">
        <f>SUM(IF(Career_History!H4=TRUE,IF(A19&lt;Career_History!D4,0,MIN(A19,Career_History!E4)-Career_History!D4+1),0),IF(Career_History!H5=TRUE,IF(A19&lt;Career_History!D5,0,MIN(A19,Career_History!E5)-Career_History!D5+1),0),IF(Career_History!H6=TRUE,IF(A19&lt;Career_History!D6,0,MIN(A19,Career_History!E6)-Career_History!D6+1),0),IF(Career_History!H7=TRUE,IF(A19&lt;Career_History!D7,0,MIN(A19,Career_History!E7)-Career_History!D7+1),0))/365.2425</f>
        <v>37.920012046790831</v>
      </c>
      <c r="H19" s="9">
        <f>SUM(IF(Career_History!G8=TRUE,IF(A19&lt;Career_History!D8,0,MIN(A19,Career_History!E8)-Career_History!D8+1),0),IF(Career_History!G9=TRUE,IF(A19&lt;Career_History!D9,0,MIN(A19,Career_History!E9)-Career_History!D9+1),0))/365.2425</f>
        <v>35.672190394053267</v>
      </c>
      <c r="I19" s="9">
        <f>SUM(IF(Career_History!I8=TRUE,IF(A19&lt;Career_History!D8,0,MIN(A19,Career_History!E8)-Career_History!D8+1),0),IF(Career_History!I9=TRUE,IF(A19&lt;Career_History!D9,0,MIN(A19,Career_History!E9)-Career_History!D9+1),0))/365.2425</f>
        <v>0</v>
      </c>
      <c r="J19" s="9">
        <f>SUM(IF(Career_History!H8=TRUE,IF(A19&lt;Career_History!D8,0,MIN(A19,Career_History!E8)-Career_History!D8+1),0),IF(Career_History!H9=TRUE,IF(A19&lt;Career_History!D9,0,MIN(A19,Career_History!E9)-Career_History!D9+1),0))/365.2425</f>
        <v>35.672190394053267</v>
      </c>
      <c r="K19" s="9">
        <f>SUM(IF(Career_History!G10=TRUE,IF(A19&lt;Career_History!D10,0,MIN(A19,Career_History!E10)-Career_History!D10+1),0),IF(Career_History!G11=TRUE,IF(A19&lt;Career_History!D11,0,MIN(A19,Career_History!E11)-Career_History!D11+1),0))/365.2425</f>
        <v>28.674100084190641</v>
      </c>
      <c r="L19" s="9">
        <f>SUM(IF(Career_History!I10=TRUE,IF(A19&lt;Career_History!D10,0,MIN(A19,Career_History!E10)-Career_History!D10+1),0),IF(Career_History!I11=TRUE,IF(A19&lt;Career_History!D11,0,MIN(A19,Career_History!E11)-Career_History!D11+1),0))/365.2425</f>
        <v>26.505677734655741</v>
      </c>
      <c r="M19" s="9">
        <f>SUM(IF(Career_History!H10=TRUE,IF(A19&lt;Career_History!D10,0,MIN(A19,Career_History!E10)-Career_History!D10+1),0),IF(Career_History!H11=TRUE,IF(A19&lt;Career_History!D11,0,MIN(A19,Career_History!E11)-Career_History!D11+1),0))/365.2425</f>
        <v>28.674100084190641</v>
      </c>
      <c r="N19" s="9">
        <f>SUM(IF(Career_History!G12=TRUE,IF(A19&lt;Career_History!D12,0,MIN(A19,Career_History!E12)-Career_History!D12+1),0),IF(Career_History!G13=TRUE,IF(A19&lt;Career_History!D13,0,MIN(A19,Career_History!E13)-Career_History!D13+1),0))/365.2425</f>
        <v>24.920429577609397</v>
      </c>
      <c r="O19" s="9">
        <f>SUM(IF(Career_History!I12=TRUE,IF(A19&lt;Career_History!D12,0,MIN(A19,Career_History!E12)-Career_History!D12+1),0),IF(Career_History!I13=TRUE,IF(A19&lt;Career_History!D13,0,MIN(A19,Career_History!E13)-Career_History!D13+1),0))/365.2425</f>
        <v>0</v>
      </c>
      <c r="P19" s="9">
        <f>SUM(IF(Career_History!H12=TRUE,IF(A19&lt;Career_History!D12,0,MIN(A19,Career_History!E12)-Career_History!D12+1),0),IF(Career_History!H13=TRUE,IF(A19&lt;Career_History!D13,0,MIN(A19,Career_History!E13)-Career_History!D13+1),0))/365.2425</f>
        <v>1.4154979226130584</v>
      </c>
      <c r="Q19" s="9">
        <f>SUM(IF(Career_History!G14=TRUE,IF(A19&lt;Career_History!D14,0,MIN(A19,Career_History!E14)-Career_History!D14+1),0),IF(Career_History!G15=TRUE,IF(A19&lt;Career_History!D15,0,MIN(A19,Career_History!E15)-Career_History!D15+1),0))/365.2425</f>
        <v>30.67277219929225</v>
      </c>
      <c r="R19" s="9">
        <f>SUM(IF(Career_History!I14=TRUE,IF(A19&lt;Career_History!D14,0,MIN(A19,Career_History!E14)-Career_History!D14+1),0),IF(Career_History!I15=TRUE,IF(A19&lt;Career_History!D15,0,MIN(A19,Career_History!E15)-Career_History!D15+1),0))/365.2425</f>
        <v>0</v>
      </c>
      <c r="S19" s="9">
        <f>SUM(IF(Career_History!H14=TRUE,IF(A19&lt;Career_History!D14,0,MIN(A19,Career_History!E14)-Career_History!D14+1),0),IF(Career_History!H15=TRUE,IF(A19&lt;Career_History!D15,0,MIN(A19,Career_History!E15)-Career_History!D15+1),0))/365.2425</f>
        <v>30.67277219929225</v>
      </c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</row>
    <row r="20" spans="1:67">
      <c r="A20" s="8">
        <v>35246</v>
      </c>
      <c r="B20" s="9">
        <f t="shared" si="0"/>
        <v>32.354394682984591</v>
      </c>
      <c r="C20" s="9">
        <f t="shared" si="1"/>
        <v>5.5010027584413095</v>
      </c>
      <c r="D20" s="9">
        <f t="shared" si="2"/>
        <v>26.953051739597662</v>
      </c>
      <c r="E20" s="9">
        <f>SUM(IF(Career_History!G4=TRUE,IF(A20&lt;Career_History!D4,0,MIN(A20,Career_History!E4)-Career_History!D4+1),0),IF(Career_History!G5=TRUE,IF(A20&lt;Career_History!D5,0,MIN(A20,Career_History!E5)-Career_History!D5+1),0),IF(Career_History!G6=TRUE,IF(A20&lt;Career_History!D6,0,MIN(A20,Career_History!E6)-Career_History!D6+1),0),IF(Career_History!G7=TRUE,IF(A20&lt;Career_History!D7,0,MIN(A20,Career_History!E7)-Career_History!D7+1),0))/365.2425</f>
        <v>41.503932318938787</v>
      </c>
      <c r="F20" s="9">
        <f>SUM(IF(Career_History!I4=TRUE,IF(A20&lt;Career_History!D4,0,MIN(A20,Career_History!E4)-Career_History!D4+1),0),IF(Career_History!I5=TRUE,IF(A20&lt;Career_History!D5,0,MIN(A20,Career_History!E5)-Career_History!D5+1),0),IF(Career_History!I6=TRUE,IF(A20&lt;Career_History!D6,0,MIN(A20,Career_History!E6)-Career_History!D6+1),0),IF(Career_History!I7=TRUE,IF(A20&lt;Career_History!D7,0,MIN(A20,Career_History!E7)-Career_History!D7+1),0))/365.2425</f>
        <v>0.99933605755080523</v>
      </c>
      <c r="G20" s="9">
        <f>SUM(IF(Career_History!H4=TRUE,IF(A20&lt;Career_History!D4,0,MIN(A20,Career_History!E4)-Career_History!D4+1),0),IF(Career_History!H5=TRUE,IF(A20&lt;Career_History!D5,0,MIN(A20,Career_History!E5)-Career_History!D5+1),0),IF(Career_History!H6=TRUE,IF(A20&lt;Career_History!D6,0,MIN(A20,Career_History!E6)-Career_History!D6+1),0),IF(Career_History!H7=TRUE,IF(A20&lt;Career_History!D7,0,MIN(A20,Career_History!E7)-Career_History!D7+1),0))/365.2425</f>
        <v>38.002149257000482</v>
      </c>
      <c r="H20" s="9">
        <f>SUM(IF(Career_History!G8=TRUE,IF(A20&lt;Career_History!D8,0,MIN(A20,Career_History!E8)-Career_History!D8+1),0),IF(Career_History!G9=TRUE,IF(A20&lt;Career_History!D9,0,MIN(A20,Career_History!E9)-Career_History!D9+1),0))/365.2425</f>
        <v>35.754327604262919</v>
      </c>
      <c r="I20" s="9">
        <f>SUM(IF(Career_History!I8=TRUE,IF(A20&lt;Career_History!D8,0,MIN(A20,Career_History!E8)-Career_History!D8+1),0),IF(Career_History!I9=TRUE,IF(A20&lt;Career_History!D9,0,MIN(A20,Career_History!E9)-Career_History!D9+1),0))/365.2425</f>
        <v>0</v>
      </c>
      <c r="J20" s="9">
        <f>SUM(IF(Career_History!H8=TRUE,IF(A20&lt;Career_History!D8,0,MIN(A20,Career_History!E8)-Career_History!D8+1),0),IF(Career_History!H9=TRUE,IF(A20&lt;Career_History!D9,0,MIN(A20,Career_History!E9)-Career_History!D9+1),0))/365.2425</f>
        <v>35.754327604262919</v>
      </c>
      <c r="K20" s="9">
        <f>SUM(IF(Career_History!G10=TRUE,IF(A20&lt;Career_History!D10,0,MIN(A20,Career_History!E10)-Career_History!D10+1),0),IF(Career_History!G11=TRUE,IF(A20&lt;Career_History!D11,0,MIN(A20,Career_History!E11)-Career_History!D11+1),0))/365.2425</f>
        <v>28.756237294400297</v>
      </c>
      <c r="L20" s="9">
        <f>SUM(IF(Career_History!I10=TRUE,IF(A20&lt;Career_History!D10,0,MIN(A20,Career_History!E10)-Career_History!D10+1),0),IF(Career_History!I11=TRUE,IF(A20&lt;Career_History!D11,0,MIN(A20,Career_History!E11)-Career_History!D11+1),0))/365.2425</f>
        <v>26.505677734655741</v>
      </c>
      <c r="M20" s="9">
        <f>SUM(IF(Career_History!H10=TRUE,IF(A20&lt;Career_History!D10,0,MIN(A20,Career_History!E10)-Career_History!D10+1),0),IF(Career_History!H11=TRUE,IF(A20&lt;Career_History!D11,0,MIN(A20,Career_History!E11)-Career_History!D11+1),0))/365.2425</f>
        <v>28.756237294400297</v>
      </c>
      <c r="N20" s="9">
        <f>SUM(IF(Career_History!G12=TRUE,IF(A20&lt;Career_History!D12,0,MIN(A20,Career_History!E12)-Career_History!D12+1),0),IF(Career_History!G13=TRUE,IF(A20&lt;Career_History!D13,0,MIN(A20,Career_History!E13)-Career_History!D13+1),0))/365.2425</f>
        <v>25.002566787819053</v>
      </c>
      <c r="O20" s="9">
        <f>SUM(IF(Career_History!I12=TRUE,IF(A20&lt;Career_History!D12,0,MIN(A20,Career_History!E12)-Career_History!D12+1),0),IF(Career_History!I13=TRUE,IF(A20&lt;Career_History!D13,0,MIN(A20,Career_History!E13)-Career_History!D13+1),0))/365.2425</f>
        <v>0</v>
      </c>
      <c r="P20" s="9">
        <f>SUM(IF(Career_History!H12=TRUE,IF(A20&lt;Career_History!D12,0,MIN(A20,Career_History!E12)-Career_History!D12+1),0),IF(Career_History!H13=TRUE,IF(A20&lt;Career_History!D13,0,MIN(A20,Career_History!E13)-Career_History!D13+1),0))/365.2425</f>
        <v>1.4976351328227135</v>
      </c>
      <c r="Q20" s="9">
        <f>SUM(IF(Career_History!G14=TRUE,IF(A20&lt;Career_History!D14,0,MIN(A20,Career_History!E14)-Career_History!D14+1),0),IF(Career_History!G15=TRUE,IF(A20&lt;Career_History!D15,0,MIN(A20,Career_History!E15)-Career_History!D15+1),0))/365.2425</f>
        <v>30.754909409501906</v>
      </c>
      <c r="R20" s="9">
        <f>SUM(IF(Career_History!I14=TRUE,IF(A20&lt;Career_History!D14,0,MIN(A20,Career_History!E14)-Career_History!D14+1),0),IF(Career_History!I15=TRUE,IF(A20&lt;Career_History!D15,0,MIN(A20,Career_History!E15)-Career_History!D15+1),0))/365.2425</f>
        <v>0</v>
      </c>
      <c r="S20" s="9">
        <f>SUM(IF(Career_History!H14=TRUE,IF(A20&lt;Career_History!D14,0,MIN(A20,Career_History!E14)-Career_History!D14+1),0),IF(Career_History!H15=TRUE,IF(A20&lt;Career_History!D15,0,MIN(A20,Career_History!E15)-Career_History!D15+1),0))/365.2425</f>
        <v>30.754909409501906</v>
      </c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</row>
    <row r="21" spans="1:67">
      <c r="A21" s="8">
        <v>35277</v>
      </c>
      <c r="B21" s="9">
        <f t="shared" si="0"/>
        <v>32.439269800201231</v>
      </c>
      <c r="C21" s="9">
        <f t="shared" si="1"/>
        <v>5.5010027584413095</v>
      </c>
      <c r="D21" s="9">
        <f t="shared" si="2"/>
        <v>27.037926856814313</v>
      </c>
      <c r="E21" s="9">
        <f>SUM(IF(Career_History!G4=TRUE,IF(A21&lt;Career_History!D4,0,MIN(A21,Career_History!E4)-Career_History!D4+1),0),IF(Career_History!G5=TRUE,IF(A21&lt;Career_History!D5,0,MIN(A21,Career_History!E5)-Career_History!D5+1),0),IF(Career_History!G6=TRUE,IF(A21&lt;Career_History!D6,0,MIN(A21,Career_History!E6)-Career_History!D6+1),0),IF(Career_History!G7=TRUE,IF(A21&lt;Career_History!D7,0,MIN(A21,Career_History!E7)-Career_History!D7+1),0))/365.2425</f>
        <v>41.588807436155427</v>
      </c>
      <c r="F21" s="9">
        <f>SUM(IF(Career_History!I4=TRUE,IF(A21&lt;Career_History!D4,0,MIN(A21,Career_History!E4)-Career_History!D4+1),0),IF(Career_History!I5=TRUE,IF(A21&lt;Career_History!D5,0,MIN(A21,Career_History!E5)-Career_History!D5+1),0),IF(Career_History!I6=TRUE,IF(A21&lt;Career_History!D6,0,MIN(A21,Career_History!E6)-Career_History!D6+1),0),IF(Career_History!I7=TRUE,IF(A21&lt;Career_History!D7,0,MIN(A21,Career_History!E7)-Career_History!D7+1),0))/365.2425</f>
        <v>0.99933605755080523</v>
      </c>
      <c r="G21" s="9">
        <f>SUM(IF(Career_History!H4=TRUE,IF(A21&lt;Career_History!D4,0,MIN(A21,Career_History!E4)-Career_History!D4+1),0),IF(Career_History!H5=TRUE,IF(A21&lt;Career_History!D5,0,MIN(A21,Career_History!E5)-Career_History!D5+1),0),IF(Career_History!H6=TRUE,IF(A21&lt;Career_History!D6,0,MIN(A21,Career_History!E6)-Career_History!D6+1),0),IF(Career_History!H7=TRUE,IF(A21&lt;Career_History!D7,0,MIN(A21,Career_History!E7)-Career_History!D7+1),0))/365.2425</f>
        <v>38.08702437421713</v>
      </c>
      <c r="H21" s="9">
        <f>SUM(IF(Career_History!G8=TRUE,IF(A21&lt;Career_History!D8,0,MIN(A21,Career_History!E8)-Career_History!D8+1),0),IF(Career_History!G9=TRUE,IF(A21&lt;Career_History!D9,0,MIN(A21,Career_History!E9)-Career_History!D9+1),0))/365.2425</f>
        <v>35.839202721479566</v>
      </c>
      <c r="I21" s="9">
        <f>SUM(IF(Career_History!I8=TRUE,IF(A21&lt;Career_History!D8,0,MIN(A21,Career_History!E8)-Career_History!D8+1),0),IF(Career_History!I9=TRUE,IF(A21&lt;Career_History!D9,0,MIN(A21,Career_History!E9)-Career_History!D9+1),0))/365.2425</f>
        <v>0</v>
      </c>
      <c r="J21" s="9">
        <f>SUM(IF(Career_History!H8=TRUE,IF(A21&lt;Career_History!D8,0,MIN(A21,Career_History!E8)-Career_History!D8+1),0),IF(Career_History!H9=TRUE,IF(A21&lt;Career_History!D9,0,MIN(A21,Career_History!E9)-Career_History!D9+1),0))/365.2425</f>
        <v>35.839202721479566</v>
      </c>
      <c r="K21" s="9">
        <f>SUM(IF(Career_History!G10=TRUE,IF(A21&lt;Career_History!D10,0,MIN(A21,Career_History!E10)-Career_History!D10+1),0),IF(Career_History!G11=TRUE,IF(A21&lt;Career_History!D11,0,MIN(A21,Career_History!E11)-Career_History!D11+1),0))/365.2425</f>
        <v>28.84111241161694</v>
      </c>
      <c r="L21" s="9">
        <f>SUM(IF(Career_History!I10=TRUE,IF(A21&lt;Career_History!D10,0,MIN(A21,Career_History!E10)-Career_History!D10+1),0),IF(Career_History!I11=TRUE,IF(A21&lt;Career_History!D11,0,MIN(A21,Career_History!E11)-Career_History!D11+1),0))/365.2425</f>
        <v>26.505677734655741</v>
      </c>
      <c r="M21" s="9">
        <f>SUM(IF(Career_History!H10=TRUE,IF(A21&lt;Career_History!D10,0,MIN(A21,Career_History!E10)-Career_History!D10+1),0),IF(Career_History!H11=TRUE,IF(A21&lt;Career_History!D11,0,MIN(A21,Career_History!E11)-Career_History!D11+1),0))/365.2425</f>
        <v>28.84111241161694</v>
      </c>
      <c r="N21" s="9">
        <f>SUM(IF(Career_History!G12=TRUE,IF(A21&lt;Career_History!D12,0,MIN(A21,Career_History!E12)-Career_History!D12+1),0),IF(Career_History!G13=TRUE,IF(A21&lt;Career_History!D13,0,MIN(A21,Career_History!E13)-Career_History!D13+1),0))/365.2425</f>
        <v>25.087441905035696</v>
      </c>
      <c r="O21" s="9">
        <f>SUM(IF(Career_History!I12=TRUE,IF(A21&lt;Career_History!D12,0,MIN(A21,Career_History!E12)-Career_History!D12+1),0),IF(Career_History!I13=TRUE,IF(A21&lt;Career_History!D13,0,MIN(A21,Career_History!E13)-Career_History!D13+1),0))/365.2425</f>
        <v>0</v>
      </c>
      <c r="P21" s="9">
        <f>SUM(IF(Career_History!H12=TRUE,IF(A21&lt;Career_History!D12,0,MIN(A21,Career_History!E12)-Career_History!D12+1),0),IF(Career_History!H13=TRUE,IF(A21&lt;Career_History!D13,0,MIN(A21,Career_History!E13)-Career_History!D13+1),0))/365.2425</f>
        <v>1.5825102500393573</v>
      </c>
      <c r="Q21" s="9">
        <f>SUM(IF(Career_History!G14=TRUE,IF(A21&lt;Career_History!D14,0,MIN(A21,Career_History!E14)-Career_History!D14+1),0),IF(Career_History!G15=TRUE,IF(A21&lt;Career_History!D15,0,MIN(A21,Career_History!E15)-Career_History!D15+1),0))/365.2425</f>
        <v>30.83978452671855</v>
      </c>
      <c r="R21" s="9">
        <f>SUM(IF(Career_History!I14=TRUE,IF(A21&lt;Career_History!D14,0,MIN(A21,Career_History!E14)-Career_History!D14+1),0),IF(Career_History!I15=TRUE,IF(A21&lt;Career_History!D15,0,MIN(A21,Career_History!E15)-Career_History!D15+1),0))/365.2425</f>
        <v>0</v>
      </c>
      <c r="S21" s="9">
        <f>SUM(IF(Career_History!H14=TRUE,IF(A21&lt;Career_History!D14,0,MIN(A21,Career_History!E14)-Career_History!D14+1),0),IF(Career_History!H15=TRUE,IF(A21&lt;Career_History!D15,0,MIN(A21,Career_History!E15)-Career_History!D15+1),0))/365.2425</f>
        <v>30.83978452671855</v>
      </c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</row>
    <row r="22" spans="1:67">
      <c r="A22" s="8">
        <v>35308</v>
      </c>
      <c r="B22" s="9">
        <f t="shared" si="0"/>
        <v>32.524144917417878</v>
      </c>
      <c r="C22" s="9">
        <f t="shared" si="1"/>
        <v>5.5010027584413095</v>
      </c>
      <c r="D22" s="9">
        <f t="shared" si="2"/>
        <v>27.122801974030956</v>
      </c>
      <c r="E22" s="9">
        <f>SUM(IF(Career_History!G4=TRUE,IF(A22&lt;Career_History!D4,0,MIN(A22,Career_History!E4)-Career_History!D4+1),0),IF(Career_History!G5=TRUE,IF(A22&lt;Career_History!D5,0,MIN(A22,Career_History!E5)-Career_History!D5+1),0),IF(Career_History!G6=TRUE,IF(A22&lt;Career_History!D6,0,MIN(A22,Career_History!E6)-Career_History!D6+1),0),IF(Career_History!G7=TRUE,IF(A22&lt;Career_History!D7,0,MIN(A22,Career_History!E7)-Career_History!D7+1),0))/365.2425</f>
        <v>41.673682553372075</v>
      </c>
      <c r="F22" s="9">
        <f>SUM(IF(Career_History!I4=TRUE,IF(A22&lt;Career_History!D4,0,MIN(A22,Career_History!E4)-Career_History!D4+1),0),IF(Career_History!I5=TRUE,IF(A22&lt;Career_History!D5,0,MIN(A22,Career_History!E5)-Career_History!D5+1),0),IF(Career_History!I6=TRUE,IF(A22&lt;Career_History!D6,0,MIN(A22,Career_History!E6)-Career_History!D6+1),0),IF(Career_History!I7=TRUE,IF(A22&lt;Career_History!D7,0,MIN(A22,Career_History!E7)-Career_History!D7+1),0))/365.2425</f>
        <v>0.99933605755080523</v>
      </c>
      <c r="G22" s="9">
        <f>SUM(IF(Career_History!H4=TRUE,IF(A22&lt;Career_History!D4,0,MIN(A22,Career_History!E4)-Career_History!D4+1),0),IF(Career_History!H5=TRUE,IF(A22&lt;Career_History!D5,0,MIN(A22,Career_History!E5)-Career_History!D5+1),0),IF(Career_History!H6=TRUE,IF(A22&lt;Career_History!D6,0,MIN(A22,Career_History!E6)-Career_History!D6+1),0),IF(Career_History!H7=TRUE,IF(A22&lt;Career_History!D7,0,MIN(A22,Career_History!E7)-Career_History!D7+1),0))/365.2425</f>
        <v>38.17189949143377</v>
      </c>
      <c r="H22" s="9">
        <f>SUM(IF(Career_History!G8=TRUE,IF(A22&lt;Career_History!D8,0,MIN(A22,Career_History!E8)-Career_History!D8+1),0),IF(Career_History!G9=TRUE,IF(A22&lt;Career_History!D9,0,MIN(A22,Career_History!E9)-Career_History!D9+1),0))/365.2425</f>
        <v>35.924077838696206</v>
      </c>
      <c r="I22" s="9">
        <f>SUM(IF(Career_History!I8=TRUE,IF(A22&lt;Career_History!D8,0,MIN(A22,Career_History!E8)-Career_History!D8+1),0),IF(Career_History!I9=TRUE,IF(A22&lt;Career_History!D9,0,MIN(A22,Career_History!E9)-Career_History!D9+1),0))/365.2425</f>
        <v>0</v>
      </c>
      <c r="J22" s="9">
        <f>SUM(IF(Career_History!H8=TRUE,IF(A22&lt;Career_History!D8,0,MIN(A22,Career_History!E8)-Career_History!D8+1),0),IF(Career_History!H9=TRUE,IF(A22&lt;Career_History!D9,0,MIN(A22,Career_History!E9)-Career_History!D9+1),0))/365.2425</f>
        <v>35.924077838696206</v>
      </c>
      <c r="K22" s="9">
        <f>SUM(IF(Career_History!G10=TRUE,IF(A22&lt;Career_History!D10,0,MIN(A22,Career_History!E10)-Career_History!D10+1),0),IF(Career_History!G11=TRUE,IF(A22&lt;Career_History!D11,0,MIN(A22,Career_History!E11)-Career_History!D11+1),0))/365.2425</f>
        <v>28.925987528833584</v>
      </c>
      <c r="L22" s="9">
        <f>SUM(IF(Career_History!I10=TRUE,IF(A22&lt;Career_History!D10,0,MIN(A22,Career_History!E10)-Career_History!D10+1),0),IF(Career_History!I11=TRUE,IF(A22&lt;Career_History!D11,0,MIN(A22,Career_History!E11)-Career_History!D11+1),0))/365.2425</f>
        <v>26.505677734655741</v>
      </c>
      <c r="M22" s="9">
        <f>SUM(IF(Career_History!H10=TRUE,IF(A22&lt;Career_History!D10,0,MIN(A22,Career_History!E10)-Career_History!D10+1),0),IF(Career_History!H11=TRUE,IF(A22&lt;Career_History!D11,0,MIN(A22,Career_History!E11)-Career_History!D11+1),0))/365.2425</f>
        <v>28.925987528833584</v>
      </c>
      <c r="N22" s="9">
        <f>SUM(IF(Career_History!G12=TRUE,IF(A22&lt;Career_History!D12,0,MIN(A22,Career_History!E12)-Career_History!D12+1),0),IF(Career_History!G13=TRUE,IF(A22&lt;Career_History!D13,0,MIN(A22,Career_History!E13)-Career_History!D13+1),0))/365.2425</f>
        <v>25.17231702225234</v>
      </c>
      <c r="O22" s="9">
        <f>SUM(IF(Career_History!I12=TRUE,IF(A22&lt;Career_History!D12,0,MIN(A22,Career_History!E12)-Career_History!D12+1),0),IF(Career_History!I13=TRUE,IF(A22&lt;Career_History!D13,0,MIN(A22,Career_History!E13)-Career_History!D13+1),0))/365.2425</f>
        <v>0</v>
      </c>
      <c r="P22" s="9">
        <f>SUM(IF(Career_History!H12=TRUE,IF(A22&lt;Career_History!D12,0,MIN(A22,Career_History!E12)-Career_History!D12+1),0),IF(Career_History!H13=TRUE,IF(A22&lt;Career_History!D13,0,MIN(A22,Career_History!E13)-Career_History!D13+1),0))/365.2425</f>
        <v>1.6673853672560011</v>
      </c>
      <c r="Q22" s="9">
        <f>SUM(IF(Career_History!G14=TRUE,IF(A22&lt;Career_History!D14,0,MIN(A22,Career_History!E14)-Career_History!D14+1),0),IF(Career_History!G15=TRUE,IF(A22&lt;Career_History!D15,0,MIN(A22,Career_History!E15)-Career_History!D15+1),0))/365.2425</f>
        <v>30.924659643935193</v>
      </c>
      <c r="R22" s="9">
        <f>SUM(IF(Career_History!I14=TRUE,IF(A22&lt;Career_History!D14,0,MIN(A22,Career_History!E14)-Career_History!D14+1),0),IF(Career_History!I15=TRUE,IF(A22&lt;Career_History!D15,0,MIN(A22,Career_History!E15)-Career_History!D15+1),0))/365.2425</f>
        <v>0</v>
      </c>
      <c r="S22" s="9">
        <f>SUM(IF(Career_History!H14=TRUE,IF(A22&lt;Career_History!D14,0,MIN(A22,Career_History!E14)-Career_History!D14+1),0),IF(Career_History!H15=TRUE,IF(A22&lt;Career_History!D15,0,MIN(A22,Career_History!E15)-Career_History!D15+1),0))/365.2425</f>
        <v>30.924659643935193</v>
      </c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</row>
    <row r="23" spans="1:67">
      <c r="A23" s="8">
        <v>35338</v>
      </c>
      <c r="B23" s="9">
        <f t="shared" si="0"/>
        <v>32.606282127627537</v>
      </c>
      <c r="C23" s="9">
        <f t="shared" si="1"/>
        <v>5.5010027584413095</v>
      </c>
      <c r="D23" s="9">
        <f t="shared" si="2"/>
        <v>27.204939184240608</v>
      </c>
      <c r="E23" s="9">
        <f>SUM(IF(Career_History!G4=TRUE,IF(A23&lt;Career_History!D4,0,MIN(A23,Career_History!E4)-Career_History!D4+1),0),IF(Career_History!G5=TRUE,IF(A23&lt;Career_History!D5,0,MIN(A23,Career_History!E5)-Career_History!D5+1),0),IF(Career_History!G6=TRUE,IF(A23&lt;Career_History!D6,0,MIN(A23,Career_History!E6)-Career_History!D6+1),0),IF(Career_History!G7=TRUE,IF(A23&lt;Career_History!D7,0,MIN(A23,Career_History!E7)-Career_History!D7+1),0))/365.2425</f>
        <v>41.755819763581727</v>
      </c>
      <c r="F23" s="9">
        <f>SUM(IF(Career_History!I4=TRUE,IF(A23&lt;Career_History!D4,0,MIN(A23,Career_History!E4)-Career_History!D4+1),0),IF(Career_History!I5=TRUE,IF(A23&lt;Career_History!D5,0,MIN(A23,Career_History!E5)-Career_History!D5+1),0),IF(Career_History!I6=TRUE,IF(A23&lt;Career_History!D6,0,MIN(A23,Career_History!E6)-Career_History!D6+1),0),IF(Career_History!I7=TRUE,IF(A23&lt;Career_History!D7,0,MIN(A23,Career_History!E7)-Career_History!D7+1),0))/365.2425</f>
        <v>0.99933605755080523</v>
      </c>
      <c r="G23" s="9">
        <f>SUM(IF(Career_History!H4=TRUE,IF(A23&lt;Career_History!D4,0,MIN(A23,Career_History!E4)-Career_History!D4+1),0),IF(Career_History!H5=TRUE,IF(A23&lt;Career_History!D5,0,MIN(A23,Career_History!E5)-Career_History!D5+1),0),IF(Career_History!H6=TRUE,IF(A23&lt;Career_History!D6,0,MIN(A23,Career_History!E6)-Career_History!D6+1),0),IF(Career_History!H7=TRUE,IF(A23&lt;Career_History!D7,0,MIN(A23,Career_History!E7)-Career_History!D7+1),0))/365.2425</f>
        <v>38.254036701643429</v>
      </c>
      <c r="H23" s="9">
        <f>SUM(IF(Career_History!G8=TRUE,IF(A23&lt;Career_History!D8,0,MIN(A23,Career_History!E8)-Career_History!D8+1),0),IF(Career_History!G9=TRUE,IF(A23&lt;Career_History!D9,0,MIN(A23,Career_History!E9)-Career_History!D9+1),0))/365.2425</f>
        <v>36.006215048905865</v>
      </c>
      <c r="I23" s="9">
        <f>SUM(IF(Career_History!I8=TRUE,IF(A23&lt;Career_History!D8,0,MIN(A23,Career_History!E8)-Career_History!D8+1),0),IF(Career_History!I9=TRUE,IF(A23&lt;Career_History!D9,0,MIN(A23,Career_History!E9)-Career_History!D9+1),0))/365.2425</f>
        <v>0</v>
      </c>
      <c r="J23" s="9">
        <f>SUM(IF(Career_History!H8=TRUE,IF(A23&lt;Career_History!D8,0,MIN(A23,Career_History!E8)-Career_History!D8+1),0),IF(Career_History!H9=TRUE,IF(A23&lt;Career_History!D9,0,MIN(A23,Career_History!E9)-Career_History!D9+1),0))/365.2425</f>
        <v>36.006215048905865</v>
      </c>
      <c r="K23" s="9">
        <f>SUM(IF(Career_History!G10=TRUE,IF(A23&lt;Career_History!D10,0,MIN(A23,Career_History!E10)-Career_History!D10+1),0),IF(Career_History!G11=TRUE,IF(A23&lt;Career_History!D11,0,MIN(A23,Career_History!E11)-Career_History!D11+1),0))/365.2425</f>
        <v>29.00812473904324</v>
      </c>
      <c r="L23" s="9">
        <f>SUM(IF(Career_History!I10=TRUE,IF(A23&lt;Career_History!D10,0,MIN(A23,Career_History!E10)-Career_History!D10+1),0),IF(Career_History!I11=TRUE,IF(A23&lt;Career_History!D11,0,MIN(A23,Career_History!E11)-Career_History!D11+1),0))/365.2425</f>
        <v>26.505677734655741</v>
      </c>
      <c r="M23" s="9">
        <f>SUM(IF(Career_History!H10=TRUE,IF(A23&lt;Career_History!D10,0,MIN(A23,Career_History!E10)-Career_History!D10+1),0),IF(Career_History!H11=TRUE,IF(A23&lt;Career_History!D11,0,MIN(A23,Career_History!E11)-Career_History!D11+1),0))/365.2425</f>
        <v>29.00812473904324</v>
      </c>
      <c r="N23" s="9">
        <f>SUM(IF(Career_History!G12=TRUE,IF(A23&lt;Career_History!D12,0,MIN(A23,Career_History!E12)-Career_History!D12+1),0),IF(Career_History!G13=TRUE,IF(A23&lt;Career_History!D13,0,MIN(A23,Career_History!E13)-Career_History!D13+1),0))/365.2425</f>
        <v>25.254454232461995</v>
      </c>
      <c r="O23" s="9">
        <f>SUM(IF(Career_History!I12=TRUE,IF(A23&lt;Career_History!D12,0,MIN(A23,Career_History!E12)-Career_History!D12+1),0),IF(Career_History!I13=TRUE,IF(A23&lt;Career_History!D13,0,MIN(A23,Career_History!E13)-Career_History!D13+1),0))/365.2425</f>
        <v>0</v>
      </c>
      <c r="P23" s="9">
        <f>SUM(IF(Career_History!H12=TRUE,IF(A23&lt;Career_History!D12,0,MIN(A23,Career_History!E12)-Career_History!D12+1),0),IF(Career_History!H13=TRUE,IF(A23&lt;Career_History!D13,0,MIN(A23,Career_History!E13)-Career_History!D13+1),0))/365.2425</f>
        <v>1.7495225774656564</v>
      </c>
      <c r="Q23" s="9">
        <f>SUM(IF(Career_History!G14=TRUE,IF(A23&lt;Career_History!D14,0,MIN(A23,Career_History!E14)-Career_History!D14+1),0),IF(Career_History!G15=TRUE,IF(A23&lt;Career_History!D15,0,MIN(A23,Career_History!E15)-Career_History!D15+1),0))/365.2425</f>
        <v>31.006796854144849</v>
      </c>
      <c r="R23" s="9">
        <f>SUM(IF(Career_History!I14=TRUE,IF(A23&lt;Career_History!D14,0,MIN(A23,Career_History!E14)-Career_History!D14+1),0),IF(Career_History!I15=TRUE,IF(A23&lt;Career_History!D15,0,MIN(A23,Career_History!E15)-Career_History!D15+1),0))/365.2425</f>
        <v>0</v>
      </c>
      <c r="S23" s="9">
        <f>SUM(IF(Career_History!H14=TRUE,IF(A23&lt;Career_History!D14,0,MIN(A23,Career_History!E14)-Career_History!D14+1),0),IF(Career_History!H15=TRUE,IF(A23&lt;Career_History!D15,0,MIN(A23,Career_History!E15)-Career_History!D15+1),0))/365.2425</f>
        <v>31.006796854144849</v>
      </c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</row>
    <row r="24" spans="1:67">
      <c r="A24" s="8">
        <v>35369</v>
      </c>
      <c r="B24" s="9">
        <f t="shared" si="0"/>
        <v>32.691157244844177</v>
      </c>
      <c r="C24" s="9">
        <f t="shared" si="1"/>
        <v>5.5010027584413095</v>
      </c>
      <c r="D24" s="9">
        <f t="shared" si="2"/>
        <v>27.289814301457248</v>
      </c>
      <c r="E24" s="9">
        <f>SUM(IF(Career_History!G4=TRUE,IF(A24&lt;Career_History!D4,0,MIN(A24,Career_History!E4)-Career_History!D4+1),0),IF(Career_History!G5=TRUE,IF(A24&lt;Career_History!D5,0,MIN(A24,Career_History!E5)-Career_History!D5+1),0),IF(Career_History!G6=TRUE,IF(A24&lt;Career_History!D6,0,MIN(A24,Career_History!E6)-Career_History!D6+1),0),IF(Career_History!G7=TRUE,IF(A24&lt;Career_History!D7,0,MIN(A24,Career_History!E7)-Career_History!D7+1),0))/365.2425</f>
        <v>41.840694880798374</v>
      </c>
      <c r="F24" s="9">
        <f>SUM(IF(Career_History!I4=TRUE,IF(A24&lt;Career_History!D4,0,MIN(A24,Career_History!E4)-Career_History!D4+1),0),IF(Career_History!I5=TRUE,IF(A24&lt;Career_History!D5,0,MIN(A24,Career_History!E5)-Career_History!D5+1),0),IF(Career_History!I6=TRUE,IF(A24&lt;Career_History!D6,0,MIN(A24,Career_History!E6)-Career_History!D6+1),0),IF(Career_History!I7=TRUE,IF(A24&lt;Career_History!D7,0,MIN(A24,Career_History!E7)-Career_History!D7+1),0))/365.2425</f>
        <v>0.99933605755080523</v>
      </c>
      <c r="G24" s="9">
        <f>SUM(IF(Career_History!H4=TRUE,IF(A24&lt;Career_History!D4,0,MIN(A24,Career_History!E4)-Career_History!D4+1),0),IF(Career_History!H5=TRUE,IF(A24&lt;Career_History!D5,0,MIN(A24,Career_History!E5)-Career_History!D5+1),0),IF(Career_History!H6=TRUE,IF(A24&lt;Career_History!D6,0,MIN(A24,Career_History!E6)-Career_History!D6+1),0),IF(Career_History!H7=TRUE,IF(A24&lt;Career_History!D7,0,MIN(A24,Career_History!E7)-Career_History!D7+1),0))/365.2425</f>
        <v>38.338911818860069</v>
      </c>
      <c r="H24" s="9">
        <f>SUM(IF(Career_History!G8=TRUE,IF(A24&lt;Career_History!D8,0,MIN(A24,Career_History!E8)-Career_History!D8+1),0),IF(Career_History!G9=TRUE,IF(A24&lt;Career_History!D9,0,MIN(A24,Career_History!E9)-Career_History!D9+1),0))/365.2425</f>
        <v>36.091090166122505</v>
      </c>
      <c r="I24" s="9">
        <f>SUM(IF(Career_History!I8=TRUE,IF(A24&lt;Career_History!D8,0,MIN(A24,Career_History!E8)-Career_History!D8+1),0),IF(Career_History!I9=TRUE,IF(A24&lt;Career_History!D9,0,MIN(A24,Career_History!E9)-Career_History!D9+1),0))/365.2425</f>
        <v>0</v>
      </c>
      <c r="J24" s="9">
        <f>SUM(IF(Career_History!H8=TRUE,IF(A24&lt;Career_History!D8,0,MIN(A24,Career_History!E8)-Career_History!D8+1),0),IF(Career_History!H9=TRUE,IF(A24&lt;Career_History!D9,0,MIN(A24,Career_History!E9)-Career_History!D9+1),0))/365.2425</f>
        <v>36.091090166122505</v>
      </c>
      <c r="K24" s="9">
        <f>SUM(IF(Career_History!G10=TRUE,IF(A24&lt;Career_History!D10,0,MIN(A24,Career_History!E10)-Career_History!D10+1),0),IF(Career_History!G11=TRUE,IF(A24&lt;Career_History!D11,0,MIN(A24,Career_History!E11)-Career_History!D11+1),0))/365.2425</f>
        <v>29.092999856259883</v>
      </c>
      <c r="L24" s="9">
        <f>SUM(IF(Career_History!I10=TRUE,IF(A24&lt;Career_History!D10,0,MIN(A24,Career_History!E10)-Career_History!D10+1),0),IF(Career_History!I11=TRUE,IF(A24&lt;Career_History!D11,0,MIN(A24,Career_History!E11)-Career_History!D11+1),0))/365.2425</f>
        <v>26.505677734655741</v>
      </c>
      <c r="M24" s="9">
        <f>SUM(IF(Career_History!H10=TRUE,IF(A24&lt;Career_History!D10,0,MIN(A24,Career_History!E10)-Career_History!D10+1),0),IF(Career_History!H11=TRUE,IF(A24&lt;Career_History!D11,0,MIN(A24,Career_History!E11)-Career_History!D11+1),0))/365.2425</f>
        <v>29.092999856259883</v>
      </c>
      <c r="N24" s="9">
        <f>SUM(IF(Career_History!G12=TRUE,IF(A24&lt;Career_History!D12,0,MIN(A24,Career_History!E12)-Career_History!D12+1),0),IF(Career_History!G13=TRUE,IF(A24&lt;Career_History!D13,0,MIN(A24,Career_History!E13)-Career_History!D13+1),0))/365.2425</f>
        <v>25.339329349678639</v>
      </c>
      <c r="O24" s="9">
        <f>SUM(IF(Career_History!I12=TRUE,IF(A24&lt;Career_History!D12,0,MIN(A24,Career_History!E12)-Career_History!D12+1),0),IF(Career_History!I13=TRUE,IF(A24&lt;Career_History!D13,0,MIN(A24,Career_History!E13)-Career_History!D13+1),0))/365.2425</f>
        <v>0</v>
      </c>
      <c r="P24" s="9">
        <f>SUM(IF(Career_History!H12=TRUE,IF(A24&lt;Career_History!D12,0,MIN(A24,Career_History!E12)-Career_History!D12+1),0),IF(Career_History!H13=TRUE,IF(A24&lt;Career_History!D13,0,MIN(A24,Career_History!E13)-Career_History!D13+1),0))/365.2425</f>
        <v>1.8343976946823002</v>
      </c>
      <c r="Q24" s="9">
        <f>SUM(IF(Career_History!G14=TRUE,IF(A24&lt;Career_History!D14,0,MIN(A24,Career_History!E14)-Career_History!D14+1),0),IF(Career_History!G15=TRUE,IF(A24&lt;Career_History!D15,0,MIN(A24,Career_History!E15)-Career_History!D15+1),0))/365.2425</f>
        <v>31.091671971361492</v>
      </c>
      <c r="R24" s="9">
        <f>SUM(IF(Career_History!I14=TRUE,IF(A24&lt;Career_History!D14,0,MIN(A24,Career_History!E14)-Career_History!D14+1),0),IF(Career_History!I15=TRUE,IF(A24&lt;Career_History!D15,0,MIN(A24,Career_History!E15)-Career_History!D15+1),0))/365.2425</f>
        <v>0</v>
      </c>
      <c r="S24" s="9">
        <f>SUM(IF(Career_History!H14=TRUE,IF(A24&lt;Career_History!D14,0,MIN(A24,Career_History!E14)-Career_History!D14+1),0),IF(Career_History!H15=TRUE,IF(A24&lt;Career_History!D15,0,MIN(A24,Career_History!E15)-Career_History!D15+1),0))/365.2425</f>
        <v>31.091671971361492</v>
      </c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</row>
    <row r="25" spans="1:67">
      <c r="A25" s="8">
        <v>35399</v>
      </c>
      <c r="B25" s="9">
        <f t="shared" si="0"/>
        <v>32.773294455053829</v>
      </c>
      <c r="C25" s="9">
        <f t="shared" si="1"/>
        <v>5.5010027584413095</v>
      </c>
      <c r="D25" s="9">
        <f t="shared" si="2"/>
        <v>27.371951511666907</v>
      </c>
      <c r="E25" s="9">
        <f>SUM(IF(Career_History!G4=TRUE,IF(A25&lt;Career_History!D4,0,MIN(A25,Career_History!E4)-Career_History!D4+1),0),IF(Career_History!G5=TRUE,IF(A25&lt;Career_History!D5,0,MIN(A25,Career_History!E5)-Career_History!D5+1),0),IF(Career_History!G6=TRUE,IF(A25&lt;Career_History!D6,0,MIN(A25,Career_History!E6)-Career_History!D6+1),0),IF(Career_History!G7=TRUE,IF(A25&lt;Career_History!D7,0,MIN(A25,Career_History!E7)-Career_History!D7+1),0))/365.2425</f>
        <v>41.922832091008026</v>
      </c>
      <c r="F25" s="9">
        <f>SUM(IF(Career_History!I4=TRUE,IF(A25&lt;Career_History!D4,0,MIN(A25,Career_History!E4)-Career_History!D4+1),0),IF(Career_History!I5=TRUE,IF(A25&lt;Career_History!D5,0,MIN(A25,Career_History!E5)-Career_History!D5+1),0),IF(Career_History!I6=TRUE,IF(A25&lt;Career_History!D6,0,MIN(A25,Career_History!E6)-Career_History!D6+1),0),IF(Career_History!I7=TRUE,IF(A25&lt;Career_History!D7,0,MIN(A25,Career_History!E7)-Career_History!D7+1),0))/365.2425</f>
        <v>0.99933605755080523</v>
      </c>
      <c r="G25" s="9">
        <f>SUM(IF(Career_History!H4=TRUE,IF(A25&lt;Career_History!D4,0,MIN(A25,Career_History!E4)-Career_History!D4+1),0),IF(Career_History!H5=TRUE,IF(A25&lt;Career_History!D5,0,MIN(A25,Career_History!E5)-Career_History!D5+1),0),IF(Career_History!H6=TRUE,IF(A25&lt;Career_History!D6,0,MIN(A25,Career_History!E6)-Career_History!D6+1),0),IF(Career_History!H7=TRUE,IF(A25&lt;Career_History!D7,0,MIN(A25,Career_History!E7)-Career_History!D7+1),0))/365.2425</f>
        <v>38.421049029069728</v>
      </c>
      <c r="H25" s="9">
        <f>SUM(IF(Career_History!G8=TRUE,IF(A25&lt;Career_History!D8,0,MIN(A25,Career_History!E8)-Career_History!D8+1),0),IF(Career_History!G9=TRUE,IF(A25&lt;Career_History!D9,0,MIN(A25,Career_History!E9)-Career_History!D9+1),0))/365.2425</f>
        <v>36.173227376332164</v>
      </c>
      <c r="I25" s="9">
        <f>SUM(IF(Career_History!I8=TRUE,IF(A25&lt;Career_History!D8,0,MIN(A25,Career_History!E8)-Career_History!D8+1),0),IF(Career_History!I9=TRUE,IF(A25&lt;Career_History!D9,0,MIN(A25,Career_History!E9)-Career_History!D9+1),0))/365.2425</f>
        <v>0</v>
      </c>
      <c r="J25" s="9">
        <f>SUM(IF(Career_History!H8=TRUE,IF(A25&lt;Career_History!D8,0,MIN(A25,Career_History!E8)-Career_History!D8+1),0),IF(Career_History!H9=TRUE,IF(A25&lt;Career_History!D9,0,MIN(A25,Career_History!E9)-Career_History!D9+1),0))/365.2425</f>
        <v>36.173227376332164</v>
      </c>
      <c r="K25" s="9">
        <f>SUM(IF(Career_History!G10=TRUE,IF(A25&lt;Career_History!D10,0,MIN(A25,Career_History!E10)-Career_History!D10+1),0),IF(Career_History!G11=TRUE,IF(A25&lt;Career_History!D11,0,MIN(A25,Career_History!E11)-Career_History!D11+1),0))/365.2425</f>
        <v>29.175137066469535</v>
      </c>
      <c r="L25" s="9">
        <f>SUM(IF(Career_History!I10=TRUE,IF(A25&lt;Career_History!D10,0,MIN(A25,Career_History!E10)-Career_History!D10+1),0),IF(Career_History!I11=TRUE,IF(A25&lt;Career_History!D11,0,MIN(A25,Career_History!E11)-Career_History!D11+1),0))/365.2425</f>
        <v>26.505677734655741</v>
      </c>
      <c r="M25" s="9">
        <f>SUM(IF(Career_History!H10=TRUE,IF(A25&lt;Career_History!D10,0,MIN(A25,Career_History!E10)-Career_History!D10+1),0),IF(Career_History!H11=TRUE,IF(A25&lt;Career_History!D11,0,MIN(A25,Career_History!E11)-Career_History!D11+1),0))/365.2425</f>
        <v>29.175137066469535</v>
      </c>
      <c r="N25" s="9">
        <f>SUM(IF(Career_History!G12=TRUE,IF(A25&lt;Career_History!D12,0,MIN(A25,Career_History!E12)-Career_History!D12+1),0),IF(Career_History!G13=TRUE,IF(A25&lt;Career_History!D13,0,MIN(A25,Career_History!E13)-Career_History!D13+1),0))/365.2425</f>
        <v>25.421466559888295</v>
      </c>
      <c r="O25" s="9">
        <f>SUM(IF(Career_History!I12=TRUE,IF(A25&lt;Career_History!D12,0,MIN(A25,Career_History!E12)-Career_History!D12+1),0),IF(Career_History!I13=TRUE,IF(A25&lt;Career_History!D13,0,MIN(A25,Career_History!E13)-Career_History!D13+1),0))/365.2425</f>
        <v>0</v>
      </c>
      <c r="P25" s="9">
        <f>SUM(IF(Career_History!H12=TRUE,IF(A25&lt;Career_History!D12,0,MIN(A25,Career_History!E12)-Career_History!D12+1),0),IF(Career_History!H13=TRUE,IF(A25&lt;Career_History!D13,0,MIN(A25,Career_History!E13)-Career_History!D13+1),0))/365.2425</f>
        <v>1.9165349048919553</v>
      </c>
      <c r="Q25" s="9">
        <f>SUM(IF(Career_History!G14=TRUE,IF(A25&lt;Career_History!D14,0,MIN(A25,Career_History!E14)-Career_History!D14+1),0),IF(Career_History!G15=TRUE,IF(A25&lt;Career_History!D15,0,MIN(A25,Career_History!E15)-Career_History!D15+1),0))/365.2425</f>
        <v>31.173809181571148</v>
      </c>
      <c r="R25" s="9">
        <f>SUM(IF(Career_History!I14=TRUE,IF(A25&lt;Career_History!D14,0,MIN(A25,Career_History!E14)-Career_History!D14+1),0),IF(Career_History!I15=TRUE,IF(A25&lt;Career_History!D15,0,MIN(A25,Career_History!E15)-Career_History!D15+1),0))/365.2425</f>
        <v>0</v>
      </c>
      <c r="S25" s="9">
        <f>SUM(IF(Career_History!H14=TRUE,IF(A25&lt;Career_History!D14,0,MIN(A25,Career_History!E14)-Career_History!D14+1),0),IF(Career_History!H15=TRUE,IF(A25&lt;Career_History!D15,0,MIN(A25,Career_History!E15)-Career_History!D15+1),0))/365.2425</f>
        <v>31.173809181571148</v>
      </c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</row>
    <row r="26" spans="1:67">
      <c r="A26" s="8">
        <v>35430</v>
      </c>
      <c r="B26" s="9">
        <f t="shared" si="0"/>
        <v>32.858169572270477</v>
      </c>
      <c r="C26" s="9">
        <f t="shared" si="1"/>
        <v>5.5010027584413095</v>
      </c>
      <c r="D26" s="9">
        <f t="shared" si="2"/>
        <v>27.456826628883551</v>
      </c>
      <c r="E26" s="9">
        <f>SUM(IF(Career_History!G4=TRUE,IF(A26&lt;Career_History!D4,0,MIN(A26,Career_History!E4)-Career_History!D4+1),0),IF(Career_History!G5=TRUE,IF(A26&lt;Career_History!D5,0,MIN(A26,Career_History!E5)-Career_History!D5+1),0),IF(Career_History!G6=TRUE,IF(A26&lt;Career_History!D6,0,MIN(A26,Career_History!E6)-Career_History!D6+1),0),IF(Career_History!G7=TRUE,IF(A26&lt;Career_History!D7,0,MIN(A26,Career_History!E7)-Career_History!D7+1),0))/365.2425</f>
        <v>42.007707208224673</v>
      </c>
      <c r="F26" s="9">
        <f>SUM(IF(Career_History!I4=TRUE,IF(A26&lt;Career_History!D4,0,MIN(A26,Career_History!E4)-Career_History!D4+1),0),IF(Career_History!I5=TRUE,IF(A26&lt;Career_History!D5,0,MIN(A26,Career_History!E5)-Career_History!D5+1),0),IF(Career_History!I6=TRUE,IF(A26&lt;Career_History!D6,0,MIN(A26,Career_History!E6)-Career_History!D6+1),0),IF(Career_History!I7=TRUE,IF(A26&lt;Career_History!D7,0,MIN(A26,Career_History!E7)-Career_History!D7+1),0))/365.2425</f>
        <v>0.99933605755080523</v>
      </c>
      <c r="G26" s="9">
        <f>SUM(IF(Career_History!H4=TRUE,IF(A26&lt;Career_History!D4,0,MIN(A26,Career_History!E4)-Career_History!D4+1),0),IF(Career_History!H5=TRUE,IF(A26&lt;Career_History!D5,0,MIN(A26,Career_History!E5)-Career_History!D5+1),0),IF(Career_History!H6=TRUE,IF(A26&lt;Career_History!D6,0,MIN(A26,Career_History!E6)-Career_History!D6+1),0),IF(Career_History!H7=TRUE,IF(A26&lt;Career_History!D7,0,MIN(A26,Career_History!E7)-Career_History!D7+1),0))/365.2425</f>
        <v>38.505924146286368</v>
      </c>
      <c r="H26" s="9">
        <f>SUM(IF(Career_History!G8=TRUE,IF(A26&lt;Career_History!D8,0,MIN(A26,Career_History!E8)-Career_History!D8+1),0),IF(Career_History!G9=TRUE,IF(A26&lt;Career_History!D9,0,MIN(A26,Career_History!E9)-Career_History!D9+1),0))/365.2425</f>
        <v>36.258102493548805</v>
      </c>
      <c r="I26" s="9">
        <f>SUM(IF(Career_History!I8=TRUE,IF(A26&lt;Career_History!D8,0,MIN(A26,Career_History!E8)-Career_History!D8+1),0),IF(Career_History!I9=TRUE,IF(A26&lt;Career_History!D9,0,MIN(A26,Career_History!E9)-Career_History!D9+1),0))/365.2425</f>
        <v>0</v>
      </c>
      <c r="J26" s="9">
        <f>SUM(IF(Career_History!H8=TRUE,IF(A26&lt;Career_History!D8,0,MIN(A26,Career_History!E8)-Career_History!D8+1),0),IF(Career_History!H9=TRUE,IF(A26&lt;Career_History!D9,0,MIN(A26,Career_History!E9)-Career_History!D9+1),0))/365.2425</f>
        <v>36.258102493548805</v>
      </c>
      <c r="K26" s="9">
        <f>SUM(IF(Career_History!G10=TRUE,IF(A26&lt;Career_History!D10,0,MIN(A26,Career_History!E10)-Career_History!D10+1),0),IF(Career_History!G11=TRUE,IF(A26&lt;Career_History!D11,0,MIN(A26,Career_History!E11)-Career_History!D11+1),0))/365.2425</f>
        <v>29.260012183686179</v>
      </c>
      <c r="L26" s="9">
        <f>SUM(IF(Career_History!I10=TRUE,IF(A26&lt;Career_History!D10,0,MIN(A26,Career_History!E10)-Career_History!D10+1),0),IF(Career_History!I11=TRUE,IF(A26&lt;Career_History!D11,0,MIN(A26,Career_History!E11)-Career_History!D11+1),0))/365.2425</f>
        <v>26.505677734655741</v>
      </c>
      <c r="M26" s="9">
        <f>SUM(IF(Career_History!H10=TRUE,IF(A26&lt;Career_History!D10,0,MIN(A26,Career_History!E10)-Career_History!D10+1),0),IF(Career_History!H11=TRUE,IF(A26&lt;Career_History!D11,0,MIN(A26,Career_History!E11)-Career_History!D11+1),0))/365.2425</f>
        <v>29.260012183686179</v>
      </c>
      <c r="N26" s="9">
        <f>SUM(IF(Career_History!G12=TRUE,IF(A26&lt;Career_History!D12,0,MIN(A26,Career_History!E12)-Career_History!D12+1),0),IF(Career_History!G13=TRUE,IF(A26&lt;Career_History!D13,0,MIN(A26,Career_History!E13)-Career_History!D13+1),0))/365.2425</f>
        <v>25.506341677104938</v>
      </c>
      <c r="O26" s="9">
        <f>SUM(IF(Career_History!I12=TRUE,IF(A26&lt;Career_History!D12,0,MIN(A26,Career_History!E12)-Career_History!D12+1),0),IF(Career_History!I13=TRUE,IF(A26&lt;Career_History!D13,0,MIN(A26,Career_History!E13)-Career_History!D13+1),0))/365.2425</f>
        <v>0</v>
      </c>
      <c r="P26" s="9">
        <f>SUM(IF(Career_History!H12=TRUE,IF(A26&lt;Career_History!D12,0,MIN(A26,Career_History!E12)-Career_History!D12+1),0),IF(Career_History!H13=TRUE,IF(A26&lt;Career_History!D13,0,MIN(A26,Career_History!E13)-Career_History!D13+1),0))/365.2425</f>
        <v>2.0014100221085989</v>
      </c>
      <c r="Q26" s="9">
        <f>SUM(IF(Career_History!G14=TRUE,IF(A26&lt;Career_History!D14,0,MIN(A26,Career_History!E14)-Career_History!D14+1),0),IF(Career_History!G15=TRUE,IF(A26&lt;Career_History!D15,0,MIN(A26,Career_History!E15)-Career_History!D15+1),0))/365.2425</f>
        <v>31.258684298787792</v>
      </c>
      <c r="R26" s="9">
        <f>SUM(IF(Career_History!I14=TRUE,IF(A26&lt;Career_History!D14,0,MIN(A26,Career_History!E14)-Career_History!D14+1),0),IF(Career_History!I15=TRUE,IF(A26&lt;Career_History!D15,0,MIN(A26,Career_History!E15)-Career_History!D15+1),0))/365.2425</f>
        <v>0</v>
      </c>
      <c r="S26" s="9">
        <f>SUM(IF(Career_History!H14=TRUE,IF(A26&lt;Career_History!D14,0,MIN(A26,Career_History!E14)-Career_History!D14+1),0),IF(Career_History!H15=TRUE,IF(A26&lt;Career_History!D15,0,MIN(A26,Career_History!E15)-Career_History!D15+1),0))/365.2425</f>
        <v>31.258684298787792</v>
      </c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</row>
    <row r="27" spans="1:67">
      <c r="A27" s="8">
        <v>35461</v>
      </c>
      <c r="B27" s="9">
        <f t="shared" si="0"/>
        <v>29.992676098756306</v>
      </c>
      <c r="C27" s="9">
        <f t="shared" si="1"/>
        <v>9.8022546664202554</v>
      </c>
      <c r="D27" s="9">
        <f t="shared" si="2"/>
        <v>24.591333155369377</v>
      </c>
      <c r="E27" s="9">
        <f>SUM(IF(Career_History!G4=TRUE,IF(A27&lt;Career_History!D4,0,MIN(A27,Career_History!E4)-Career_History!D4+1),0),IF(Career_History!G5=TRUE,IF(A27&lt;Career_History!D5,0,MIN(A27,Career_History!E5)-Career_History!D5+1),0),IF(Career_History!G6=TRUE,IF(A27&lt;Career_History!D6,0,MIN(A27,Career_History!E6)-Career_History!D6+1),0),IF(Career_History!G7=TRUE,IF(A27&lt;Career_History!D7,0,MIN(A27,Career_History!E7)-Career_History!D7+1),0))/365.2425</f>
        <v>42.092582325441313</v>
      </c>
      <c r="F27" s="9">
        <f>SUM(IF(Career_History!I4=TRUE,IF(A27&lt;Career_History!D4,0,MIN(A27,Career_History!E4)-Career_History!D4+1),0),IF(Career_History!I5=TRUE,IF(A27&lt;Career_History!D5,0,MIN(A27,Career_History!E5)-Career_History!D5+1),0),IF(Career_History!I6=TRUE,IF(A27&lt;Career_History!D6,0,MIN(A27,Career_History!E6)-Career_History!D6+1),0),IF(Career_History!I7=TRUE,IF(A27&lt;Career_History!D7,0,MIN(A27,Career_History!E7)-Career_History!D7+1),0))/365.2425</f>
        <v>0.99933605755080523</v>
      </c>
      <c r="G27" s="9">
        <f>SUM(IF(Career_History!H4=TRUE,IF(A27&lt;Career_History!D4,0,MIN(A27,Career_History!E4)-Career_History!D4+1),0),IF(Career_History!H5=TRUE,IF(A27&lt;Career_History!D5,0,MIN(A27,Career_History!E5)-Career_History!D5+1),0),IF(Career_History!H6=TRUE,IF(A27&lt;Career_History!D6,0,MIN(A27,Career_History!E6)-Career_History!D6+1),0),IF(Career_History!H7=TRUE,IF(A27&lt;Career_History!D7,0,MIN(A27,Career_History!E7)-Career_History!D7+1),0))/365.2425</f>
        <v>38.590799263503015</v>
      </c>
      <c r="H27" s="9"/>
      <c r="I27" s="9"/>
      <c r="J27" s="9"/>
      <c r="K27" s="9">
        <f>SUM(IF(Career_History!G10=TRUE,IF(A27&lt;Career_History!D10,0,MIN(A27,Career_History!E10)-Career_History!D10+1),0),IF(Career_History!G11=TRUE,IF(A27&lt;Career_History!D11,0,MIN(A27,Career_History!E11)-Career_History!D11+1),0))/365.2425</f>
        <v>29.344887300902823</v>
      </c>
      <c r="L27" s="9">
        <f>SUM(IF(Career_History!I10=TRUE,IF(A27&lt;Career_History!D10,0,MIN(A27,Career_History!E10)-Career_History!D10+1),0),IF(Career_History!I11=TRUE,IF(A27&lt;Career_History!D11,0,MIN(A27,Career_History!E11)-Career_History!D11+1),0))/365.2425</f>
        <v>26.505677734655741</v>
      </c>
      <c r="M27" s="9">
        <f>SUM(IF(Career_History!H10=TRUE,IF(A27&lt;Career_History!D10,0,MIN(A27,Career_History!E10)-Career_History!D10+1),0),IF(Career_History!H11=TRUE,IF(A27&lt;Career_History!D11,0,MIN(A27,Career_History!E11)-Career_History!D11+1),0))/365.2425</f>
        <v>29.344887300902823</v>
      </c>
      <c r="N27" s="9">
        <f>SUM(IF(Career_History!G12=TRUE,IF(A27&lt;Career_History!D12,0,MIN(A27,Career_History!E12)-Career_History!D12+1),0),IF(Career_History!G13=TRUE,IF(A27&lt;Career_History!D13,0,MIN(A27,Career_History!E13)-Career_History!D13+1),0))/365.2425</f>
        <v>25.591216794321582</v>
      </c>
      <c r="O27" s="9">
        <f>SUM(IF(Career_History!I12=TRUE,IF(A27&lt;Career_History!D12,0,MIN(A27,Career_History!E12)-Career_History!D12+1),0),IF(Career_History!I13=TRUE,IF(A27&lt;Career_History!D13,0,MIN(A27,Career_History!E13)-Career_History!D13+1),0))/365.2425</f>
        <v>0</v>
      </c>
      <c r="P27" s="9">
        <f>SUM(IF(Career_History!H12=TRUE,IF(A27&lt;Career_History!D12,0,MIN(A27,Career_History!E12)-Career_History!D12+1),0),IF(Career_History!H13=TRUE,IF(A27&lt;Career_History!D13,0,MIN(A27,Career_History!E13)-Career_History!D13+1),0))/365.2425</f>
        <v>2.0862851393252426</v>
      </c>
      <c r="Q27" s="9">
        <f>SUM(IF(Career_History!G14=TRUE,IF(A27&lt;Career_History!D14,0,MIN(A27,Career_History!E14)-Career_History!D14+1),0),IF(Career_History!G15=TRUE,IF(A27&lt;Career_History!D15,0,MIN(A27,Career_History!E15)-Career_History!D15+1),0))/365.2425</f>
        <v>31.343559416004435</v>
      </c>
      <c r="R27" s="9">
        <f>SUM(IF(Career_History!I14=TRUE,IF(A27&lt;Career_History!D14,0,MIN(A27,Career_History!E14)-Career_History!D14+1),0),IF(Career_History!I15=TRUE,IF(A27&lt;Career_History!D15,0,MIN(A27,Career_History!E15)-Career_History!D15+1),0))/365.2425</f>
        <v>0</v>
      </c>
      <c r="S27" s="9">
        <f>SUM(IF(Career_History!H14=TRUE,IF(A27&lt;Career_History!D14,0,MIN(A27,Career_History!E14)-Career_History!D14+1),0),IF(Career_History!H15=TRUE,IF(A27&lt;Career_History!D15,0,MIN(A27,Career_History!E15)-Career_History!D15+1),0))/365.2425</f>
        <v>31.343559416004435</v>
      </c>
      <c r="T27" s="9">
        <f>SUM(IF(Career_History!G16=TRUE,IF(A27&lt;Career_History!D16,0,MIN(A27,Career_History!E16)-Career_History!D16+1),0),IF(Career_History!G17=TRUE,IF(A27&lt;Career_History!D17,0,MIN(A27,Career_History!E17)-Career_History!D17+1),0))/365.2425</f>
        <v>21.591134657111372</v>
      </c>
      <c r="U27" s="9">
        <f>SUM(IF(Career_History!I16=TRUE,IF(A27&lt;Career_History!D16,0,MIN(A27,Career_History!E16)-Career_History!D16+1),0),IF(Career_History!I17=TRUE,IF(A27&lt;Career_History!D17,0,MIN(A27,Career_History!E17)-Career_History!D17+1),0))/365.2425</f>
        <v>21.506259539894728</v>
      </c>
      <c r="V27" s="9">
        <f>SUM(IF(Career_History!H16=TRUE,IF(A27&lt;Career_History!D16,0,MIN(A27,Career_History!E16)-Career_History!D16+1),0),IF(Career_History!H17=TRUE,IF(A27&lt;Career_History!D17,0,MIN(A27,Career_History!E17)-Career_History!D17+1),0))/365.2425</f>
        <v>21.591134657111372</v>
      </c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</row>
    <row r="28" spans="1:67">
      <c r="A28" s="8">
        <v>35489</v>
      </c>
      <c r="B28" s="9">
        <f t="shared" si="0"/>
        <v>30.069337494951988</v>
      </c>
      <c r="C28" s="9">
        <f t="shared" si="1"/>
        <v>9.8022546664202554</v>
      </c>
      <c r="D28" s="9">
        <f t="shared" si="2"/>
        <v>24.667994551565055</v>
      </c>
      <c r="E28" s="9">
        <f>SUM(IF(Career_History!G4=TRUE,IF(A28&lt;Career_History!D4,0,MIN(A28,Career_History!E4)-Career_History!D4+1),0),IF(Career_History!G5=TRUE,IF(A28&lt;Career_History!D5,0,MIN(A28,Career_History!E5)-Career_History!D5+1),0),IF(Career_History!G6=TRUE,IF(A28&lt;Career_History!D6,0,MIN(A28,Career_History!E6)-Career_History!D6+1),0),IF(Career_History!G7=TRUE,IF(A28&lt;Career_History!D7,0,MIN(A28,Career_History!E7)-Career_History!D7+1),0))/365.2425</f>
        <v>42.169243721636995</v>
      </c>
      <c r="F28" s="9">
        <f>SUM(IF(Career_History!I4=TRUE,IF(A28&lt;Career_History!D4,0,MIN(A28,Career_History!E4)-Career_History!D4+1),0),IF(Career_History!I5=TRUE,IF(A28&lt;Career_History!D5,0,MIN(A28,Career_History!E5)-Career_History!D5+1),0),IF(Career_History!I6=TRUE,IF(A28&lt;Career_History!D6,0,MIN(A28,Career_History!E6)-Career_History!D6+1),0),IF(Career_History!I7=TRUE,IF(A28&lt;Career_History!D7,0,MIN(A28,Career_History!E7)-Career_History!D7+1),0))/365.2425</f>
        <v>0.99933605755080523</v>
      </c>
      <c r="G28" s="9">
        <f>SUM(IF(Career_History!H4=TRUE,IF(A28&lt;Career_History!D4,0,MIN(A28,Career_History!E4)-Career_History!D4+1),0),IF(Career_History!H5=TRUE,IF(A28&lt;Career_History!D5,0,MIN(A28,Career_History!E5)-Career_History!D5+1),0),IF(Career_History!H6=TRUE,IF(A28&lt;Career_History!D6,0,MIN(A28,Career_History!E6)-Career_History!D6+1),0),IF(Career_History!H7=TRUE,IF(A28&lt;Career_History!D7,0,MIN(A28,Career_History!E7)-Career_History!D7+1),0))/365.2425</f>
        <v>38.667460659698691</v>
      </c>
      <c r="H28" s="9"/>
      <c r="I28" s="9"/>
      <c r="J28" s="9"/>
      <c r="K28" s="9">
        <f>SUM(IF(Career_History!G10=TRUE,IF(A28&lt;Career_History!D10,0,MIN(A28,Career_History!E10)-Career_History!D10+1),0),IF(Career_History!G11=TRUE,IF(A28&lt;Career_History!D11,0,MIN(A28,Career_History!E11)-Career_History!D11+1),0))/365.2425</f>
        <v>29.421548697098501</v>
      </c>
      <c r="L28" s="9">
        <f>SUM(IF(Career_History!I10=TRUE,IF(A28&lt;Career_History!D10,0,MIN(A28,Career_History!E10)-Career_History!D10+1),0),IF(Career_History!I11=TRUE,IF(A28&lt;Career_History!D11,0,MIN(A28,Career_History!E11)-Career_History!D11+1),0))/365.2425</f>
        <v>26.505677734655741</v>
      </c>
      <c r="M28" s="9">
        <f>SUM(IF(Career_History!H10=TRUE,IF(A28&lt;Career_History!D10,0,MIN(A28,Career_History!E10)-Career_History!D10+1),0),IF(Career_History!H11=TRUE,IF(A28&lt;Career_History!D11,0,MIN(A28,Career_History!E11)-Career_History!D11+1),0))/365.2425</f>
        <v>29.421548697098501</v>
      </c>
      <c r="N28" s="9">
        <f>SUM(IF(Career_History!G12=TRUE,IF(A28&lt;Career_History!D12,0,MIN(A28,Career_History!E12)-Career_History!D12+1),0),IF(Career_History!G13=TRUE,IF(A28&lt;Career_History!D13,0,MIN(A28,Career_History!E13)-Career_History!D13+1),0))/365.2425</f>
        <v>25.667878190517257</v>
      </c>
      <c r="O28" s="9">
        <f>SUM(IF(Career_History!I12=TRUE,IF(A28&lt;Career_History!D12,0,MIN(A28,Career_History!E12)-Career_History!D12+1),0),IF(Career_History!I13=TRUE,IF(A28&lt;Career_History!D13,0,MIN(A28,Career_History!E13)-Career_History!D13+1),0))/365.2425</f>
        <v>0</v>
      </c>
      <c r="P28" s="9">
        <f>SUM(IF(Career_History!H12=TRUE,IF(A28&lt;Career_History!D12,0,MIN(A28,Career_History!E12)-Career_History!D12+1),0),IF(Career_History!H13=TRUE,IF(A28&lt;Career_History!D13,0,MIN(A28,Career_History!E13)-Career_History!D13+1),0))/365.2425</f>
        <v>2.1629465355209212</v>
      </c>
      <c r="Q28" s="9">
        <f>SUM(IF(Career_History!G14=TRUE,IF(A28&lt;Career_History!D14,0,MIN(A28,Career_History!E14)-Career_History!D14+1),0),IF(Career_History!G15=TRUE,IF(A28&lt;Career_History!D15,0,MIN(A28,Career_History!E15)-Career_History!D15+1),0))/365.2425</f>
        <v>31.420220812200114</v>
      </c>
      <c r="R28" s="9">
        <f>SUM(IF(Career_History!I14=TRUE,IF(A28&lt;Career_History!D14,0,MIN(A28,Career_History!E14)-Career_History!D14+1),0),IF(Career_History!I15=TRUE,IF(A28&lt;Career_History!D15,0,MIN(A28,Career_History!E15)-Career_History!D15+1),0))/365.2425</f>
        <v>0</v>
      </c>
      <c r="S28" s="9">
        <f>SUM(IF(Career_History!H14=TRUE,IF(A28&lt;Career_History!D14,0,MIN(A28,Career_History!E14)-Career_History!D14+1),0),IF(Career_History!H15=TRUE,IF(A28&lt;Career_History!D15,0,MIN(A28,Career_History!E15)-Career_History!D15+1),0))/365.2425</f>
        <v>31.420220812200114</v>
      </c>
      <c r="T28" s="9">
        <f>SUM(IF(Career_History!G16=TRUE,IF(A28&lt;Career_History!D16,0,MIN(A28,Career_History!E16)-Career_History!D16+1),0),IF(Career_History!G17=TRUE,IF(A28&lt;Career_History!D17,0,MIN(A28,Career_History!E17)-Career_History!D17+1),0))/365.2425</f>
        <v>21.66779605330705</v>
      </c>
      <c r="U28" s="9">
        <f>SUM(IF(Career_History!I16=TRUE,IF(A28&lt;Career_History!D16,0,MIN(A28,Career_History!E16)-Career_History!D16+1),0),IF(Career_History!I17=TRUE,IF(A28&lt;Career_History!D17,0,MIN(A28,Career_History!E17)-Career_History!D17+1),0))/365.2425</f>
        <v>21.506259539894728</v>
      </c>
      <c r="V28" s="9">
        <f>SUM(IF(Career_History!H16=TRUE,IF(A28&lt;Career_History!D16,0,MIN(A28,Career_History!E16)-Career_History!D16+1),0),IF(Career_History!H17=TRUE,IF(A28&lt;Career_History!D17,0,MIN(A28,Career_History!E17)-Career_History!D17+1),0))/365.2425</f>
        <v>21.66779605330705</v>
      </c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</row>
    <row r="29" spans="1:67">
      <c r="A29" s="8">
        <v>35520</v>
      </c>
      <c r="B29" s="9">
        <f t="shared" si="0"/>
        <v>30.154212612168624</v>
      </c>
      <c r="C29" s="9">
        <f t="shared" si="1"/>
        <v>9.8022546664202554</v>
      </c>
      <c r="D29" s="9">
        <f t="shared" si="2"/>
        <v>24.752869668781702</v>
      </c>
      <c r="E29" s="9">
        <f>SUM(IF(Career_History!G4=TRUE,IF(A29&lt;Career_History!D4,0,MIN(A29,Career_History!E4)-Career_History!D4+1),0),IF(Career_History!G5=TRUE,IF(A29&lt;Career_History!D5,0,MIN(A29,Career_History!E5)-Career_History!D5+1),0),IF(Career_History!G6=TRUE,IF(A29&lt;Career_History!D6,0,MIN(A29,Career_History!E6)-Career_History!D6+1),0),IF(Career_History!G7=TRUE,IF(A29&lt;Career_History!D7,0,MIN(A29,Career_History!E7)-Career_History!D7+1),0))/365.2425</f>
        <v>42.254118838853636</v>
      </c>
      <c r="F29" s="9">
        <f>SUM(IF(Career_History!I4=TRUE,IF(A29&lt;Career_History!D4,0,MIN(A29,Career_History!E4)-Career_History!D4+1),0),IF(Career_History!I5=TRUE,IF(A29&lt;Career_History!D5,0,MIN(A29,Career_History!E5)-Career_History!D5+1),0),IF(Career_History!I6=TRUE,IF(A29&lt;Career_History!D6,0,MIN(A29,Career_History!E6)-Career_History!D6+1),0),IF(Career_History!I7=TRUE,IF(A29&lt;Career_History!D7,0,MIN(A29,Career_History!E7)-Career_History!D7+1),0))/365.2425</f>
        <v>0.99933605755080523</v>
      </c>
      <c r="G29" s="9">
        <f>SUM(IF(Career_History!H4=TRUE,IF(A29&lt;Career_History!D4,0,MIN(A29,Career_History!E4)-Career_History!D4+1),0),IF(Career_History!H5=TRUE,IF(A29&lt;Career_History!D5,0,MIN(A29,Career_History!E5)-Career_History!D5+1),0),IF(Career_History!H6=TRUE,IF(A29&lt;Career_History!D6,0,MIN(A29,Career_History!E6)-Career_History!D6+1),0),IF(Career_History!H7=TRUE,IF(A29&lt;Career_History!D7,0,MIN(A29,Career_History!E7)-Career_History!D7+1),0))/365.2425</f>
        <v>38.752335776915338</v>
      </c>
      <c r="H29" s="9"/>
      <c r="I29" s="9"/>
      <c r="J29" s="9"/>
      <c r="K29" s="9">
        <f>SUM(IF(Career_History!G10=TRUE,IF(A29&lt;Career_History!D10,0,MIN(A29,Career_History!E10)-Career_History!D10+1),0),IF(Career_History!G11=TRUE,IF(A29&lt;Career_History!D11,0,MIN(A29,Career_History!E11)-Career_History!D11+1),0))/365.2425</f>
        <v>29.506423814315145</v>
      </c>
      <c r="L29" s="9">
        <f>SUM(IF(Career_History!I10=TRUE,IF(A29&lt;Career_History!D10,0,MIN(A29,Career_History!E10)-Career_History!D10+1),0),IF(Career_History!I11=TRUE,IF(A29&lt;Career_History!D11,0,MIN(A29,Career_History!E11)-Career_History!D11+1),0))/365.2425</f>
        <v>26.505677734655741</v>
      </c>
      <c r="M29" s="9">
        <f>SUM(IF(Career_History!H10=TRUE,IF(A29&lt;Career_History!D10,0,MIN(A29,Career_History!E10)-Career_History!D10+1),0),IF(Career_History!H11=TRUE,IF(A29&lt;Career_History!D11,0,MIN(A29,Career_History!E11)-Career_History!D11+1),0))/365.2425</f>
        <v>29.506423814315145</v>
      </c>
      <c r="N29" s="9">
        <f>SUM(IF(Career_History!G12=TRUE,IF(A29&lt;Career_History!D12,0,MIN(A29,Career_History!E12)-Career_History!D12+1),0),IF(Career_History!G13=TRUE,IF(A29&lt;Career_History!D13,0,MIN(A29,Career_History!E13)-Career_History!D13+1),0))/365.2425</f>
        <v>25.752753307733901</v>
      </c>
      <c r="O29" s="9">
        <f>SUM(IF(Career_History!I12=TRUE,IF(A29&lt;Career_History!D12,0,MIN(A29,Career_History!E12)-Career_History!D12+1),0),IF(Career_History!I13=TRUE,IF(A29&lt;Career_History!D13,0,MIN(A29,Career_History!E13)-Career_History!D13+1),0))/365.2425</f>
        <v>0</v>
      </c>
      <c r="P29" s="9">
        <f>SUM(IF(Career_History!H12=TRUE,IF(A29&lt;Career_History!D12,0,MIN(A29,Career_History!E12)-Career_History!D12+1),0),IF(Career_History!H13=TRUE,IF(A29&lt;Career_History!D13,0,MIN(A29,Career_History!E13)-Career_History!D13+1),0))/365.2425</f>
        <v>2.2478216527375645</v>
      </c>
      <c r="Q29" s="9">
        <f>SUM(IF(Career_History!G14=TRUE,IF(A29&lt;Career_History!D14,0,MIN(A29,Career_History!E14)-Career_History!D14+1),0),IF(Career_History!G15=TRUE,IF(A29&lt;Career_History!D15,0,MIN(A29,Career_History!E15)-Career_History!D15+1),0))/365.2425</f>
        <v>31.505095929416758</v>
      </c>
      <c r="R29" s="9">
        <f>SUM(IF(Career_History!I14=TRUE,IF(A29&lt;Career_History!D14,0,MIN(A29,Career_History!E14)-Career_History!D14+1),0),IF(Career_History!I15=TRUE,IF(A29&lt;Career_History!D15,0,MIN(A29,Career_History!E15)-Career_History!D15+1),0))/365.2425</f>
        <v>0</v>
      </c>
      <c r="S29" s="9">
        <f>SUM(IF(Career_History!H14=TRUE,IF(A29&lt;Career_History!D14,0,MIN(A29,Career_History!E14)-Career_History!D14+1),0),IF(Career_History!H15=TRUE,IF(A29&lt;Career_History!D15,0,MIN(A29,Career_History!E15)-Career_History!D15+1),0))/365.2425</f>
        <v>31.505095929416758</v>
      </c>
      <c r="T29" s="9">
        <f>SUM(IF(Career_History!G16=TRUE,IF(A29&lt;Career_History!D16,0,MIN(A29,Career_History!E16)-Career_History!D16+1),0),IF(Career_History!G17=TRUE,IF(A29&lt;Career_History!D17,0,MIN(A29,Career_History!E17)-Career_History!D17+1),0))/365.2425</f>
        <v>21.752671170523694</v>
      </c>
      <c r="U29" s="9">
        <f>SUM(IF(Career_History!I16=TRUE,IF(A29&lt;Career_History!D16,0,MIN(A29,Career_History!E16)-Career_History!D16+1),0),IF(Career_History!I17=TRUE,IF(A29&lt;Career_History!D17,0,MIN(A29,Career_History!E17)-Career_History!D17+1),0))/365.2425</f>
        <v>21.506259539894728</v>
      </c>
      <c r="V29" s="9">
        <f>SUM(IF(Career_History!H16=TRUE,IF(A29&lt;Career_History!D16,0,MIN(A29,Career_History!E16)-Career_History!D16+1),0),IF(Career_History!H17=TRUE,IF(A29&lt;Career_History!D17,0,MIN(A29,Career_History!E17)-Career_History!D17+1),0))/365.2425</f>
        <v>21.752671170523694</v>
      </c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</row>
    <row r="30" spans="1:67">
      <c r="A30" s="8">
        <v>35550</v>
      </c>
      <c r="B30" s="9">
        <f t="shared" si="0"/>
        <v>30.23634982237828</v>
      </c>
      <c r="C30" s="9">
        <f t="shared" si="1"/>
        <v>9.8022546664202554</v>
      </c>
      <c r="D30" s="9">
        <f t="shared" si="2"/>
        <v>24.835006878991354</v>
      </c>
      <c r="E30" s="9">
        <f>SUM(IF(Career_History!G4=TRUE,IF(A30&lt;Career_History!D4,0,MIN(A30,Career_History!E4)-Career_History!D4+1),0),IF(Career_History!G5=TRUE,IF(A30&lt;Career_History!D5,0,MIN(A30,Career_History!E5)-Career_History!D5+1),0),IF(Career_History!G6=TRUE,IF(A30&lt;Career_History!D6,0,MIN(A30,Career_History!E6)-Career_History!D6+1),0),IF(Career_History!G7=TRUE,IF(A30&lt;Career_History!D7,0,MIN(A30,Career_History!E7)-Career_History!D7+1),0))/365.2425</f>
        <v>42.336256049063294</v>
      </c>
      <c r="F30" s="9">
        <f>SUM(IF(Career_History!I4=TRUE,IF(A30&lt;Career_History!D4,0,MIN(A30,Career_History!E4)-Career_History!D4+1),0),IF(Career_History!I5=TRUE,IF(A30&lt;Career_History!D5,0,MIN(A30,Career_History!E5)-Career_History!D5+1),0),IF(Career_History!I6=TRUE,IF(A30&lt;Career_History!D6,0,MIN(A30,Career_History!E6)-Career_History!D6+1),0),IF(Career_History!I7=TRUE,IF(A30&lt;Career_History!D7,0,MIN(A30,Career_History!E7)-Career_History!D7+1),0))/365.2425</f>
        <v>0.99933605755080523</v>
      </c>
      <c r="G30" s="9">
        <f>SUM(IF(Career_History!H4=TRUE,IF(A30&lt;Career_History!D4,0,MIN(A30,Career_History!E4)-Career_History!D4+1),0),IF(Career_History!H5=TRUE,IF(A30&lt;Career_History!D5,0,MIN(A30,Career_History!E5)-Career_History!D5+1),0),IF(Career_History!H6=TRUE,IF(A30&lt;Career_History!D6,0,MIN(A30,Career_History!E6)-Career_History!D6+1),0),IF(Career_History!H7=TRUE,IF(A30&lt;Career_History!D7,0,MIN(A30,Career_History!E7)-Career_History!D7+1),0))/365.2425</f>
        <v>38.83447298712499</v>
      </c>
      <c r="H30" s="9"/>
      <c r="I30" s="9"/>
      <c r="J30" s="9"/>
      <c r="K30" s="9">
        <f>SUM(IF(Career_History!G10=TRUE,IF(A30&lt;Career_History!D10,0,MIN(A30,Career_History!E10)-Career_History!D10+1),0),IF(Career_History!G11=TRUE,IF(A30&lt;Career_History!D11,0,MIN(A30,Career_History!E11)-Career_History!D11+1),0))/365.2425</f>
        <v>29.5885610245248</v>
      </c>
      <c r="L30" s="9">
        <f>SUM(IF(Career_History!I10=TRUE,IF(A30&lt;Career_History!D10,0,MIN(A30,Career_History!E10)-Career_History!D10+1),0),IF(Career_History!I11=TRUE,IF(A30&lt;Career_History!D11,0,MIN(A30,Career_History!E11)-Career_History!D11+1),0))/365.2425</f>
        <v>26.505677734655741</v>
      </c>
      <c r="M30" s="9">
        <f>SUM(IF(Career_History!H10=TRUE,IF(A30&lt;Career_History!D10,0,MIN(A30,Career_History!E10)-Career_History!D10+1),0),IF(Career_History!H11=TRUE,IF(A30&lt;Career_History!D11,0,MIN(A30,Career_History!E11)-Career_History!D11+1),0))/365.2425</f>
        <v>29.5885610245248</v>
      </c>
      <c r="N30" s="9">
        <f>SUM(IF(Career_History!G12=TRUE,IF(A30&lt;Career_History!D12,0,MIN(A30,Career_History!E12)-Career_History!D12+1),0),IF(Career_History!G13=TRUE,IF(A30&lt;Career_History!D13,0,MIN(A30,Career_History!E13)-Career_History!D13+1),0))/365.2425</f>
        <v>25.834890517943556</v>
      </c>
      <c r="O30" s="9">
        <f>SUM(IF(Career_History!I12=TRUE,IF(A30&lt;Career_History!D12,0,MIN(A30,Career_History!E12)-Career_History!D12+1),0),IF(Career_History!I13=TRUE,IF(A30&lt;Career_History!D13,0,MIN(A30,Career_History!E13)-Career_History!D13+1),0))/365.2425</f>
        <v>0</v>
      </c>
      <c r="P30" s="9">
        <f>SUM(IF(Career_History!H12=TRUE,IF(A30&lt;Career_History!D12,0,MIN(A30,Career_History!E12)-Career_History!D12+1),0),IF(Career_History!H13=TRUE,IF(A30&lt;Career_History!D13,0,MIN(A30,Career_History!E13)-Career_History!D13+1),0))/365.2425</f>
        <v>2.3299588629472199</v>
      </c>
      <c r="Q30" s="9">
        <f>SUM(IF(Career_History!G14=TRUE,IF(A30&lt;Career_History!D14,0,MIN(A30,Career_History!E14)-Career_History!D14+1),0),IF(Career_History!G15=TRUE,IF(A30&lt;Career_History!D15,0,MIN(A30,Career_History!E15)-Career_History!D15+1),0))/365.2425</f>
        <v>31.587233139626413</v>
      </c>
      <c r="R30" s="9">
        <f>SUM(IF(Career_History!I14=TRUE,IF(A30&lt;Career_History!D14,0,MIN(A30,Career_History!E14)-Career_History!D14+1),0),IF(Career_History!I15=TRUE,IF(A30&lt;Career_History!D15,0,MIN(A30,Career_History!E15)-Career_History!D15+1),0))/365.2425</f>
        <v>0</v>
      </c>
      <c r="S30" s="9">
        <f>SUM(IF(Career_History!H14=TRUE,IF(A30&lt;Career_History!D14,0,MIN(A30,Career_History!E14)-Career_History!D14+1),0),IF(Career_History!H15=TRUE,IF(A30&lt;Career_History!D15,0,MIN(A30,Career_History!E15)-Career_History!D15+1),0))/365.2425</f>
        <v>31.587233139626413</v>
      </c>
      <c r="T30" s="9">
        <f>SUM(IF(Career_History!G16=TRUE,IF(A30&lt;Career_History!D16,0,MIN(A30,Career_History!E16)-Career_History!D16+1),0),IF(Career_History!G17=TRUE,IF(A30&lt;Career_History!D17,0,MIN(A30,Career_History!E17)-Career_History!D17+1),0))/365.2425</f>
        <v>21.83480838073335</v>
      </c>
      <c r="U30" s="9">
        <f>SUM(IF(Career_History!I16=TRUE,IF(A30&lt;Career_History!D16,0,MIN(A30,Career_History!E16)-Career_History!D16+1),0),IF(Career_History!I17=TRUE,IF(A30&lt;Career_History!D17,0,MIN(A30,Career_History!E17)-Career_History!D17+1),0))/365.2425</f>
        <v>21.506259539894728</v>
      </c>
      <c r="V30" s="9">
        <f>SUM(IF(Career_History!H16=TRUE,IF(A30&lt;Career_History!D16,0,MIN(A30,Career_History!E16)-Career_History!D16+1),0),IF(Career_History!H17=TRUE,IF(A30&lt;Career_History!D17,0,MIN(A30,Career_History!E17)-Career_History!D17+1),0))/365.2425</f>
        <v>21.83480838073335</v>
      </c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</row>
    <row r="31" spans="1:67">
      <c r="A31" s="8">
        <v>35581</v>
      </c>
      <c r="B31" s="9">
        <f t="shared" si="0"/>
        <v>30.321224939594924</v>
      </c>
      <c r="C31" s="9">
        <f t="shared" si="1"/>
        <v>9.8022546664202554</v>
      </c>
      <c r="D31" s="9">
        <f t="shared" si="2"/>
        <v>24.919881996207998</v>
      </c>
      <c r="E31" s="9">
        <f>SUM(IF(Career_History!G4=TRUE,IF(A31&lt;Career_History!D4,0,MIN(A31,Career_History!E4)-Career_History!D4+1),0),IF(Career_History!G5=TRUE,IF(A31&lt;Career_History!D5,0,MIN(A31,Career_History!E5)-Career_History!D5+1),0),IF(Career_History!G6=TRUE,IF(A31&lt;Career_History!D6,0,MIN(A31,Career_History!E6)-Career_History!D6+1),0),IF(Career_History!G7=TRUE,IF(A31&lt;Career_History!D7,0,MIN(A31,Career_History!E7)-Career_History!D7+1),0))/365.2425</f>
        <v>42.421131166279935</v>
      </c>
      <c r="F31" s="9">
        <f>SUM(IF(Career_History!I4=TRUE,IF(A31&lt;Career_History!D4,0,MIN(A31,Career_History!E4)-Career_History!D4+1),0),IF(Career_History!I5=TRUE,IF(A31&lt;Career_History!D5,0,MIN(A31,Career_History!E5)-Career_History!D5+1),0),IF(Career_History!I6=TRUE,IF(A31&lt;Career_History!D6,0,MIN(A31,Career_History!E6)-Career_History!D6+1),0),IF(Career_History!I7=TRUE,IF(A31&lt;Career_History!D7,0,MIN(A31,Career_History!E7)-Career_History!D7+1),0))/365.2425</f>
        <v>0.99933605755080523</v>
      </c>
      <c r="G31" s="9">
        <f>SUM(IF(Career_History!H4=TRUE,IF(A31&lt;Career_History!D4,0,MIN(A31,Career_History!E4)-Career_History!D4+1),0),IF(Career_History!H5=TRUE,IF(A31&lt;Career_History!D5,0,MIN(A31,Career_History!E5)-Career_History!D5+1),0),IF(Career_History!H6=TRUE,IF(A31&lt;Career_History!D6,0,MIN(A31,Career_History!E6)-Career_History!D6+1),0),IF(Career_History!H7=TRUE,IF(A31&lt;Career_History!D7,0,MIN(A31,Career_History!E7)-Career_History!D7+1),0))/365.2425</f>
        <v>38.919348104341637</v>
      </c>
      <c r="H31" s="9"/>
      <c r="I31" s="9"/>
      <c r="J31" s="9"/>
      <c r="K31" s="9">
        <f>SUM(IF(Career_History!G10=TRUE,IF(A31&lt;Career_History!D10,0,MIN(A31,Career_History!E10)-Career_History!D10+1),0),IF(Career_History!G11=TRUE,IF(A31&lt;Career_History!D11,0,MIN(A31,Career_History!E11)-Career_History!D11+1),0))/365.2425</f>
        <v>29.673436141741444</v>
      </c>
      <c r="L31" s="9">
        <f>SUM(IF(Career_History!I10=TRUE,IF(A31&lt;Career_History!D10,0,MIN(A31,Career_History!E10)-Career_History!D10+1),0),IF(Career_History!I11=TRUE,IF(A31&lt;Career_History!D11,0,MIN(A31,Career_History!E11)-Career_History!D11+1),0))/365.2425</f>
        <v>26.505677734655741</v>
      </c>
      <c r="M31" s="9">
        <f>SUM(IF(Career_History!H10=TRUE,IF(A31&lt;Career_History!D10,0,MIN(A31,Career_History!E10)-Career_History!D10+1),0),IF(Career_History!H11=TRUE,IF(A31&lt;Career_History!D11,0,MIN(A31,Career_History!E11)-Career_History!D11+1),0))/365.2425</f>
        <v>29.673436141741444</v>
      </c>
      <c r="N31" s="9">
        <f>SUM(IF(Career_History!G12=TRUE,IF(A31&lt;Career_History!D12,0,MIN(A31,Career_History!E12)-Career_History!D12+1),0),IF(Career_History!G13=TRUE,IF(A31&lt;Career_History!D13,0,MIN(A31,Career_History!E13)-Career_History!D13+1),0))/365.2425</f>
        <v>25.9197656351602</v>
      </c>
      <c r="O31" s="9">
        <f>SUM(IF(Career_History!I12=TRUE,IF(A31&lt;Career_History!D12,0,MIN(A31,Career_History!E12)-Career_History!D12+1),0),IF(Career_History!I13=TRUE,IF(A31&lt;Career_History!D13,0,MIN(A31,Career_History!E13)-Career_History!D13+1),0))/365.2425</f>
        <v>0</v>
      </c>
      <c r="P31" s="9">
        <f>SUM(IF(Career_History!H12=TRUE,IF(A31&lt;Career_History!D12,0,MIN(A31,Career_History!E12)-Career_History!D12+1),0),IF(Career_History!H13=TRUE,IF(A31&lt;Career_History!D13,0,MIN(A31,Career_History!E13)-Career_History!D13+1),0))/365.2425</f>
        <v>2.4148339801638636</v>
      </c>
      <c r="Q31" s="9">
        <f>SUM(IF(Career_History!G14=TRUE,IF(A31&lt;Career_History!D14,0,MIN(A31,Career_History!E14)-Career_History!D14+1),0),IF(Career_History!G15=TRUE,IF(A31&lt;Career_History!D15,0,MIN(A31,Career_History!E15)-Career_History!D15+1),0))/365.2425</f>
        <v>31.672108256843057</v>
      </c>
      <c r="R31" s="9">
        <f>SUM(IF(Career_History!I14=TRUE,IF(A31&lt;Career_History!D14,0,MIN(A31,Career_History!E14)-Career_History!D14+1),0),IF(Career_History!I15=TRUE,IF(A31&lt;Career_History!D15,0,MIN(A31,Career_History!E15)-Career_History!D15+1),0))/365.2425</f>
        <v>0</v>
      </c>
      <c r="S31" s="9">
        <f>SUM(IF(Career_History!H14=TRUE,IF(A31&lt;Career_History!D14,0,MIN(A31,Career_History!E14)-Career_History!D14+1),0),IF(Career_History!H15=TRUE,IF(A31&lt;Career_History!D15,0,MIN(A31,Career_History!E15)-Career_History!D15+1),0))/365.2425</f>
        <v>31.672108256843057</v>
      </c>
      <c r="T31" s="9">
        <f>SUM(IF(Career_History!G16=TRUE,IF(A31&lt;Career_History!D16,0,MIN(A31,Career_History!E16)-Career_History!D16+1),0),IF(Career_History!G17=TRUE,IF(A31&lt;Career_History!D17,0,MIN(A31,Career_History!E17)-Career_History!D17+1),0))/365.2425</f>
        <v>21.919683497949993</v>
      </c>
      <c r="U31" s="9">
        <f>SUM(IF(Career_History!I16=TRUE,IF(A31&lt;Career_History!D16,0,MIN(A31,Career_History!E16)-Career_History!D16+1),0),IF(Career_History!I17=TRUE,IF(A31&lt;Career_History!D17,0,MIN(A31,Career_History!E17)-Career_History!D17+1),0))/365.2425</f>
        <v>21.506259539894728</v>
      </c>
      <c r="V31" s="9">
        <f>SUM(IF(Career_History!H16=TRUE,IF(A31&lt;Career_History!D16,0,MIN(A31,Career_History!E16)-Career_History!D16+1),0),IF(Career_History!H17=TRUE,IF(A31&lt;Career_History!D17,0,MIN(A31,Career_History!E17)-Career_History!D17+1),0))/365.2425</f>
        <v>21.919683497949993</v>
      </c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</row>
    <row r="32" spans="1:67">
      <c r="A32" s="8">
        <v>35611</v>
      </c>
      <c r="B32" s="9">
        <f t="shared" si="0"/>
        <v>30.403362149804583</v>
      </c>
      <c r="C32" s="9">
        <f t="shared" si="1"/>
        <v>9.8022546664202554</v>
      </c>
      <c r="D32" s="9">
        <f t="shared" si="2"/>
        <v>25.00201920641765</v>
      </c>
      <c r="E32" s="9">
        <f>SUM(IF(Career_History!G4=TRUE,IF(A32&lt;Career_History!D4,0,MIN(A32,Career_History!E4)-Career_History!D4+1),0),IF(Career_History!G5=TRUE,IF(A32&lt;Career_History!D5,0,MIN(A32,Career_History!E5)-Career_History!D5+1),0),IF(Career_History!G6=TRUE,IF(A32&lt;Career_History!D6,0,MIN(A32,Career_History!E6)-Career_History!D6+1),0),IF(Career_History!G7=TRUE,IF(A32&lt;Career_History!D7,0,MIN(A32,Career_History!E7)-Career_History!D7+1),0))/365.2425</f>
        <v>42.503268376489594</v>
      </c>
      <c r="F32" s="9">
        <f>SUM(IF(Career_History!I4=TRUE,IF(A32&lt;Career_History!D4,0,MIN(A32,Career_History!E4)-Career_History!D4+1),0),IF(Career_History!I5=TRUE,IF(A32&lt;Career_History!D5,0,MIN(A32,Career_History!E5)-Career_History!D5+1),0),IF(Career_History!I6=TRUE,IF(A32&lt;Career_History!D6,0,MIN(A32,Career_History!E6)-Career_History!D6+1),0),IF(Career_History!I7=TRUE,IF(A32&lt;Career_History!D7,0,MIN(A32,Career_History!E7)-Career_History!D7+1),0))/365.2425</f>
        <v>0.99933605755080523</v>
      </c>
      <c r="G32" s="9">
        <f>SUM(IF(Career_History!H4=TRUE,IF(A32&lt;Career_History!D4,0,MIN(A32,Career_History!E4)-Career_History!D4+1),0),IF(Career_History!H5=TRUE,IF(A32&lt;Career_History!D5,0,MIN(A32,Career_History!E5)-Career_History!D5+1),0),IF(Career_History!H6=TRUE,IF(A32&lt;Career_History!D6,0,MIN(A32,Career_History!E6)-Career_History!D6+1),0),IF(Career_History!H7=TRUE,IF(A32&lt;Career_History!D7,0,MIN(A32,Career_History!E7)-Career_History!D7+1),0))/365.2425</f>
        <v>39.001485314551289</v>
      </c>
      <c r="H32" s="9"/>
      <c r="I32" s="9"/>
      <c r="J32" s="9"/>
      <c r="K32" s="9">
        <f>SUM(IF(Career_History!G10=TRUE,IF(A32&lt;Career_History!D10,0,MIN(A32,Career_History!E10)-Career_History!D10+1),0),IF(Career_History!G11=TRUE,IF(A32&lt;Career_History!D11,0,MIN(A32,Career_History!E11)-Career_History!D11+1),0))/365.2425</f>
        <v>29.755573351951099</v>
      </c>
      <c r="L32" s="9">
        <f>SUM(IF(Career_History!I10=TRUE,IF(A32&lt;Career_History!D10,0,MIN(A32,Career_History!E10)-Career_History!D10+1),0),IF(Career_History!I11=TRUE,IF(A32&lt;Career_History!D11,0,MIN(A32,Career_History!E11)-Career_History!D11+1),0))/365.2425</f>
        <v>26.505677734655741</v>
      </c>
      <c r="M32" s="9">
        <f>SUM(IF(Career_History!H10=TRUE,IF(A32&lt;Career_History!D10,0,MIN(A32,Career_History!E10)-Career_History!D10+1),0),IF(Career_History!H11=TRUE,IF(A32&lt;Career_History!D11,0,MIN(A32,Career_History!E11)-Career_History!D11+1),0))/365.2425</f>
        <v>29.755573351951099</v>
      </c>
      <c r="N32" s="9">
        <f>SUM(IF(Career_History!G12=TRUE,IF(A32&lt;Career_History!D12,0,MIN(A32,Career_History!E12)-Career_History!D12+1),0),IF(Career_History!G13=TRUE,IF(A32&lt;Career_History!D13,0,MIN(A32,Career_History!E13)-Career_History!D13+1),0))/365.2425</f>
        <v>26.001902845369855</v>
      </c>
      <c r="O32" s="9">
        <f>SUM(IF(Career_History!I12=TRUE,IF(A32&lt;Career_History!D12,0,MIN(A32,Career_History!E12)-Career_History!D12+1),0),IF(Career_History!I13=TRUE,IF(A32&lt;Career_History!D13,0,MIN(A32,Career_History!E13)-Career_History!D13+1),0))/365.2425</f>
        <v>0</v>
      </c>
      <c r="P32" s="9">
        <f>SUM(IF(Career_History!H12=TRUE,IF(A32&lt;Career_History!D12,0,MIN(A32,Career_History!E12)-Career_History!D12+1),0),IF(Career_History!H13=TRUE,IF(A32&lt;Career_History!D13,0,MIN(A32,Career_History!E13)-Career_History!D13+1),0))/365.2425</f>
        <v>2.496971190373519</v>
      </c>
      <c r="Q32" s="9">
        <f>SUM(IF(Career_History!G14=TRUE,IF(A32&lt;Career_History!D14,0,MIN(A32,Career_History!E14)-Career_History!D14+1),0),IF(Career_History!G15=TRUE,IF(A32&lt;Career_History!D15,0,MIN(A32,Career_History!E15)-Career_History!D15+1),0))/365.2425</f>
        <v>31.754245467052712</v>
      </c>
      <c r="R32" s="9">
        <f>SUM(IF(Career_History!I14=TRUE,IF(A32&lt;Career_History!D14,0,MIN(A32,Career_History!E14)-Career_History!D14+1),0),IF(Career_History!I15=TRUE,IF(A32&lt;Career_History!D15,0,MIN(A32,Career_History!E15)-Career_History!D15+1),0))/365.2425</f>
        <v>0</v>
      </c>
      <c r="S32" s="9">
        <f>SUM(IF(Career_History!H14=TRUE,IF(A32&lt;Career_History!D14,0,MIN(A32,Career_History!E14)-Career_History!D14+1),0),IF(Career_History!H15=TRUE,IF(A32&lt;Career_History!D15,0,MIN(A32,Career_History!E15)-Career_History!D15+1),0))/365.2425</f>
        <v>31.754245467052712</v>
      </c>
      <c r="T32" s="9">
        <f>SUM(IF(Career_History!G16=TRUE,IF(A32&lt;Career_History!D16,0,MIN(A32,Career_History!E16)-Career_History!D16+1),0),IF(Career_History!G17=TRUE,IF(A32&lt;Career_History!D17,0,MIN(A32,Career_History!E17)-Career_History!D17+1),0))/365.2425</f>
        <v>22.001820708159649</v>
      </c>
      <c r="U32" s="9">
        <f>SUM(IF(Career_History!I16=TRUE,IF(A32&lt;Career_History!D16,0,MIN(A32,Career_History!E16)-Career_History!D16+1),0),IF(Career_History!I17=TRUE,IF(A32&lt;Career_History!D17,0,MIN(A32,Career_History!E17)-Career_History!D17+1),0))/365.2425</f>
        <v>21.506259539894728</v>
      </c>
      <c r="V32" s="9">
        <f>SUM(IF(Career_History!H16=TRUE,IF(A32&lt;Career_History!D16,0,MIN(A32,Career_History!E16)-Career_History!D16+1),0),IF(Career_History!H17=TRUE,IF(A32&lt;Career_History!D17,0,MIN(A32,Career_History!E17)-Career_History!D17+1),0))/365.2425</f>
        <v>22.001820708159649</v>
      </c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</row>
    <row r="33" spans="1:67">
      <c r="A33" s="8">
        <v>35642</v>
      </c>
      <c r="B33" s="9">
        <f t="shared" si="0"/>
        <v>30.488237267021226</v>
      </c>
      <c r="C33" s="9">
        <f t="shared" si="1"/>
        <v>9.8022546664202554</v>
      </c>
      <c r="D33" s="9">
        <f t="shared" si="2"/>
        <v>25.086894323634301</v>
      </c>
      <c r="E33" s="9">
        <f>SUM(IF(Career_History!G4=TRUE,IF(A33&lt;Career_History!D4,0,MIN(A33,Career_History!E4)-Career_History!D4+1),0),IF(Career_History!G5=TRUE,IF(A33&lt;Career_History!D5,0,MIN(A33,Career_History!E5)-Career_History!D5+1),0),IF(Career_History!G6=TRUE,IF(A33&lt;Career_History!D6,0,MIN(A33,Career_History!E6)-Career_History!D6+1),0),IF(Career_History!G7=TRUE,IF(A33&lt;Career_History!D7,0,MIN(A33,Career_History!E7)-Career_History!D7+1),0))/365.2425</f>
        <v>42.588143493706234</v>
      </c>
      <c r="F33" s="9">
        <f>SUM(IF(Career_History!I4=TRUE,IF(A33&lt;Career_History!D4,0,MIN(A33,Career_History!E4)-Career_History!D4+1),0),IF(Career_History!I5=TRUE,IF(A33&lt;Career_History!D5,0,MIN(A33,Career_History!E5)-Career_History!D5+1),0),IF(Career_History!I6=TRUE,IF(A33&lt;Career_History!D6,0,MIN(A33,Career_History!E6)-Career_History!D6+1),0),IF(Career_History!I7=TRUE,IF(A33&lt;Career_History!D7,0,MIN(A33,Career_History!E7)-Career_History!D7+1),0))/365.2425</f>
        <v>0.99933605755080523</v>
      </c>
      <c r="G33" s="9">
        <f>SUM(IF(Career_History!H4=TRUE,IF(A33&lt;Career_History!D4,0,MIN(A33,Career_History!E4)-Career_History!D4+1),0),IF(Career_History!H5=TRUE,IF(A33&lt;Career_History!D5,0,MIN(A33,Career_History!E5)-Career_History!D5+1),0),IF(Career_History!H6=TRUE,IF(A33&lt;Career_History!D6,0,MIN(A33,Career_History!E6)-Career_History!D6+1),0),IF(Career_History!H7=TRUE,IF(A33&lt;Career_History!D7,0,MIN(A33,Career_History!E7)-Career_History!D7+1),0))/365.2425</f>
        <v>39.086360431767936</v>
      </c>
      <c r="H33" s="9"/>
      <c r="I33" s="9"/>
      <c r="J33" s="9"/>
      <c r="K33" s="9">
        <f>SUM(IF(Career_History!G10=TRUE,IF(A33&lt;Career_History!D10,0,MIN(A33,Career_History!E10)-Career_History!D10+1),0),IF(Career_History!G11=TRUE,IF(A33&lt;Career_History!D11,0,MIN(A33,Career_History!E11)-Career_History!D11+1),0))/365.2425</f>
        <v>29.840448469167743</v>
      </c>
      <c r="L33" s="9">
        <f>SUM(IF(Career_History!I10=TRUE,IF(A33&lt;Career_History!D10,0,MIN(A33,Career_History!E10)-Career_History!D10+1),0),IF(Career_History!I11=TRUE,IF(A33&lt;Career_History!D11,0,MIN(A33,Career_History!E11)-Career_History!D11+1),0))/365.2425</f>
        <v>26.505677734655741</v>
      </c>
      <c r="M33" s="9">
        <f>SUM(IF(Career_History!H10=TRUE,IF(A33&lt;Career_History!D10,0,MIN(A33,Career_History!E10)-Career_History!D10+1),0),IF(Career_History!H11=TRUE,IF(A33&lt;Career_History!D11,0,MIN(A33,Career_History!E11)-Career_History!D11+1),0))/365.2425</f>
        <v>29.840448469167743</v>
      </c>
      <c r="N33" s="9">
        <f>SUM(IF(Career_History!G12=TRUE,IF(A33&lt;Career_History!D12,0,MIN(A33,Career_History!E12)-Career_History!D12+1),0),IF(Career_History!G13=TRUE,IF(A33&lt;Career_History!D13,0,MIN(A33,Career_History!E13)-Career_History!D13+1),0))/365.2425</f>
        <v>26.086777962586499</v>
      </c>
      <c r="O33" s="9">
        <f>SUM(IF(Career_History!I12=TRUE,IF(A33&lt;Career_History!D12,0,MIN(A33,Career_History!E12)-Career_History!D12+1),0),IF(Career_History!I13=TRUE,IF(A33&lt;Career_History!D13,0,MIN(A33,Career_History!E13)-Career_History!D13+1),0))/365.2425</f>
        <v>0</v>
      </c>
      <c r="P33" s="9">
        <f>SUM(IF(Career_History!H12=TRUE,IF(A33&lt;Career_History!D12,0,MIN(A33,Career_History!E12)-Career_History!D12+1),0),IF(Career_History!H13=TRUE,IF(A33&lt;Career_History!D13,0,MIN(A33,Career_History!E13)-Career_History!D13+1),0))/365.2425</f>
        <v>2.5818463075901628</v>
      </c>
      <c r="Q33" s="9">
        <f>SUM(IF(Career_History!G14=TRUE,IF(A33&lt;Career_History!D14,0,MIN(A33,Career_History!E14)-Career_History!D14+1),0),IF(Career_History!G15=TRUE,IF(A33&lt;Career_History!D15,0,MIN(A33,Career_History!E15)-Career_History!D15+1),0))/365.2425</f>
        <v>31.839120584269356</v>
      </c>
      <c r="R33" s="9">
        <f>SUM(IF(Career_History!I14=TRUE,IF(A33&lt;Career_History!D14,0,MIN(A33,Career_History!E14)-Career_History!D14+1),0),IF(Career_History!I15=TRUE,IF(A33&lt;Career_History!D15,0,MIN(A33,Career_History!E15)-Career_History!D15+1),0))/365.2425</f>
        <v>0</v>
      </c>
      <c r="S33" s="9">
        <f>SUM(IF(Career_History!H14=TRUE,IF(A33&lt;Career_History!D14,0,MIN(A33,Career_History!E14)-Career_History!D14+1),0),IF(Career_History!H15=TRUE,IF(A33&lt;Career_History!D15,0,MIN(A33,Career_History!E15)-Career_History!D15+1),0))/365.2425</f>
        <v>31.839120584269356</v>
      </c>
      <c r="T33" s="9">
        <f>SUM(IF(Career_History!G16=TRUE,IF(A33&lt;Career_History!D16,0,MIN(A33,Career_History!E16)-Career_History!D16+1),0),IF(Career_History!G17=TRUE,IF(A33&lt;Career_History!D17,0,MIN(A33,Career_History!E17)-Career_History!D17+1),0))/365.2425</f>
        <v>22.086695825376292</v>
      </c>
      <c r="U33" s="9">
        <f>SUM(IF(Career_History!I16=TRUE,IF(A33&lt;Career_History!D16,0,MIN(A33,Career_History!E16)-Career_History!D16+1),0),IF(Career_History!I17=TRUE,IF(A33&lt;Career_History!D17,0,MIN(A33,Career_History!E17)-Career_History!D17+1),0))/365.2425</f>
        <v>21.506259539894728</v>
      </c>
      <c r="V33" s="9">
        <f>SUM(IF(Career_History!H16=TRUE,IF(A33&lt;Career_History!D16,0,MIN(A33,Career_History!E16)-Career_History!D16+1),0),IF(Career_History!H17=TRUE,IF(A33&lt;Career_History!D17,0,MIN(A33,Career_History!E17)-Career_History!D17+1),0))/365.2425</f>
        <v>22.086695825376292</v>
      </c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</row>
    <row r="34" spans="1:67">
      <c r="A34" s="8">
        <v>35673</v>
      </c>
      <c r="B34" s="9">
        <f t="shared" si="0"/>
        <v>30.573112384237866</v>
      </c>
      <c r="C34" s="9">
        <f t="shared" si="1"/>
        <v>9.8022546664202554</v>
      </c>
      <c r="D34" s="9">
        <f t="shared" si="2"/>
        <v>25.171769440850941</v>
      </c>
      <c r="E34" s="9">
        <f>SUM(IF(Career_History!G4=TRUE,IF(A34&lt;Career_History!D4,0,MIN(A34,Career_History!E4)-Career_History!D4+1),0),IF(Career_History!G5=TRUE,IF(A34&lt;Career_History!D5,0,MIN(A34,Career_History!E5)-Career_History!D5+1),0),IF(Career_History!G6=TRUE,IF(A34&lt;Career_History!D6,0,MIN(A34,Career_History!E6)-Career_History!D6+1),0),IF(Career_History!G7=TRUE,IF(A34&lt;Career_History!D7,0,MIN(A34,Career_History!E7)-Career_History!D7+1),0))/365.2425</f>
        <v>42.673018610922881</v>
      </c>
      <c r="F34" s="9">
        <f>SUM(IF(Career_History!I4=TRUE,IF(A34&lt;Career_History!D4,0,MIN(A34,Career_History!E4)-Career_History!D4+1),0),IF(Career_History!I5=TRUE,IF(A34&lt;Career_History!D5,0,MIN(A34,Career_History!E5)-Career_History!D5+1),0),IF(Career_History!I6=TRUE,IF(A34&lt;Career_History!D6,0,MIN(A34,Career_History!E6)-Career_History!D6+1),0),IF(Career_History!I7=TRUE,IF(A34&lt;Career_History!D7,0,MIN(A34,Career_History!E7)-Career_History!D7+1),0))/365.2425</f>
        <v>0.99933605755080523</v>
      </c>
      <c r="G34" s="9">
        <f>SUM(IF(Career_History!H4=TRUE,IF(A34&lt;Career_History!D4,0,MIN(A34,Career_History!E4)-Career_History!D4+1),0),IF(Career_History!H5=TRUE,IF(A34&lt;Career_History!D5,0,MIN(A34,Career_History!E5)-Career_History!D5+1),0),IF(Career_History!H6=TRUE,IF(A34&lt;Career_History!D6,0,MIN(A34,Career_History!E6)-Career_History!D6+1),0),IF(Career_History!H7=TRUE,IF(A34&lt;Career_History!D7,0,MIN(A34,Career_History!E7)-Career_History!D7+1),0))/365.2425</f>
        <v>39.171235548984576</v>
      </c>
      <c r="H34" s="9"/>
      <c r="I34" s="9"/>
      <c r="J34" s="9"/>
      <c r="K34" s="9">
        <f>SUM(IF(Career_History!G10=TRUE,IF(A34&lt;Career_History!D10,0,MIN(A34,Career_History!E10)-Career_History!D10+1),0),IF(Career_History!G11=TRUE,IF(A34&lt;Career_History!D11,0,MIN(A34,Career_History!E11)-Career_History!D11+1),0))/365.2425</f>
        <v>29.925323586384387</v>
      </c>
      <c r="L34" s="9">
        <f>SUM(IF(Career_History!I10=TRUE,IF(A34&lt;Career_History!D10,0,MIN(A34,Career_History!E10)-Career_History!D10+1),0),IF(Career_History!I11=TRUE,IF(A34&lt;Career_History!D11,0,MIN(A34,Career_History!E11)-Career_History!D11+1),0))/365.2425</f>
        <v>26.505677734655741</v>
      </c>
      <c r="M34" s="9">
        <f>SUM(IF(Career_History!H10=TRUE,IF(A34&lt;Career_History!D10,0,MIN(A34,Career_History!E10)-Career_History!D10+1),0),IF(Career_History!H11=TRUE,IF(A34&lt;Career_History!D11,0,MIN(A34,Career_History!E11)-Career_History!D11+1),0))/365.2425</f>
        <v>29.925323586384387</v>
      </c>
      <c r="N34" s="9">
        <f>SUM(IF(Career_History!G12=TRUE,IF(A34&lt;Career_History!D12,0,MIN(A34,Career_History!E12)-Career_History!D12+1),0),IF(Career_History!G13=TRUE,IF(A34&lt;Career_History!D13,0,MIN(A34,Career_History!E13)-Career_History!D13+1),0))/365.2425</f>
        <v>26.171653079803143</v>
      </c>
      <c r="O34" s="9">
        <f>SUM(IF(Career_History!I12=TRUE,IF(A34&lt;Career_History!D12,0,MIN(A34,Career_History!E12)-Career_History!D12+1),0),IF(Career_History!I13=TRUE,IF(A34&lt;Career_History!D13,0,MIN(A34,Career_History!E13)-Career_History!D13+1),0))/365.2425</f>
        <v>0</v>
      </c>
      <c r="P34" s="9">
        <f>SUM(IF(Career_History!H12=TRUE,IF(A34&lt;Career_History!D12,0,MIN(A34,Career_History!E12)-Career_History!D12+1),0),IF(Career_History!H13=TRUE,IF(A34&lt;Career_History!D13,0,MIN(A34,Career_History!E13)-Career_History!D13+1),0))/365.2425</f>
        <v>2.6667214248068065</v>
      </c>
      <c r="Q34" s="9">
        <f>SUM(IF(Career_History!G14=TRUE,IF(A34&lt;Career_History!D14,0,MIN(A34,Career_History!E14)-Career_History!D14+1),0),IF(Career_History!G15=TRUE,IF(A34&lt;Career_History!D15,0,MIN(A34,Career_History!E15)-Career_History!D15+1),0))/365.2425</f>
        <v>31.923995701486</v>
      </c>
      <c r="R34" s="9">
        <f>SUM(IF(Career_History!I14=TRUE,IF(A34&lt;Career_History!D14,0,MIN(A34,Career_History!E14)-Career_History!D14+1),0),IF(Career_History!I15=TRUE,IF(A34&lt;Career_History!D15,0,MIN(A34,Career_History!E15)-Career_History!D15+1),0))/365.2425</f>
        <v>0</v>
      </c>
      <c r="S34" s="9">
        <f>SUM(IF(Career_History!H14=TRUE,IF(A34&lt;Career_History!D14,0,MIN(A34,Career_History!E14)-Career_History!D14+1),0),IF(Career_History!H15=TRUE,IF(A34&lt;Career_History!D15,0,MIN(A34,Career_History!E15)-Career_History!D15+1),0))/365.2425</f>
        <v>31.923995701486</v>
      </c>
      <c r="T34" s="9">
        <f>SUM(IF(Career_History!G16=TRUE,IF(A34&lt;Career_History!D16,0,MIN(A34,Career_History!E16)-Career_History!D16+1),0),IF(Career_History!G17=TRUE,IF(A34&lt;Career_History!D17,0,MIN(A34,Career_History!E17)-Career_History!D17+1),0))/365.2425</f>
        <v>22.171570942592936</v>
      </c>
      <c r="U34" s="9">
        <f>SUM(IF(Career_History!I16=TRUE,IF(A34&lt;Career_History!D16,0,MIN(A34,Career_History!E16)-Career_History!D16+1),0),IF(Career_History!I17=TRUE,IF(A34&lt;Career_History!D17,0,MIN(A34,Career_History!E17)-Career_History!D17+1),0))/365.2425</f>
        <v>21.506259539894728</v>
      </c>
      <c r="V34" s="9">
        <f>SUM(IF(Career_History!H16=TRUE,IF(A34&lt;Career_History!D16,0,MIN(A34,Career_History!E16)-Career_History!D16+1),0),IF(Career_History!H17=TRUE,IF(A34&lt;Career_History!D17,0,MIN(A34,Career_History!E17)-Career_History!D17+1),0))/365.2425</f>
        <v>22.171570942592936</v>
      </c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</row>
    <row r="35" spans="1:67">
      <c r="A35" s="8">
        <v>35703</v>
      </c>
      <c r="B35" s="9">
        <f t="shared" si="0"/>
        <v>30.655249594447525</v>
      </c>
      <c r="C35" s="9">
        <f t="shared" si="1"/>
        <v>9.8022546664202554</v>
      </c>
      <c r="D35" s="9">
        <f t="shared" si="2"/>
        <v>25.253906651060596</v>
      </c>
      <c r="E35" s="9">
        <f>SUM(IF(Career_History!G4=TRUE,IF(A35&lt;Career_History!D4,0,MIN(A35,Career_History!E4)-Career_History!D4+1),0),IF(Career_History!G5=TRUE,IF(A35&lt;Career_History!D5,0,MIN(A35,Career_History!E5)-Career_History!D5+1),0),IF(Career_History!G6=TRUE,IF(A35&lt;Career_History!D6,0,MIN(A35,Career_History!E6)-Career_History!D6+1),0),IF(Career_History!G7=TRUE,IF(A35&lt;Career_History!D7,0,MIN(A35,Career_History!E7)-Career_History!D7+1),0))/365.2425</f>
        <v>42.755155821132533</v>
      </c>
      <c r="F35" s="9">
        <f>SUM(IF(Career_History!I4=TRUE,IF(A35&lt;Career_History!D4,0,MIN(A35,Career_History!E4)-Career_History!D4+1),0),IF(Career_History!I5=TRUE,IF(A35&lt;Career_History!D5,0,MIN(A35,Career_History!E5)-Career_History!D5+1),0),IF(Career_History!I6=TRUE,IF(A35&lt;Career_History!D6,0,MIN(A35,Career_History!E6)-Career_History!D6+1),0),IF(Career_History!I7=TRUE,IF(A35&lt;Career_History!D7,0,MIN(A35,Career_History!E7)-Career_History!D7+1),0))/365.2425</f>
        <v>0.99933605755080523</v>
      </c>
      <c r="G35" s="9">
        <f>SUM(IF(Career_History!H4=TRUE,IF(A35&lt;Career_History!D4,0,MIN(A35,Career_History!E4)-Career_History!D4+1),0),IF(Career_History!H5=TRUE,IF(A35&lt;Career_History!D5,0,MIN(A35,Career_History!E5)-Career_History!D5+1),0),IF(Career_History!H6=TRUE,IF(A35&lt;Career_History!D6,0,MIN(A35,Career_History!E6)-Career_History!D6+1),0),IF(Career_History!H7=TRUE,IF(A35&lt;Career_History!D7,0,MIN(A35,Career_History!E7)-Career_History!D7+1),0))/365.2425</f>
        <v>39.253372759194235</v>
      </c>
      <c r="H35" s="9"/>
      <c r="I35" s="9"/>
      <c r="J35" s="9"/>
      <c r="K35" s="9">
        <f>SUM(IF(Career_History!G10=TRUE,IF(A35&lt;Career_History!D10,0,MIN(A35,Career_History!E10)-Career_History!D10+1),0),IF(Career_History!G11=TRUE,IF(A35&lt;Career_History!D11,0,MIN(A35,Career_History!E11)-Career_History!D11+1),0))/365.2425</f>
        <v>30.007460796594042</v>
      </c>
      <c r="L35" s="9">
        <f>SUM(IF(Career_History!I10=TRUE,IF(A35&lt;Career_History!D10,0,MIN(A35,Career_History!E10)-Career_History!D10+1),0),IF(Career_History!I11=TRUE,IF(A35&lt;Career_History!D11,0,MIN(A35,Career_History!E11)-Career_History!D11+1),0))/365.2425</f>
        <v>26.505677734655741</v>
      </c>
      <c r="M35" s="9">
        <f>SUM(IF(Career_History!H10=TRUE,IF(A35&lt;Career_History!D10,0,MIN(A35,Career_History!E10)-Career_History!D10+1),0),IF(Career_History!H11=TRUE,IF(A35&lt;Career_History!D11,0,MIN(A35,Career_History!E11)-Career_History!D11+1),0))/365.2425</f>
        <v>30.007460796594042</v>
      </c>
      <c r="N35" s="9">
        <f>SUM(IF(Career_History!G12=TRUE,IF(A35&lt;Career_History!D12,0,MIN(A35,Career_History!E12)-Career_History!D12+1),0),IF(Career_History!G13=TRUE,IF(A35&lt;Career_History!D13,0,MIN(A35,Career_History!E13)-Career_History!D13+1),0))/365.2425</f>
        <v>26.253790290012798</v>
      </c>
      <c r="O35" s="9">
        <f>SUM(IF(Career_History!I12=TRUE,IF(A35&lt;Career_History!D12,0,MIN(A35,Career_History!E12)-Career_History!D12+1),0),IF(Career_History!I13=TRUE,IF(A35&lt;Career_History!D13,0,MIN(A35,Career_History!E13)-Career_History!D13+1),0))/365.2425</f>
        <v>0</v>
      </c>
      <c r="P35" s="9">
        <f>SUM(IF(Career_History!H12=TRUE,IF(A35&lt;Career_History!D12,0,MIN(A35,Career_History!E12)-Career_History!D12+1),0),IF(Career_History!H13=TRUE,IF(A35&lt;Career_History!D13,0,MIN(A35,Career_History!E13)-Career_History!D13+1),0))/365.2425</f>
        <v>2.7488586350164614</v>
      </c>
      <c r="Q35" s="9">
        <f>SUM(IF(Career_History!G14=TRUE,IF(A35&lt;Career_History!D14,0,MIN(A35,Career_History!E14)-Career_History!D14+1),0),IF(Career_History!G15=TRUE,IF(A35&lt;Career_History!D15,0,MIN(A35,Career_History!E15)-Career_History!D15+1),0))/365.2425</f>
        <v>32.006132911695651</v>
      </c>
      <c r="R35" s="9">
        <f>SUM(IF(Career_History!I14=TRUE,IF(A35&lt;Career_History!D14,0,MIN(A35,Career_History!E14)-Career_History!D14+1),0),IF(Career_History!I15=TRUE,IF(A35&lt;Career_History!D15,0,MIN(A35,Career_History!E15)-Career_History!D15+1),0))/365.2425</f>
        <v>0</v>
      </c>
      <c r="S35" s="9">
        <f>SUM(IF(Career_History!H14=TRUE,IF(A35&lt;Career_History!D14,0,MIN(A35,Career_History!E14)-Career_History!D14+1),0),IF(Career_History!H15=TRUE,IF(A35&lt;Career_History!D15,0,MIN(A35,Career_History!E15)-Career_History!D15+1),0))/365.2425</f>
        <v>32.006132911695651</v>
      </c>
      <c r="T35" s="9">
        <f>SUM(IF(Career_History!G16=TRUE,IF(A35&lt;Career_History!D16,0,MIN(A35,Career_History!E16)-Career_History!D16+1),0),IF(Career_History!G17=TRUE,IF(A35&lt;Career_History!D17,0,MIN(A35,Career_History!E17)-Career_History!D17+1),0))/365.2425</f>
        <v>22.253708152802588</v>
      </c>
      <c r="U35" s="9">
        <f>SUM(IF(Career_History!I16=TRUE,IF(A35&lt;Career_History!D16,0,MIN(A35,Career_History!E16)-Career_History!D16+1),0),IF(Career_History!I17=TRUE,IF(A35&lt;Career_History!D17,0,MIN(A35,Career_History!E17)-Career_History!D17+1),0))/365.2425</f>
        <v>21.506259539894728</v>
      </c>
      <c r="V35" s="9">
        <f>SUM(IF(Career_History!H16=TRUE,IF(A35&lt;Career_History!D16,0,MIN(A35,Career_History!E16)-Career_History!D16+1),0),IF(Career_History!H17=TRUE,IF(A35&lt;Career_History!D17,0,MIN(A35,Career_History!E17)-Career_History!D17+1),0))/365.2425</f>
        <v>22.253708152802588</v>
      </c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</row>
    <row r="36" spans="1:67">
      <c r="A36" s="8">
        <v>35734</v>
      </c>
      <c r="B36" s="9">
        <f t="shared" si="0"/>
        <v>30.740124711664169</v>
      </c>
      <c r="C36" s="9">
        <f t="shared" si="1"/>
        <v>9.8022546664202554</v>
      </c>
      <c r="D36" s="9">
        <f t="shared" si="2"/>
        <v>25.338781768277236</v>
      </c>
      <c r="E36" s="9">
        <f>SUM(IF(Career_History!G4=TRUE,IF(A36&lt;Career_History!D4,0,MIN(A36,Career_History!E4)-Career_History!D4+1),0),IF(Career_History!G5=TRUE,IF(A36&lt;Career_History!D5,0,MIN(A36,Career_History!E5)-Career_History!D5+1),0),IF(Career_History!G6=TRUE,IF(A36&lt;Career_History!D6,0,MIN(A36,Career_History!E6)-Career_History!D6+1),0),IF(Career_History!G7=TRUE,IF(A36&lt;Career_History!D7,0,MIN(A36,Career_History!E7)-Career_History!D7+1),0))/365.2425</f>
        <v>42.84003093834918</v>
      </c>
      <c r="F36" s="9">
        <f>SUM(IF(Career_History!I4=TRUE,IF(A36&lt;Career_History!D4,0,MIN(A36,Career_History!E4)-Career_History!D4+1),0),IF(Career_History!I5=TRUE,IF(A36&lt;Career_History!D5,0,MIN(A36,Career_History!E5)-Career_History!D5+1),0),IF(Career_History!I6=TRUE,IF(A36&lt;Career_History!D6,0,MIN(A36,Career_History!E6)-Career_History!D6+1),0),IF(Career_History!I7=TRUE,IF(A36&lt;Career_History!D7,0,MIN(A36,Career_History!E7)-Career_History!D7+1),0))/365.2425</f>
        <v>0.99933605755080523</v>
      </c>
      <c r="G36" s="9">
        <f>SUM(IF(Career_History!H4=TRUE,IF(A36&lt;Career_History!D4,0,MIN(A36,Career_History!E4)-Career_History!D4+1),0),IF(Career_History!H5=TRUE,IF(A36&lt;Career_History!D5,0,MIN(A36,Career_History!E5)-Career_History!D5+1),0),IF(Career_History!H6=TRUE,IF(A36&lt;Career_History!D6,0,MIN(A36,Career_History!E6)-Career_History!D6+1),0),IF(Career_History!H7=TRUE,IF(A36&lt;Career_History!D7,0,MIN(A36,Career_History!E7)-Career_History!D7+1),0))/365.2425</f>
        <v>39.338247876410875</v>
      </c>
      <c r="H36" s="9"/>
      <c r="I36" s="9"/>
      <c r="J36" s="9"/>
      <c r="K36" s="9">
        <f>SUM(IF(Career_History!G10=TRUE,IF(A36&lt;Career_History!D10,0,MIN(A36,Career_History!E10)-Career_History!D10+1),0),IF(Career_History!G11=TRUE,IF(A36&lt;Career_History!D11,0,MIN(A36,Career_History!E11)-Career_History!D11+1),0))/365.2425</f>
        <v>30.092335913810686</v>
      </c>
      <c r="L36" s="9">
        <f>SUM(IF(Career_History!I10=TRUE,IF(A36&lt;Career_History!D10,0,MIN(A36,Career_History!E10)-Career_History!D10+1),0),IF(Career_History!I11=TRUE,IF(A36&lt;Career_History!D11,0,MIN(A36,Career_History!E11)-Career_History!D11+1),0))/365.2425</f>
        <v>26.505677734655741</v>
      </c>
      <c r="M36" s="9">
        <f>SUM(IF(Career_History!H10=TRUE,IF(A36&lt;Career_History!D10,0,MIN(A36,Career_History!E10)-Career_History!D10+1),0),IF(Career_History!H11=TRUE,IF(A36&lt;Career_History!D11,0,MIN(A36,Career_History!E11)-Career_History!D11+1),0))/365.2425</f>
        <v>30.092335913810686</v>
      </c>
      <c r="N36" s="9">
        <f>SUM(IF(Career_History!G12=TRUE,IF(A36&lt;Career_History!D12,0,MIN(A36,Career_History!E12)-Career_History!D12+1),0),IF(Career_History!G13=TRUE,IF(A36&lt;Career_History!D13,0,MIN(A36,Career_History!E13)-Career_History!D13+1),0))/365.2425</f>
        <v>26.338665407229442</v>
      </c>
      <c r="O36" s="9">
        <f>SUM(IF(Career_History!I12=TRUE,IF(A36&lt;Career_History!D12,0,MIN(A36,Career_History!E12)-Career_History!D12+1),0),IF(Career_History!I13=TRUE,IF(A36&lt;Career_History!D13,0,MIN(A36,Career_History!E13)-Career_History!D13+1),0))/365.2425</f>
        <v>0</v>
      </c>
      <c r="P36" s="9">
        <f>SUM(IF(Career_History!H12=TRUE,IF(A36&lt;Career_History!D12,0,MIN(A36,Career_History!E12)-Career_History!D12+1),0),IF(Career_History!H13=TRUE,IF(A36&lt;Career_History!D13,0,MIN(A36,Career_History!E13)-Career_History!D13+1),0))/365.2425</f>
        <v>2.8337337522331052</v>
      </c>
      <c r="Q36" s="9">
        <f>SUM(IF(Career_History!G14=TRUE,IF(A36&lt;Career_History!D14,0,MIN(A36,Career_History!E14)-Career_History!D14+1),0),IF(Career_History!G15=TRUE,IF(A36&lt;Career_History!D15,0,MIN(A36,Career_History!E15)-Career_History!D15+1),0))/365.2425</f>
        <v>32.091008028912299</v>
      </c>
      <c r="R36" s="9">
        <f>SUM(IF(Career_History!I14=TRUE,IF(A36&lt;Career_History!D14,0,MIN(A36,Career_History!E14)-Career_History!D14+1),0),IF(Career_History!I15=TRUE,IF(A36&lt;Career_History!D15,0,MIN(A36,Career_History!E15)-Career_History!D15+1),0))/365.2425</f>
        <v>0</v>
      </c>
      <c r="S36" s="9">
        <f>SUM(IF(Career_History!H14=TRUE,IF(A36&lt;Career_History!D14,0,MIN(A36,Career_History!E14)-Career_History!D14+1),0),IF(Career_History!H15=TRUE,IF(A36&lt;Career_History!D15,0,MIN(A36,Career_History!E15)-Career_History!D15+1),0))/365.2425</f>
        <v>32.091008028912299</v>
      </c>
      <c r="T36" s="9">
        <f>SUM(IF(Career_History!G16=TRUE,IF(A36&lt;Career_History!D16,0,MIN(A36,Career_History!E16)-Career_History!D16+1),0),IF(Career_History!G17=TRUE,IF(A36&lt;Career_History!D17,0,MIN(A36,Career_History!E17)-Career_History!D17+1),0))/365.2425</f>
        <v>22.338583270019232</v>
      </c>
      <c r="U36" s="9">
        <f>SUM(IF(Career_History!I16=TRUE,IF(A36&lt;Career_History!D16,0,MIN(A36,Career_History!E16)-Career_History!D16+1),0),IF(Career_History!I17=TRUE,IF(A36&lt;Career_History!D17,0,MIN(A36,Career_History!E17)-Career_History!D17+1),0))/365.2425</f>
        <v>21.506259539894728</v>
      </c>
      <c r="V36" s="9">
        <f>SUM(IF(Career_History!H16=TRUE,IF(A36&lt;Career_History!D16,0,MIN(A36,Career_History!E16)-Career_History!D16+1),0),IF(Career_History!H17=TRUE,IF(A36&lt;Career_History!D17,0,MIN(A36,Career_History!E17)-Career_History!D17+1),0))/365.2425</f>
        <v>22.338583270019232</v>
      </c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</row>
    <row r="37" spans="1:67">
      <c r="A37" s="8">
        <v>35764</v>
      </c>
      <c r="B37" s="9">
        <f t="shared" si="0"/>
        <v>30.822261921873821</v>
      </c>
      <c r="C37" s="9">
        <f t="shared" si="1"/>
        <v>9.8022546664202554</v>
      </c>
      <c r="D37" s="9">
        <f t="shared" si="2"/>
        <v>25.420918978486895</v>
      </c>
      <c r="E37" s="9">
        <f>SUM(IF(Career_History!G4=TRUE,IF(A37&lt;Career_History!D4,0,MIN(A37,Career_History!E4)-Career_History!D4+1),0),IF(Career_History!G5=TRUE,IF(A37&lt;Career_History!D5,0,MIN(A37,Career_History!E5)-Career_History!D5+1),0),IF(Career_History!G6=TRUE,IF(A37&lt;Career_History!D6,0,MIN(A37,Career_History!E6)-Career_History!D6+1),0),IF(Career_History!G7=TRUE,IF(A37&lt;Career_History!D7,0,MIN(A37,Career_History!E7)-Career_History!D7+1),0))/365.2425</f>
        <v>42.922168148558832</v>
      </c>
      <c r="F37" s="9">
        <f>SUM(IF(Career_History!I4=TRUE,IF(A37&lt;Career_History!D4,0,MIN(A37,Career_History!E4)-Career_History!D4+1),0),IF(Career_History!I5=TRUE,IF(A37&lt;Career_History!D5,0,MIN(A37,Career_History!E5)-Career_History!D5+1),0),IF(Career_History!I6=TRUE,IF(A37&lt;Career_History!D6,0,MIN(A37,Career_History!E6)-Career_History!D6+1),0),IF(Career_History!I7=TRUE,IF(A37&lt;Career_History!D7,0,MIN(A37,Career_History!E7)-Career_History!D7+1),0))/365.2425</f>
        <v>0.99933605755080523</v>
      </c>
      <c r="G37" s="9">
        <f>SUM(IF(Career_History!H4=TRUE,IF(A37&lt;Career_History!D4,0,MIN(A37,Career_History!E4)-Career_History!D4+1),0),IF(Career_History!H5=TRUE,IF(A37&lt;Career_History!D5,0,MIN(A37,Career_History!E5)-Career_History!D5+1),0),IF(Career_History!H6=TRUE,IF(A37&lt;Career_History!D6,0,MIN(A37,Career_History!E6)-Career_History!D6+1),0),IF(Career_History!H7=TRUE,IF(A37&lt;Career_History!D7,0,MIN(A37,Career_History!E7)-Career_History!D7+1),0))/365.2425</f>
        <v>39.420385086620534</v>
      </c>
      <c r="H37" s="9"/>
      <c r="I37" s="9"/>
      <c r="J37" s="9"/>
      <c r="K37" s="9">
        <f>SUM(IF(Career_History!G10=TRUE,IF(A37&lt;Career_History!D10,0,MIN(A37,Career_History!E10)-Career_History!D10+1),0),IF(Career_History!G11=TRUE,IF(A37&lt;Career_History!D11,0,MIN(A37,Career_History!E11)-Career_History!D11+1),0))/365.2425</f>
        <v>30.174473124020341</v>
      </c>
      <c r="L37" s="9">
        <f>SUM(IF(Career_History!I10=TRUE,IF(A37&lt;Career_History!D10,0,MIN(A37,Career_History!E10)-Career_History!D10+1),0),IF(Career_History!I11=TRUE,IF(A37&lt;Career_History!D11,0,MIN(A37,Career_History!E11)-Career_History!D11+1),0))/365.2425</f>
        <v>26.505677734655741</v>
      </c>
      <c r="M37" s="9">
        <f>SUM(IF(Career_History!H10=TRUE,IF(A37&lt;Career_History!D10,0,MIN(A37,Career_History!E10)-Career_History!D10+1),0),IF(Career_History!H11=TRUE,IF(A37&lt;Career_History!D11,0,MIN(A37,Career_History!E11)-Career_History!D11+1),0))/365.2425</f>
        <v>30.174473124020341</v>
      </c>
      <c r="N37" s="9">
        <f>SUM(IF(Career_History!G12=TRUE,IF(A37&lt;Career_History!D12,0,MIN(A37,Career_History!E12)-Career_History!D12+1),0),IF(Career_History!G13=TRUE,IF(A37&lt;Career_History!D13,0,MIN(A37,Career_History!E13)-Career_History!D13+1),0))/365.2425</f>
        <v>26.420802617439097</v>
      </c>
      <c r="O37" s="9">
        <f>SUM(IF(Career_History!I12=TRUE,IF(A37&lt;Career_History!D12,0,MIN(A37,Career_History!E12)-Career_History!D12+1),0),IF(Career_History!I13=TRUE,IF(A37&lt;Career_History!D13,0,MIN(A37,Career_History!E13)-Career_History!D13+1),0))/365.2425</f>
        <v>0</v>
      </c>
      <c r="P37" s="9">
        <f>SUM(IF(Career_History!H12=TRUE,IF(A37&lt;Career_History!D12,0,MIN(A37,Career_History!E12)-Career_History!D12+1),0),IF(Career_History!H13=TRUE,IF(A37&lt;Career_History!D13,0,MIN(A37,Career_History!E13)-Career_History!D13+1),0))/365.2425</f>
        <v>2.9158709624427606</v>
      </c>
      <c r="Q37" s="9">
        <f>SUM(IF(Career_History!G14=TRUE,IF(A37&lt;Career_History!D14,0,MIN(A37,Career_History!E14)-Career_History!D14+1),0),IF(Career_History!G15=TRUE,IF(A37&lt;Career_History!D15,0,MIN(A37,Career_History!E15)-Career_History!D15+1),0))/365.2425</f>
        <v>32.173145239121951</v>
      </c>
      <c r="R37" s="9">
        <f>SUM(IF(Career_History!I14=TRUE,IF(A37&lt;Career_History!D14,0,MIN(A37,Career_History!E14)-Career_History!D14+1),0),IF(Career_History!I15=TRUE,IF(A37&lt;Career_History!D15,0,MIN(A37,Career_History!E15)-Career_History!D15+1),0))/365.2425</f>
        <v>0</v>
      </c>
      <c r="S37" s="9">
        <f>SUM(IF(Career_History!H14=TRUE,IF(A37&lt;Career_History!D14,0,MIN(A37,Career_History!E14)-Career_History!D14+1),0),IF(Career_History!H15=TRUE,IF(A37&lt;Career_History!D15,0,MIN(A37,Career_History!E15)-Career_History!D15+1),0))/365.2425</f>
        <v>32.173145239121951</v>
      </c>
      <c r="T37" s="9">
        <f>SUM(IF(Career_History!G16=TRUE,IF(A37&lt;Career_History!D16,0,MIN(A37,Career_History!E16)-Career_History!D16+1),0),IF(Career_History!G17=TRUE,IF(A37&lt;Career_History!D17,0,MIN(A37,Career_History!E17)-Career_History!D17+1),0))/365.2425</f>
        <v>22.420720480228887</v>
      </c>
      <c r="U37" s="9">
        <f>SUM(IF(Career_History!I16=TRUE,IF(A37&lt;Career_History!D16,0,MIN(A37,Career_History!E16)-Career_History!D16+1),0),IF(Career_History!I17=TRUE,IF(A37&lt;Career_History!D17,0,MIN(A37,Career_History!E17)-Career_History!D17+1),0))/365.2425</f>
        <v>21.506259539894728</v>
      </c>
      <c r="V37" s="9">
        <f>SUM(IF(Career_History!H16=TRUE,IF(A37&lt;Career_History!D16,0,MIN(A37,Career_History!E16)-Career_History!D16+1),0),IF(Career_History!H17=TRUE,IF(A37&lt;Career_History!D17,0,MIN(A37,Career_History!E17)-Career_History!D17+1),0))/365.2425</f>
        <v>22.420720480228887</v>
      </c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</row>
    <row r="38" spans="1:67">
      <c r="A38" s="8">
        <v>35795</v>
      </c>
      <c r="B38" s="9">
        <f t="shared" si="0"/>
        <v>30.907137039090465</v>
      </c>
      <c r="C38" s="9">
        <f t="shared" si="1"/>
        <v>9.8022546664202554</v>
      </c>
      <c r="D38" s="9">
        <f t="shared" si="2"/>
        <v>25.505794095703539</v>
      </c>
      <c r="E38" s="9">
        <f>SUM(IF(Career_History!G4=TRUE,IF(A38&lt;Career_History!D4,0,MIN(A38,Career_History!E4)-Career_History!D4+1),0),IF(Career_History!G5=TRUE,IF(A38&lt;Career_History!D5,0,MIN(A38,Career_History!E5)-Career_History!D5+1),0),IF(Career_History!G6=TRUE,IF(A38&lt;Career_History!D6,0,MIN(A38,Career_History!E6)-Career_History!D6+1),0),IF(Career_History!G7=TRUE,IF(A38&lt;Career_History!D7,0,MIN(A38,Career_History!E7)-Career_History!D7+1),0))/365.2425</f>
        <v>43.007043265775479</v>
      </c>
      <c r="F38" s="9">
        <f>SUM(IF(Career_History!I4=TRUE,IF(A38&lt;Career_History!D4,0,MIN(A38,Career_History!E4)-Career_History!D4+1),0),IF(Career_History!I5=TRUE,IF(A38&lt;Career_History!D5,0,MIN(A38,Career_History!E5)-Career_History!D5+1),0),IF(Career_History!I6=TRUE,IF(A38&lt;Career_History!D6,0,MIN(A38,Career_History!E6)-Career_History!D6+1),0),IF(Career_History!I7=TRUE,IF(A38&lt;Career_History!D7,0,MIN(A38,Career_History!E7)-Career_History!D7+1),0))/365.2425</f>
        <v>0.99933605755080523</v>
      </c>
      <c r="G38" s="9">
        <f>SUM(IF(Career_History!H4=TRUE,IF(A38&lt;Career_History!D4,0,MIN(A38,Career_History!E4)-Career_History!D4+1),0),IF(Career_History!H5=TRUE,IF(A38&lt;Career_History!D5,0,MIN(A38,Career_History!E5)-Career_History!D5+1),0),IF(Career_History!H6=TRUE,IF(A38&lt;Career_History!D6,0,MIN(A38,Career_History!E6)-Career_History!D6+1),0),IF(Career_History!H7=TRUE,IF(A38&lt;Career_History!D7,0,MIN(A38,Career_History!E7)-Career_History!D7+1),0))/365.2425</f>
        <v>39.505260203837175</v>
      </c>
      <c r="H38" s="9"/>
      <c r="I38" s="9"/>
      <c r="J38" s="9"/>
      <c r="K38" s="9">
        <f>SUM(IF(Career_History!G10=TRUE,IF(A38&lt;Career_History!D10,0,MIN(A38,Career_History!E10)-Career_History!D10+1),0),IF(Career_History!G11=TRUE,IF(A38&lt;Career_History!D11,0,MIN(A38,Career_History!E11)-Career_History!D11+1),0))/365.2425</f>
        <v>30.259348241236985</v>
      </c>
      <c r="L38" s="9">
        <f>SUM(IF(Career_History!I10=TRUE,IF(A38&lt;Career_History!D10,0,MIN(A38,Career_History!E10)-Career_History!D10+1),0),IF(Career_History!I11=TRUE,IF(A38&lt;Career_History!D11,0,MIN(A38,Career_History!E11)-Career_History!D11+1),0))/365.2425</f>
        <v>26.505677734655741</v>
      </c>
      <c r="M38" s="9">
        <f>SUM(IF(Career_History!H10=TRUE,IF(A38&lt;Career_History!D10,0,MIN(A38,Career_History!E10)-Career_History!D10+1),0),IF(Career_History!H11=TRUE,IF(A38&lt;Career_History!D11,0,MIN(A38,Career_History!E11)-Career_History!D11+1),0))/365.2425</f>
        <v>30.259348241236985</v>
      </c>
      <c r="N38" s="9">
        <f>SUM(IF(Career_History!G12=TRUE,IF(A38&lt;Career_History!D12,0,MIN(A38,Career_History!E12)-Career_History!D12+1),0),IF(Career_History!G13=TRUE,IF(A38&lt;Career_History!D13,0,MIN(A38,Career_History!E13)-Career_History!D13+1),0))/365.2425</f>
        <v>26.505677734655741</v>
      </c>
      <c r="O38" s="9">
        <f>SUM(IF(Career_History!I12=TRUE,IF(A38&lt;Career_History!D12,0,MIN(A38,Career_History!E12)-Career_History!D12+1),0),IF(Career_History!I13=TRUE,IF(A38&lt;Career_History!D13,0,MIN(A38,Career_History!E13)-Career_History!D13+1),0))/365.2425</f>
        <v>0</v>
      </c>
      <c r="P38" s="9">
        <f>SUM(IF(Career_History!H12=TRUE,IF(A38&lt;Career_History!D12,0,MIN(A38,Career_History!E12)-Career_History!D12+1),0),IF(Career_History!H13=TRUE,IF(A38&lt;Career_History!D13,0,MIN(A38,Career_History!E13)-Career_History!D13+1),0))/365.2425</f>
        <v>3.0007460796594043</v>
      </c>
      <c r="Q38" s="9">
        <f>SUM(IF(Career_History!G14=TRUE,IF(A38&lt;Career_History!D14,0,MIN(A38,Career_History!E14)-Career_History!D14+1),0),IF(Career_History!G15=TRUE,IF(A38&lt;Career_History!D15,0,MIN(A38,Career_History!E15)-Career_History!D15+1),0))/365.2425</f>
        <v>32.258020356338598</v>
      </c>
      <c r="R38" s="9">
        <f>SUM(IF(Career_History!I14=TRUE,IF(A38&lt;Career_History!D14,0,MIN(A38,Career_History!E14)-Career_History!D14+1),0),IF(Career_History!I15=TRUE,IF(A38&lt;Career_History!D15,0,MIN(A38,Career_History!E15)-Career_History!D15+1),0))/365.2425</f>
        <v>0</v>
      </c>
      <c r="S38" s="9">
        <f>SUM(IF(Career_History!H14=TRUE,IF(A38&lt;Career_History!D14,0,MIN(A38,Career_History!E14)-Career_History!D14+1),0),IF(Career_History!H15=TRUE,IF(A38&lt;Career_History!D15,0,MIN(A38,Career_History!E15)-Career_History!D15+1),0))/365.2425</f>
        <v>32.258020356338598</v>
      </c>
      <c r="T38" s="9">
        <f>SUM(IF(Career_History!G16=TRUE,IF(A38&lt;Career_History!D16,0,MIN(A38,Career_History!E16)-Career_History!D16+1),0),IF(Career_History!G17=TRUE,IF(A38&lt;Career_History!D17,0,MIN(A38,Career_History!E17)-Career_History!D17+1),0))/365.2425</f>
        <v>22.505595597445531</v>
      </c>
      <c r="U38" s="9">
        <f>SUM(IF(Career_History!I16=TRUE,IF(A38&lt;Career_History!D16,0,MIN(A38,Career_History!E16)-Career_History!D16+1),0),IF(Career_History!I17=TRUE,IF(A38&lt;Career_History!D17,0,MIN(A38,Career_History!E17)-Career_History!D17+1),0))/365.2425</f>
        <v>21.506259539894728</v>
      </c>
      <c r="V38" s="9">
        <f>SUM(IF(Career_History!H16=TRUE,IF(A38&lt;Career_History!D16,0,MIN(A38,Career_History!E16)-Career_History!D16+1),0),IF(Career_History!H17=TRUE,IF(A38&lt;Career_History!D17,0,MIN(A38,Career_History!E17)-Career_History!D17+1),0))/365.2425</f>
        <v>22.505595597445531</v>
      </c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</row>
    <row r="39" spans="1:67">
      <c r="A39" s="8">
        <v>35826</v>
      </c>
      <c r="B39" s="9">
        <f t="shared" si="0"/>
        <v>27.540606583297397</v>
      </c>
      <c r="C39" s="9">
        <f t="shared" si="1"/>
        <v>9.6023874549100938</v>
      </c>
      <c r="D39" s="9">
        <f t="shared" si="2"/>
        <v>15.107223283161186</v>
      </c>
      <c r="E39" s="9"/>
      <c r="F39" s="9"/>
      <c r="G39" s="9"/>
      <c r="H39" s="9"/>
      <c r="I39" s="9"/>
      <c r="J39" s="9"/>
      <c r="K39" s="9"/>
      <c r="L39" s="9"/>
      <c r="M39" s="9"/>
      <c r="N39" s="9">
        <f>SUM(IF(Career_History!G12=TRUE,IF(A39&lt;Career_History!D12,0,MIN(A39,Career_History!E12)-Career_History!D12+1),0),IF(Career_History!G13=TRUE,IF(A39&lt;Career_History!D13,0,MIN(A39,Career_History!E13)-Career_History!D13+1),0))/365.2425</f>
        <v>26.590552851872385</v>
      </c>
      <c r="O39" s="9">
        <f>SUM(IF(Career_History!I12=TRUE,IF(A39&lt;Career_History!D12,0,MIN(A39,Career_History!E12)-Career_History!D12+1),0),IF(Career_History!I13=TRUE,IF(A39&lt;Career_History!D13,0,MIN(A39,Career_History!E13)-Career_History!D13+1),0))/365.2425</f>
        <v>0</v>
      </c>
      <c r="P39" s="9">
        <f>SUM(IF(Career_History!H12=TRUE,IF(A39&lt;Career_History!D12,0,MIN(A39,Career_History!E12)-Career_History!D12+1),0),IF(Career_History!H13=TRUE,IF(A39&lt;Career_History!D13,0,MIN(A39,Career_History!E13)-Career_History!D13+1),0))/365.2425</f>
        <v>3.0856211968760481</v>
      </c>
      <c r="Q39" s="9">
        <f>SUM(IF(Career_History!G14=TRUE,IF(A39&lt;Career_History!D14,0,MIN(A39,Career_History!E14)-Career_History!D14+1),0),IF(Career_History!G15=TRUE,IF(A39&lt;Career_History!D15,0,MIN(A39,Career_History!E15)-Career_History!D15+1),0))/365.2425</f>
        <v>32.342895473555238</v>
      </c>
      <c r="R39" s="9">
        <f>SUM(IF(Career_History!I14=TRUE,IF(A39&lt;Career_History!D14,0,MIN(A39,Career_History!E14)-Career_History!D14+1),0),IF(Career_History!I15=TRUE,IF(A39&lt;Career_History!D15,0,MIN(A39,Career_History!E15)-Career_History!D15+1),0))/365.2425</f>
        <v>0</v>
      </c>
      <c r="S39" s="9">
        <f>SUM(IF(Career_History!H14=TRUE,IF(A39&lt;Career_History!D14,0,MIN(A39,Career_History!E14)-Career_History!D14+1),0),IF(Career_History!H15=TRUE,IF(A39&lt;Career_History!D15,0,MIN(A39,Career_History!E15)-Career_History!D15+1),0))/365.2425</f>
        <v>32.342895473555238</v>
      </c>
      <c r="T39" s="9">
        <f>SUM(IF(Career_History!G16=TRUE,IF(A39&lt;Career_History!D16,0,MIN(A39,Career_History!E16)-Career_History!D16+1),0),IF(Career_History!G17=TRUE,IF(A39&lt;Career_History!D17,0,MIN(A39,Career_History!E17)-Career_History!D17+1),0))/365.2425</f>
        <v>22.590470714662175</v>
      </c>
      <c r="U39" s="9">
        <f>SUM(IF(Career_History!I16=TRUE,IF(A39&lt;Career_History!D16,0,MIN(A39,Career_History!E16)-Career_History!D16+1),0),IF(Career_History!I17=TRUE,IF(A39&lt;Career_History!D17,0,MIN(A39,Career_History!E17)-Career_History!D17+1),0))/365.2425</f>
        <v>21.506259539894728</v>
      </c>
      <c r="V39" s="9">
        <f>SUM(IF(Career_History!H16=TRUE,IF(A39&lt;Career_History!D16,0,MIN(A39,Career_History!E16)-Career_History!D16+1),0),IF(Career_History!H17=TRUE,IF(A39&lt;Career_History!D17,0,MIN(A39,Career_History!E17)-Career_History!D17+1),0))/365.2425</f>
        <v>22.590470714662175</v>
      </c>
      <c r="W39" s="9">
        <f>SUM(IF(Career_History!G18=TRUE,IF(A39&lt;Career_History!D18,0,MIN(A39,Career_History!E18)-Career_History!D18+1),0),IF(Career_History!G19=TRUE,IF(A39&lt;Career_History!D19,0,MIN(A39,Career_History!E19)-Career_History!D19+1),0),IF(Career_History!G20=TRUE,IF(A39&lt;Career_History!D20,0,MIN(A39,Career_History!E20)-Career_History!D20+1),0))/365.2425</f>
        <v>29.5885610245248</v>
      </c>
      <c r="X39" s="9">
        <f>SUM(IF(Career_History!I18=TRUE,IF(A39&lt;Career_History!D18,0,MIN(A39,Career_History!E18)-Career_History!D18+1),0),IF(Career_History!I19=TRUE,IF(A39&lt;Career_History!D19,0,MIN(A39,Career_History!E19)-Career_History!D19+1),0),IF(Career_History!I20=TRUE,IF(A39&lt;Career_History!D20,0,MIN(A39,Career_History!E20)-Career_History!D20+1),0))/365.2425</f>
        <v>0</v>
      </c>
      <c r="Y39" s="9">
        <f>SUM(IF(Career_History!H18=TRUE,IF(A39&lt;Career_History!D18,0,MIN(A39,Career_History!E18)-Career_History!D18+1),0),IF(Career_History!H19=TRUE,IF(A39&lt;Career_History!D19,0,MIN(A39,Career_History!E19)-Career_History!D19+1),0),IF(Career_History!H20=TRUE,IF(A39&lt;Career_History!D20,0,MIN(A39,Career_History!E20)-Career_History!D20+1),0))/365.2425</f>
        <v>1.0951628027954031E-2</v>
      </c>
      <c r="Z39" s="9">
        <f>SUM(IF(Career_History!G21=TRUE,IF(A39&lt;Career_History!D21,0,MIN(A39,Career_History!E21)-Career_History!D21+1),0),IF(Career_History!G22=TRUE,IF(A39&lt;Career_History!D22,0,MIN(A39,Career_History!E22)-Career_History!D22+1),0),IF(Career_History!G23=TRUE,IF(A39&lt;Career_History!D23,0,MIN(A39,Career_History!E23)-Career_History!D23+1),0),IF(Career_History!G24=TRUE,IF(A39&lt;Career_History!D24,0,MIN(A39,Career_History!E24)-Career_History!D24+1),0))/365.2425</f>
        <v>26.590552851872385</v>
      </c>
      <c r="AA39" s="9">
        <f>SUM(IF(Career_History!I21=TRUE,IF(A39&lt;Career_History!D21,0,MIN(A39,Career_History!E21)-Career_History!D21+1),0),IF(Career_History!I22=TRUE,IF(A39&lt;Career_History!D22,0,MIN(A39,Career_History!E22)-Career_History!D22+1),0),IF(Career_History!I23=TRUE,IF(A39&lt;Career_History!D23,0,MIN(A39,Career_History!E23)-Career_History!D23+1),0),IF(Career_History!I24=TRUE,IF(A39&lt;Career_History!D24,0,MIN(A39,Career_History!E24)-Career_History!D24+1),0))/365.2425</f>
        <v>26.505677734655741</v>
      </c>
      <c r="AB39" s="9">
        <f>SUM(IF(Career_History!H21=TRUE,IF(A39&lt;Career_History!D21,0,MIN(A39,Career_History!E21)-Career_History!D21+1),0),IF(Career_History!H22=TRUE,IF(A39&lt;Career_History!D22,0,MIN(A39,Career_History!E22)-Career_History!D22+1),0),IF(Career_History!H23=TRUE,IF(A39&lt;Career_History!D23,0,MIN(A39,Career_History!E23)-Career_History!D23+1),0),IF(Career_History!H24=TRUE,IF(A39&lt;Career_History!D24,0,MIN(A39,Career_History!E24)-Career_History!D24+1),0))/365.2425</f>
        <v>17.506177402684518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</row>
    <row r="40" spans="1:67">
      <c r="A40" s="8">
        <v>35854</v>
      </c>
      <c r="B40" s="9">
        <f t="shared" si="0"/>
        <v>27.617267979493079</v>
      </c>
      <c r="C40" s="9">
        <f t="shared" si="1"/>
        <v>9.6023874549100938</v>
      </c>
      <c r="D40" s="9">
        <f t="shared" si="2"/>
        <v>15.183884679356865</v>
      </c>
      <c r="E40" s="9"/>
      <c r="F40" s="9"/>
      <c r="G40" s="9"/>
      <c r="H40" s="9"/>
      <c r="I40" s="9"/>
      <c r="J40" s="9"/>
      <c r="K40" s="9"/>
      <c r="L40" s="9"/>
      <c r="M40" s="9"/>
      <c r="N40" s="9">
        <f>SUM(IF(Career_History!G12=TRUE,IF(A40&lt;Career_History!D12,0,MIN(A40,Career_History!E12)-Career_History!D12+1),0),IF(Career_History!G13=TRUE,IF(A40&lt;Career_History!D13,0,MIN(A40,Career_History!E13)-Career_History!D13+1),0))/365.2425</f>
        <v>26.667214248068063</v>
      </c>
      <c r="O40" s="9">
        <f>SUM(IF(Career_History!I12=TRUE,IF(A40&lt;Career_History!D12,0,MIN(A40,Career_History!E12)-Career_History!D12+1),0),IF(Career_History!I13=TRUE,IF(A40&lt;Career_History!D13,0,MIN(A40,Career_History!E13)-Career_History!D13+1),0))/365.2425</f>
        <v>0</v>
      </c>
      <c r="P40" s="9">
        <f>SUM(IF(Career_History!H12=TRUE,IF(A40&lt;Career_History!D12,0,MIN(A40,Career_History!E12)-Career_History!D12+1),0),IF(Career_History!H13=TRUE,IF(A40&lt;Career_History!D13,0,MIN(A40,Career_History!E13)-Career_History!D13+1),0))/365.2425</f>
        <v>3.1622825930717262</v>
      </c>
      <c r="Q40" s="9">
        <f>SUM(IF(Career_History!G14=TRUE,IF(A40&lt;Career_History!D14,0,MIN(A40,Career_History!E14)-Career_History!D14+1),0),IF(Career_History!G15=TRUE,IF(A40&lt;Career_History!D15,0,MIN(A40,Career_History!E15)-Career_History!D15+1),0))/365.2425</f>
        <v>32.41955686975092</v>
      </c>
      <c r="R40" s="9">
        <f>SUM(IF(Career_History!I14=TRUE,IF(A40&lt;Career_History!D14,0,MIN(A40,Career_History!E14)-Career_History!D14+1),0),IF(Career_History!I15=TRUE,IF(A40&lt;Career_History!D15,0,MIN(A40,Career_History!E15)-Career_History!D15+1),0))/365.2425</f>
        <v>0</v>
      </c>
      <c r="S40" s="9">
        <f>SUM(IF(Career_History!H14=TRUE,IF(A40&lt;Career_History!D14,0,MIN(A40,Career_History!E14)-Career_History!D14+1),0),IF(Career_History!H15=TRUE,IF(A40&lt;Career_History!D15,0,MIN(A40,Career_History!E15)-Career_History!D15+1),0))/365.2425</f>
        <v>32.41955686975092</v>
      </c>
      <c r="T40" s="9">
        <f>SUM(IF(Career_History!G16=TRUE,IF(A40&lt;Career_History!D16,0,MIN(A40,Career_History!E16)-Career_History!D16+1),0),IF(Career_History!G17=TRUE,IF(A40&lt;Career_History!D17,0,MIN(A40,Career_History!E17)-Career_History!D17+1),0))/365.2425</f>
        <v>22.667132110857853</v>
      </c>
      <c r="U40" s="9">
        <f>SUM(IF(Career_History!I16=TRUE,IF(A40&lt;Career_History!D16,0,MIN(A40,Career_History!E16)-Career_History!D16+1),0),IF(Career_History!I17=TRUE,IF(A40&lt;Career_History!D17,0,MIN(A40,Career_History!E17)-Career_History!D17+1),0))/365.2425</f>
        <v>21.506259539894728</v>
      </c>
      <c r="V40" s="9">
        <f>SUM(IF(Career_History!H16=TRUE,IF(A40&lt;Career_History!D16,0,MIN(A40,Career_History!E16)-Career_History!D16+1),0),IF(Career_History!H17=TRUE,IF(A40&lt;Career_History!D17,0,MIN(A40,Career_History!E17)-Career_History!D17+1),0))/365.2425</f>
        <v>22.667132110857853</v>
      </c>
      <c r="W40" s="9">
        <f>SUM(IF(Career_History!G18=TRUE,IF(A40&lt;Career_History!D18,0,MIN(A40,Career_History!E18)-Career_History!D18+1),0),IF(Career_History!G19=TRUE,IF(A40&lt;Career_History!D19,0,MIN(A40,Career_History!E19)-Career_History!D19+1),0),IF(Career_History!G20=TRUE,IF(A40&lt;Career_History!D20,0,MIN(A40,Career_History!E20)-Career_History!D20+1),0))/365.2425</f>
        <v>29.665222420720479</v>
      </c>
      <c r="X40" s="9">
        <f>SUM(IF(Career_History!I18=TRUE,IF(A40&lt;Career_History!D18,0,MIN(A40,Career_History!E18)-Career_History!D18+1),0),IF(Career_History!I19=TRUE,IF(A40&lt;Career_History!D19,0,MIN(A40,Career_History!E19)-Career_History!D19+1),0),IF(Career_History!I20=TRUE,IF(A40&lt;Career_History!D20,0,MIN(A40,Career_History!E20)-Career_History!D20+1),0))/365.2425</f>
        <v>0</v>
      </c>
      <c r="Y40" s="9">
        <f>SUM(IF(Career_History!H18=TRUE,IF(A40&lt;Career_History!D18,0,MIN(A40,Career_History!E18)-Career_History!D18+1),0),IF(Career_History!H19=TRUE,IF(A40&lt;Career_History!D19,0,MIN(A40,Career_History!E19)-Career_History!D19+1),0),IF(Career_History!H20=TRUE,IF(A40&lt;Career_History!D20,0,MIN(A40,Career_History!E20)-Career_History!D20+1),0))/365.2425</f>
        <v>8.7613024223632249E-2</v>
      </c>
      <c r="Z40" s="9">
        <f>SUM(IF(Career_History!G21=TRUE,IF(A40&lt;Career_History!D21,0,MIN(A40,Career_History!E21)-Career_History!D21+1),0),IF(Career_History!G22=TRUE,IF(A40&lt;Career_History!D22,0,MIN(A40,Career_History!E22)-Career_History!D22+1),0),IF(Career_History!G23=TRUE,IF(A40&lt;Career_History!D23,0,MIN(A40,Career_History!E23)-Career_History!D23+1),0),IF(Career_History!G24=TRUE,IF(A40&lt;Career_History!D24,0,MIN(A40,Career_History!E24)-Career_History!D24+1),0))/365.2425</f>
        <v>26.667214248068063</v>
      </c>
      <c r="AA40" s="9">
        <f>SUM(IF(Career_History!I21=TRUE,IF(A40&lt;Career_History!D21,0,MIN(A40,Career_History!E21)-Career_History!D21+1),0),IF(Career_History!I22=TRUE,IF(A40&lt;Career_History!D22,0,MIN(A40,Career_History!E22)-Career_History!D22+1),0),IF(Career_History!I23=TRUE,IF(A40&lt;Career_History!D23,0,MIN(A40,Career_History!E23)-Career_History!D23+1),0),IF(Career_History!I24=TRUE,IF(A40&lt;Career_History!D24,0,MIN(A40,Career_History!E24)-Career_History!D24+1),0))/365.2425</f>
        <v>26.505677734655741</v>
      </c>
      <c r="AB40" s="9">
        <f>SUM(IF(Career_History!H21=TRUE,IF(A40&lt;Career_History!D21,0,MIN(A40,Career_History!E21)-Career_History!D21+1),0),IF(Career_History!H22=TRUE,IF(A40&lt;Career_History!D22,0,MIN(A40,Career_History!E22)-Career_History!D22+1),0),IF(Career_History!H23=TRUE,IF(A40&lt;Career_History!D23,0,MIN(A40,Career_History!E23)-Career_History!D23+1),0),IF(Career_History!H24=TRUE,IF(A40&lt;Career_History!D24,0,MIN(A40,Career_History!E24)-Career_History!D24+1),0))/365.2425</f>
        <v>17.582838798880196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</row>
    <row r="41" spans="1:67">
      <c r="A41" s="8">
        <v>35885</v>
      </c>
      <c r="B41" s="9">
        <f t="shared" si="0"/>
        <v>27.702143096709715</v>
      </c>
      <c r="C41" s="9">
        <f t="shared" si="1"/>
        <v>9.6023874549100938</v>
      </c>
      <c r="D41" s="9">
        <f t="shared" si="2"/>
        <v>15.268759796573509</v>
      </c>
      <c r="E41" s="9"/>
      <c r="F41" s="9"/>
      <c r="G41" s="9"/>
      <c r="H41" s="9"/>
      <c r="I41" s="9"/>
      <c r="J41" s="9"/>
      <c r="K41" s="9"/>
      <c r="L41" s="9"/>
      <c r="M41" s="9"/>
      <c r="N41" s="9">
        <f>SUM(IF(Career_History!G12=TRUE,IF(A41&lt;Career_History!D12,0,MIN(A41,Career_History!E12)-Career_History!D12+1),0),IF(Career_History!G13=TRUE,IF(A41&lt;Career_History!D13,0,MIN(A41,Career_History!E13)-Career_History!D13+1),0))/365.2425</f>
        <v>26.752089365284707</v>
      </c>
      <c r="O41" s="9">
        <f>SUM(IF(Career_History!I12=TRUE,IF(A41&lt;Career_History!D12,0,MIN(A41,Career_History!E12)-Career_History!D12+1),0),IF(Career_History!I13=TRUE,IF(A41&lt;Career_History!D13,0,MIN(A41,Career_History!E13)-Career_History!D13+1),0))/365.2425</f>
        <v>0</v>
      </c>
      <c r="P41" s="9">
        <f>SUM(IF(Career_History!H12=TRUE,IF(A41&lt;Career_History!D12,0,MIN(A41,Career_History!E12)-Career_History!D12+1),0),IF(Career_History!H13=TRUE,IF(A41&lt;Career_History!D13,0,MIN(A41,Career_History!E13)-Career_History!D13+1),0))/365.2425</f>
        <v>3.24715771028837</v>
      </c>
      <c r="Q41" s="9">
        <f>SUM(IF(Career_History!G14=TRUE,IF(A41&lt;Career_History!D14,0,MIN(A41,Career_History!E14)-Career_History!D14+1),0),IF(Career_History!G15=TRUE,IF(A41&lt;Career_History!D15,0,MIN(A41,Career_History!E15)-Career_History!D15+1),0))/365.2425</f>
        <v>32.50443198696756</v>
      </c>
      <c r="R41" s="9">
        <f>SUM(IF(Career_History!I14=TRUE,IF(A41&lt;Career_History!D14,0,MIN(A41,Career_History!E14)-Career_History!D14+1),0),IF(Career_History!I15=TRUE,IF(A41&lt;Career_History!D15,0,MIN(A41,Career_History!E15)-Career_History!D15+1),0))/365.2425</f>
        <v>0</v>
      </c>
      <c r="S41" s="9">
        <f>SUM(IF(Career_History!H14=TRUE,IF(A41&lt;Career_History!D14,0,MIN(A41,Career_History!E14)-Career_History!D14+1),0),IF(Career_History!H15=TRUE,IF(A41&lt;Career_History!D15,0,MIN(A41,Career_History!E15)-Career_History!D15+1),0))/365.2425</f>
        <v>32.50443198696756</v>
      </c>
      <c r="T41" s="9">
        <f>SUM(IF(Career_History!G16=TRUE,IF(A41&lt;Career_History!D16,0,MIN(A41,Career_History!E16)-Career_History!D16+1),0),IF(Career_History!G17=TRUE,IF(A41&lt;Career_History!D17,0,MIN(A41,Career_History!E17)-Career_History!D17+1),0))/365.2425</f>
        <v>22.752007228074497</v>
      </c>
      <c r="U41" s="9">
        <f>SUM(IF(Career_History!I16=TRUE,IF(A41&lt;Career_History!D16,0,MIN(A41,Career_History!E16)-Career_History!D16+1),0),IF(Career_History!I17=TRUE,IF(A41&lt;Career_History!D17,0,MIN(A41,Career_History!E17)-Career_History!D17+1),0))/365.2425</f>
        <v>21.506259539894728</v>
      </c>
      <c r="V41" s="9">
        <f>SUM(IF(Career_History!H16=TRUE,IF(A41&lt;Career_History!D16,0,MIN(A41,Career_History!E16)-Career_History!D16+1),0),IF(Career_History!H17=TRUE,IF(A41&lt;Career_History!D17,0,MIN(A41,Career_History!E17)-Career_History!D17+1),0))/365.2425</f>
        <v>22.752007228074497</v>
      </c>
      <c r="W41" s="9">
        <f>SUM(IF(Career_History!G18=TRUE,IF(A41&lt;Career_History!D18,0,MIN(A41,Career_History!E18)-Career_History!D18+1),0),IF(Career_History!G19=TRUE,IF(A41&lt;Career_History!D19,0,MIN(A41,Career_History!E19)-Career_History!D19+1),0),IF(Career_History!G20=TRUE,IF(A41&lt;Career_History!D20,0,MIN(A41,Career_History!E20)-Career_History!D20+1),0))/365.2425</f>
        <v>29.750097537937123</v>
      </c>
      <c r="X41" s="9">
        <f>SUM(IF(Career_History!I18=TRUE,IF(A41&lt;Career_History!D18,0,MIN(A41,Career_History!E18)-Career_History!D18+1),0),IF(Career_History!I19=TRUE,IF(A41&lt;Career_History!D19,0,MIN(A41,Career_History!E19)-Career_History!D19+1),0),IF(Career_History!I20=TRUE,IF(A41&lt;Career_History!D20,0,MIN(A41,Career_History!E20)-Career_History!D20+1),0))/365.2425</f>
        <v>0</v>
      </c>
      <c r="Y41" s="9">
        <f>SUM(IF(Career_History!H18=TRUE,IF(A41&lt;Career_History!D18,0,MIN(A41,Career_History!E18)-Career_History!D18+1),0),IF(Career_History!H19=TRUE,IF(A41&lt;Career_History!D19,0,MIN(A41,Career_History!E19)-Career_History!D19+1),0),IF(Career_History!H20=TRUE,IF(A41&lt;Career_History!D20,0,MIN(A41,Career_History!E20)-Career_History!D20+1),0))/365.2425</f>
        <v>0.17248814144027597</v>
      </c>
      <c r="Z41" s="9">
        <f>SUM(IF(Career_History!G21=TRUE,IF(A41&lt;Career_History!D21,0,MIN(A41,Career_History!E21)-Career_History!D21+1),0),IF(Career_History!G22=TRUE,IF(A41&lt;Career_History!D22,0,MIN(A41,Career_History!E22)-Career_History!D22+1),0),IF(Career_History!G23=TRUE,IF(A41&lt;Career_History!D23,0,MIN(A41,Career_History!E23)-Career_History!D23+1),0),IF(Career_History!G24=TRUE,IF(A41&lt;Career_History!D24,0,MIN(A41,Career_History!E24)-Career_History!D24+1),0))/365.2425</f>
        <v>26.752089365284707</v>
      </c>
      <c r="AA41" s="9">
        <f>SUM(IF(Career_History!I21=TRUE,IF(A41&lt;Career_History!D21,0,MIN(A41,Career_History!E21)-Career_History!D21+1),0),IF(Career_History!I22=TRUE,IF(A41&lt;Career_History!D22,0,MIN(A41,Career_History!E22)-Career_History!D22+1),0),IF(Career_History!I23=TRUE,IF(A41&lt;Career_History!D23,0,MIN(A41,Career_History!E23)-Career_History!D23+1),0),IF(Career_History!I24=TRUE,IF(A41&lt;Career_History!D24,0,MIN(A41,Career_History!E24)-Career_History!D24+1),0))/365.2425</f>
        <v>26.505677734655741</v>
      </c>
      <c r="AB41" s="9">
        <f>SUM(IF(Career_History!H21=TRUE,IF(A41&lt;Career_History!D21,0,MIN(A41,Career_History!E21)-Career_History!D21+1),0),IF(Career_History!H22=TRUE,IF(A41&lt;Career_History!D22,0,MIN(A41,Career_History!E22)-Career_History!D22+1),0),IF(Career_History!H23=TRUE,IF(A41&lt;Career_History!D23,0,MIN(A41,Career_History!E23)-Career_History!D23+1),0),IF(Career_History!H24=TRUE,IF(A41&lt;Career_History!D24,0,MIN(A41,Career_History!E24)-Career_History!D24+1),0))/365.2425</f>
        <v>17.66771391609684</v>
      </c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</row>
    <row r="42" spans="1:67">
      <c r="A42" s="8">
        <v>35915</v>
      </c>
      <c r="B42" s="9">
        <f t="shared" si="0"/>
        <v>27.784280306919374</v>
      </c>
      <c r="C42" s="9">
        <f t="shared" si="1"/>
        <v>9.6023874549100938</v>
      </c>
      <c r="D42" s="9">
        <f t="shared" si="2"/>
        <v>15.350897006783162</v>
      </c>
      <c r="E42" s="9"/>
      <c r="F42" s="9"/>
      <c r="G42" s="9"/>
      <c r="H42" s="9"/>
      <c r="I42" s="9"/>
      <c r="J42" s="9"/>
      <c r="K42" s="9"/>
      <c r="L42" s="9"/>
      <c r="M42" s="9"/>
      <c r="N42" s="9">
        <f>SUM(IF(Career_History!G12=TRUE,IF(A42&lt;Career_History!D12,0,MIN(A42,Career_History!E12)-Career_History!D12+1),0),IF(Career_History!G13=TRUE,IF(A42&lt;Career_History!D13,0,MIN(A42,Career_History!E13)-Career_History!D13+1),0))/365.2425</f>
        <v>26.834226575494363</v>
      </c>
      <c r="O42" s="9">
        <f>SUM(IF(Career_History!I12=TRUE,IF(A42&lt;Career_History!D12,0,MIN(A42,Career_History!E12)-Career_History!D12+1),0),IF(Career_History!I13=TRUE,IF(A42&lt;Career_History!D13,0,MIN(A42,Career_History!E13)-Career_History!D13+1),0))/365.2425</f>
        <v>0</v>
      </c>
      <c r="P42" s="9">
        <f>SUM(IF(Career_History!H12=TRUE,IF(A42&lt;Career_History!D12,0,MIN(A42,Career_History!E12)-Career_History!D12+1),0),IF(Career_History!H13=TRUE,IF(A42&lt;Career_History!D13,0,MIN(A42,Career_History!E13)-Career_History!D13+1),0))/365.2425</f>
        <v>3.3292949204980253</v>
      </c>
      <c r="Q42" s="9">
        <f>SUM(IF(Career_History!G14=TRUE,IF(A42&lt;Career_History!D14,0,MIN(A42,Career_History!E14)-Career_History!D14+1),0),IF(Career_History!G15=TRUE,IF(A42&lt;Career_History!D15,0,MIN(A42,Career_History!E15)-Career_History!D15+1),0))/365.2425</f>
        <v>32.586569197177219</v>
      </c>
      <c r="R42" s="9">
        <f>SUM(IF(Career_History!I14=TRUE,IF(A42&lt;Career_History!D14,0,MIN(A42,Career_History!E14)-Career_History!D14+1),0),IF(Career_History!I15=TRUE,IF(A42&lt;Career_History!D15,0,MIN(A42,Career_History!E15)-Career_History!D15+1),0))/365.2425</f>
        <v>0</v>
      </c>
      <c r="S42" s="9">
        <f>SUM(IF(Career_History!H14=TRUE,IF(A42&lt;Career_History!D14,0,MIN(A42,Career_History!E14)-Career_History!D14+1),0),IF(Career_History!H15=TRUE,IF(A42&lt;Career_History!D15,0,MIN(A42,Career_History!E15)-Career_History!D15+1),0))/365.2425</f>
        <v>32.586569197177219</v>
      </c>
      <c r="T42" s="9">
        <f>SUM(IF(Career_History!G16=TRUE,IF(A42&lt;Career_History!D16,0,MIN(A42,Career_History!E16)-Career_History!D16+1),0),IF(Career_History!G17=TRUE,IF(A42&lt;Career_History!D17,0,MIN(A42,Career_History!E17)-Career_History!D17+1),0))/365.2425</f>
        <v>22.834144438284152</v>
      </c>
      <c r="U42" s="9">
        <f>SUM(IF(Career_History!I16=TRUE,IF(A42&lt;Career_History!D16,0,MIN(A42,Career_History!E16)-Career_History!D16+1),0),IF(Career_History!I17=TRUE,IF(A42&lt;Career_History!D17,0,MIN(A42,Career_History!E17)-Career_History!D17+1),0))/365.2425</f>
        <v>21.506259539894728</v>
      </c>
      <c r="V42" s="9">
        <f>SUM(IF(Career_History!H16=TRUE,IF(A42&lt;Career_History!D16,0,MIN(A42,Career_History!E16)-Career_History!D16+1),0),IF(Career_History!H17=TRUE,IF(A42&lt;Career_History!D17,0,MIN(A42,Career_History!E17)-Career_History!D17+1),0))/365.2425</f>
        <v>22.834144438284152</v>
      </c>
      <c r="W42" s="9">
        <f>SUM(IF(Career_History!G18=TRUE,IF(A42&lt;Career_History!D18,0,MIN(A42,Career_History!E18)-Career_History!D18+1),0),IF(Career_History!G19=TRUE,IF(A42&lt;Career_History!D19,0,MIN(A42,Career_History!E19)-Career_History!D19+1),0),IF(Career_History!G20=TRUE,IF(A42&lt;Career_History!D20,0,MIN(A42,Career_History!E20)-Career_History!D20+1),0))/365.2425</f>
        <v>29.832234748146778</v>
      </c>
      <c r="X42" s="9">
        <f>SUM(IF(Career_History!I18=TRUE,IF(A42&lt;Career_History!D18,0,MIN(A42,Career_History!E18)-Career_History!D18+1),0),IF(Career_History!I19=TRUE,IF(A42&lt;Career_History!D19,0,MIN(A42,Career_History!E19)-Career_History!D19+1),0),IF(Career_History!I20=TRUE,IF(A42&lt;Career_History!D20,0,MIN(A42,Career_History!E20)-Career_History!D20+1),0))/365.2425</f>
        <v>0</v>
      </c>
      <c r="Y42" s="9">
        <f>SUM(IF(Career_History!H18=TRUE,IF(A42&lt;Career_History!D18,0,MIN(A42,Career_History!E18)-Career_History!D18+1),0),IF(Career_History!H19=TRUE,IF(A42&lt;Career_History!D19,0,MIN(A42,Career_History!E19)-Career_History!D19+1),0),IF(Career_History!H20=TRUE,IF(A42&lt;Career_History!D20,0,MIN(A42,Career_History!E20)-Career_History!D20+1),0))/365.2425</f>
        <v>0.25462535164993122</v>
      </c>
      <c r="Z42" s="9">
        <f>SUM(IF(Career_History!G21=TRUE,IF(A42&lt;Career_History!D21,0,MIN(A42,Career_History!E21)-Career_History!D21+1),0),IF(Career_History!G22=TRUE,IF(A42&lt;Career_History!D22,0,MIN(A42,Career_History!E22)-Career_History!D22+1),0),IF(Career_History!G23=TRUE,IF(A42&lt;Career_History!D23,0,MIN(A42,Career_History!E23)-Career_History!D23+1),0),IF(Career_History!G24=TRUE,IF(A42&lt;Career_History!D24,0,MIN(A42,Career_History!E24)-Career_History!D24+1),0))/365.2425</f>
        <v>26.834226575494363</v>
      </c>
      <c r="AA42" s="9">
        <f>SUM(IF(Career_History!I21=TRUE,IF(A42&lt;Career_History!D21,0,MIN(A42,Career_History!E21)-Career_History!D21+1),0),IF(Career_History!I22=TRUE,IF(A42&lt;Career_History!D22,0,MIN(A42,Career_History!E22)-Career_History!D22+1),0),IF(Career_History!I23=TRUE,IF(A42&lt;Career_History!D23,0,MIN(A42,Career_History!E23)-Career_History!D23+1),0),IF(Career_History!I24=TRUE,IF(A42&lt;Career_History!D24,0,MIN(A42,Career_History!E24)-Career_History!D24+1),0))/365.2425</f>
        <v>26.505677734655741</v>
      </c>
      <c r="AB42" s="9">
        <f>SUM(IF(Career_History!H21=TRUE,IF(A42&lt;Career_History!D21,0,MIN(A42,Career_History!E21)-Career_History!D21+1),0),IF(Career_History!H22=TRUE,IF(A42&lt;Career_History!D22,0,MIN(A42,Career_History!E22)-Career_History!D22+1),0),IF(Career_History!H23=TRUE,IF(A42&lt;Career_History!D23,0,MIN(A42,Career_History!E23)-Career_History!D23+1),0),IF(Career_History!H24=TRUE,IF(A42&lt;Career_History!D24,0,MIN(A42,Career_History!E24)-Career_History!D24+1),0))/365.2425</f>
        <v>17.749851126306496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</row>
    <row r="43" spans="1:67">
      <c r="A43" s="8">
        <v>35946</v>
      </c>
      <c r="B43" s="9">
        <f t="shared" si="0"/>
        <v>27.869155424136018</v>
      </c>
      <c r="C43" s="9">
        <f t="shared" si="1"/>
        <v>9.6023874549100938</v>
      </c>
      <c r="D43" s="9">
        <f t="shared" si="2"/>
        <v>15.435772123999808</v>
      </c>
      <c r="E43" s="9"/>
      <c r="F43" s="9"/>
      <c r="G43" s="9"/>
      <c r="H43" s="9"/>
      <c r="I43" s="9"/>
      <c r="J43" s="9"/>
      <c r="K43" s="9"/>
      <c r="L43" s="9"/>
      <c r="M43" s="9"/>
      <c r="N43" s="9">
        <f>SUM(IF(Career_History!G12=TRUE,IF(A43&lt;Career_History!D12,0,MIN(A43,Career_History!E12)-Career_History!D12+1),0),IF(Career_History!G13=TRUE,IF(A43&lt;Career_History!D13,0,MIN(A43,Career_History!E13)-Career_History!D13+1),0))/365.2425</f>
        <v>26.919101692711006</v>
      </c>
      <c r="O43" s="9">
        <f>SUM(IF(Career_History!I12=TRUE,IF(A43&lt;Career_History!D12,0,MIN(A43,Career_History!E12)-Career_History!D12+1),0),IF(Career_History!I13=TRUE,IF(A43&lt;Career_History!D13,0,MIN(A43,Career_History!E13)-Career_History!D13+1),0))/365.2425</f>
        <v>0</v>
      </c>
      <c r="P43" s="9">
        <f>SUM(IF(Career_History!H12=TRUE,IF(A43&lt;Career_History!D12,0,MIN(A43,Career_History!E12)-Career_History!D12+1),0),IF(Career_History!H13=TRUE,IF(A43&lt;Career_History!D13,0,MIN(A43,Career_History!E13)-Career_History!D13+1),0))/365.2425</f>
        <v>3.4141700377146691</v>
      </c>
      <c r="Q43" s="9">
        <f>SUM(IF(Career_History!G14=TRUE,IF(A43&lt;Career_History!D14,0,MIN(A43,Career_History!E14)-Career_History!D14+1),0),IF(Career_History!G15=TRUE,IF(A43&lt;Career_History!D15,0,MIN(A43,Career_History!E15)-Career_History!D15+1),0))/365.2425</f>
        <v>32.67144431439386</v>
      </c>
      <c r="R43" s="9">
        <f>SUM(IF(Career_History!I14=TRUE,IF(A43&lt;Career_History!D14,0,MIN(A43,Career_History!E14)-Career_History!D14+1),0),IF(Career_History!I15=TRUE,IF(A43&lt;Career_History!D15,0,MIN(A43,Career_History!E15)-Career_History!D15+1),0))/365.2425</f>
        <v>0</v>
      </c>
      <c r="S43" s="9">
        <f>SUM(IF(Career_History!H14=TRUE,IF(A43&lt;Career_History!D14,0,MIN(A43,Career_History!E14)-Career_History!D14+1),0),IF(Career_History!H15=TRUE,IF(A43&lt;Career_History!D15,0,MIN(A43,Career_History!E15)-Career_History!D15+1),0))/365.2425</f>
        <v>32.67144431439386</v>
      </c>
      <c r="T43" s="9">
        <f>SUM(IF(Career_History!G16=TRUE,IF(A43&lt;Career_History!D16,0,MIN(A43,Career_History!E16)-Career_History!D16+1),0),IF(Career_History!G17=TRUE,IF(A43&lt;Career_History!D17,0,MIN(A43,Career_History!E17)-Career_History!D17+1),0))/365.2425</f>
        <v>22.919019555500796</v>
      </c>
      <c r="U43" s="9">
        <f>SUM(IF(Career_History!I16=TRUE,IF(A43&lt;Career_History!D16,0,MIN(A43,Career_History!E16)-Career_History!D16+1),0),IF(Career_History!I17=TRUE,IF(A43&lt;Career_History!D17,0,MIN(A43,Career_History!E17)-Career_History!D17+1),0))/365.2425</f>
        <v>21.506259539894728</v>
      </c>
      <c r="V43" s="9">
        <f>SUM(IF(Career_History!H16=TRUE,IF(A43&lt;Career_History!D16,0,MIN(A43,Career_History!E16)-Career_History!D16+1),0),IF(Career_History!H17=TRUE,IF(A43&lt;Career_History!D17,0,MIN(A43,Career_History!E17)-Career_History!D17+1),0))/365.2425</f>
        <v>22.919019555500796</v>
      </c>
      <c r="W43" s="9">
        <f>SUM(IF(Career_History!G18=TRUE,IF(A43&lt;Career_History!D18,0,MIN(A43,Career_History!E18)-Career_History!D18+1),0),IF(Career_History!G19=TRUE,IF(A43&lt;Career_History!D19,0,MIN(A43,Career_History!E19)-Career_History!D19+1),0),IF(Career_History!G20=TRUE,IF(A43&lt;Career_History!D20,0,MIN(A43,Career_History!E20)-Career_History!D20+1),0))/365.2425</f>
        <v>29.917109865363422</v>
      </c>
      <c r="X43" s="9">
        <f>SUM(IF(Career_History!I18=TRUE,IF(A43&lt;Career_History!D18,0,MIN(A43,Career_History!E18)-Career_History!D18+1),0),IF(Career_History!I19=TRUE,IF(A43&lt;Career_History!D19,0,MIN(A43,Career_History!E19)-Career_History!D19+1),0),IF(Career_History!I20=TRUE,IF(A43&lt;Career_History!D20,0,MIN(A43,Career_History!E20)-Career_History!D20+1),0))/365.2425</f>
        <v>0</v>
      </c>
      <c r="Y43" s="9">
        <f>SUM(IF(Career_History!H18=TRUE,IF(A43&lt;Career_History!D18,0,MIN(A43,Career_History!E18)-Career_History!D18+1),0),IF(Career_History!H19=TRUE,IF(A43&lt;Career_History!D19,0,MIN(A43,Career_History!E19)-Career_History!D19+1),0),IF(Career_History!H20=TRUE,IF(A43&lt;Career_History!D20,0,MIN(A43,Career_History!E20)-Career_History!D20+1),0))/365.2425</f>
        <v>0.33950046886657492</v>
      </c>
      <c r="Z43" s="9">
        <f>SUM(IF(Career_History!G21=TRUE,IF(A43&lt;Career_History!D21,0,MIN(A43,Career_History!E21)-Career_History!D21+1),0),IF(Career_History!G22=TRUE,IF(A43&lt;Career_History!D22,0,MIN(A43,Career_History!E22)-Career_History!D22+1),0),IF(Career_History!G23=TRUE,IF(A43&lt;Career_History!D23,0,MIN(A43,Career_History!E23)-Career_History!D23+1),0),IF(Career_History!G24=TRUE,IF(A43&lt;Career_History!D24,0,MIN(A43,Career_History!E24)-Career_History!D24+1),0))/365.2425</f>
        <v>26.919101692711006</v>
      </c>
      <c r="AA43" s="9">
        <f>SUM(IF(Career_History!I21=TRUE,IF(A43&lt;Career_History!D21,0,MIN(A43,Career_History!E21)-Career_History!D21+1),0),IF(Career_History!I22=TRUE,IF(A43&lt;Career_History!D22,0,MIN(A43,Career_History!E22)-Career_History!D22+1),0),IF(Career_History!I23=TRUE,IF(A43&lt;Career_History!D23,0,MIN(A43,Career_History!E23)-Career_History!D23+1),0),IF(Career_History!I24=TRUE,IF(A43&lt;Career_History!D24,0,MIN(A43,Career_History!E24)-Career_History!D24+1),0))/365.2425</f>
        <v>26.505677734655741</v>
      </c>
      <c r="AB43" s="9">
        <f>SUM(IF(Career_History!H21=TRUE,IF(A43&lt;Career_History!D21,0,MIN(A43,Career_History!E21)-Career_History!D21+1),0),IF(Career_History!H22=TRUE,IF(A43&lt;Career_History!D22,0,MIN(A43,Career_History!E22)-Career_History!D22+1),0),IF(Career_History!H23=TRUE,IF(A43&lt;Career_History!D23,0,MIN(A43,Career_History!E23)-Career_History!D23+1),0),IF(Career_History!H24=TRUE,IF(A43&lt;Career_History!D24,0,MIN(A43,Career_History!E24)-Career_History!D24+1),0))/365.2425</f>
        <v>17.834726243523139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</row>
    <row r="44" spans="1:67">
      <c r="A44" s="8">
        <v>35976</v>
      </c>
      <c r="B44" s="9">
        <f t="shared" si="0"/>
        <v>27.951292634345673</v>
      </c>
      <c r="C44" s="9">
        <f t="shared" si="1"/>
        <v>9.6023874549100938</v>
      </c>
      <c r="D44" s="9">
        <f t="shared" si="2"/>
        <v>15.517909334209463</v>
      </c>
      <c r="E44" s="9"/>
      <c r="F44" s="9"/>
      <c r="G44" s="9"/>
      <c r="H44" s="9"/>
      <c r="I44" s="9"/>
      <c r="J44" s="9"/>
      <c r="K44" s="9"/>
      <c r="L44" s="9"/>
      <c r="M44" s="9"/>
      <c r="N44" s="9">
        <f>SUM(IF(Career_History!G12=TRUE,IF(A44&lt;Career_History!D12,0,MIN(A44,Career_History!E12)-Career_History!D12+1),0),IF(Career_History!G13=TRUE,IF(A44&lt;Career_History!D13,0,MIN(A44,Career_History!E13)-Career_History!D13+1),0))/365.2425</f>
        <v>27.001238902920662</v>
      </c>
      <c r="O44" s="9">
        <f>SUM(IF(Career_History!I12=TRUE,IF(A44&lt;Career_History!D12,0,MIN(A44,Career_History!E12)-Career_History!D12+1),0),IF(Career_History!I13=TRUE,IF(A44&lt;Career_History!D13,0,MIN(A44,Career_History!E13)-Career_History!D13+1),0))/365.2425</f>
        <v>0</v>
      </c>
      <c r="P44" s="9">
        <f>SUM(IF(Career_History!H12=TRUE,IF(A44&lt;Career_History!D12,0,MIN(A44,Career_History!E12)-Career_History!D12+1),0),IF(Career_History!H13=TRUE,IF(A44&lt;Career_History!D13,0,MIN(A44,Career_History!E13)-Career_History!D13+1),0))/365.2425</f>
        <v>3.496307247924324</v>
      </c>
      <c r="Q44" s="9">
        <f>SUM(IF(Career_History!G14=TRUE,IF(A44&lt;Career_History!D14,0,MIN(A44,Career_History!E14)-Career_History!D14+1),0),IF(Career_History!G15=TRUE,IF(A44&lt;Career_History!D15,0,MIN(A44,Career_History!E15)-Career_History!D15+1),0))/365.2425</f>
        <v>32.753581524603518</v>
      </c>
      <c r="R44" s="9">
        <f>SUM(IF(Career_History!I14=TRUE,IF(A44&lt;Career_History!D14,0,MIN(A44,Career_History!E14)-Career_History!D14+1),0),IF(Career_History!I15=TRUE,IF(A44&lt;Career_History!D15,0,MIN(A44,Career_History!E15)-Career_History!D15+1),0))/365.2425</f>
        <v>0</v>
      </c>
      <c r="S44" s="9">
        <f>SUM(IF(Career_History!H14=TRUE,IF(A44&lt;Career_History!D14,0,MIN(A44,Career_History!E14)-Career_History!D14+1),0),IF(Career_History!H15=TRUE,IF(A44&lt;Career_History!D15,0,MIN(A44,Career_History!E15)-Career_History!D15+1),0))/365.2425</f>
        <v>32.753581524603518</v>
      </c>
      <c r="T44" s="9">
        <f>SUM(IF(Career_History!G16=TRUE,IF(A44&lt;Career_History!D16,0,MIN(A44,Career_History!E16)-Career_History!D16+1),0),IF(Career_History!G17=TRUE,IF(A44&lt;Career_History!D17,0,MIN(A44,Career_History!E17)-Career_History!D17+1),0))/365.2425</f>
        <v>23.001156765710451</v>
      </c>
      <c r="U44" s="9">
        <f>SUM(IF(Career_History!I16=TRUE,IF(A44&lt;Career_History!D16,0,MIN(A44,Career_History!E16)-Career_History!D16+1),0),IF(Career_History!I17=TRUE,IF(A44&lt;Career_History!D17,0,MIN(A44,Career_History!E17)-Career_History!D17+1),0))/365.2425</f>
        <v>21.506259539894728</v>
      </c>
      <c r="V44" s="9">
        <f>SUM(IF(Career_History!H16=TRUE,IF(A44&lt;Career_History!D16,0,MIN(A44,Career_History!E16)-Career_History!D16+1),0),IF(Career_History!H17=TRUE,IF(A44&lt;Career_History!D17,0,MIN(A44,Career_History!E17)-Career_History!D17+1),0))/365.2425</f>
        <v>23.001156765710451</v>
      </c>
      <c r="W44" s="9">
        <f>SUM(IF(Career_History!G18=TRUE,IF(A44&lt;Career_History!D18,0,MIN(A44,Career_History!E18)-Career_History!D18+1),0),IF(Career_History!G19=TRUE,IF(A44&lt;Career_History!D19,0,MIN(A44,Career_History!E19)-Career_History!D19+1),0),IF(Career_History!G20=TRUE,IF(A44&lt;Career_History!D20,0,MIN(A44,Career_History!E20)-Career_History!D20+1),0))/365.2425</f>
        <v>29.999247075573077</v>
      </c>
      <c r="X44" s="9">
        <f>SUM(IF(Career_History!I18=TRUE,IF(A44&lt;Career_History!D18,0,MIN(A44,Career_History!E18)-Career_History!D18+1),0),IF(Career_History!I19=TRUE,IF(A44&lt;Career_History!D19,0,MIN(A44,Career_History!E19)-Career_History!D19+1),0),IF(Career_History!I20=TRUE,IF(A44&lt;Career_History!D20,0,MIN(A44,Career_History!E20)-Career_History!D20+1),0))/365.2425</f>
        <v>0</v>
      </c>
      <c r="Y44" s="9">
        <f>SUM(IF(Career_History!H18=TRUE,IF(A44&lt;Career_History!D18,0,MIN(A44,Career_History!E18)-Career_History!D18+1),0),IF(Career_History!H19=TRUE,IF(A44&lt;Career_History!D19,0,MIN(A44,Career_History!E19)-Career_History!D19+1),0),IF(Career_History!H20=TRUE,IF(A44&lt;Career_History!D20,0,MIN(A44,Career_History!E20)-Career_History!D20+1),0))/365.2425</f>
        <v>0.42163767907623018</v>
      </c>
      <c r="Z44" s="9">
        <f>SUM(IF(Career_History!G21=TRUE,IF(A44&lt;Career_History!D21,0,MIN(A44,Career_History!E21)-Career_History!D21+1),0),IF(Career_History!G22=TRUE,IF(A44&lt;Career_History!D22,0,MIN(A44,Career_History!E22)-Career_History!D22+1),0),IF(Career_History!G23=TRUE,IF(A44&lt;Career_History!D23,0,MIN(A44,Career_History!E23)-Career_History!D23+1),0),IF(Career_History!G24=TRUE,IF(A44&lt;Career_History!D24,0,MIN(A44,Career_History!E24)-Career_History!D24+1),0))/365.2425</f>
        <v>27.001238902920662</v>
      </c>
      <c r="AA44" s="9">
        <f>SUM(IF(Career_History!I21=TRUE,IF(A44&lt;Career_History!D21,0,MIN(A44,Career_History!E21)-Career_History!D21+1),0),IF(Career_History!I22=TRUE,IF(A44&lt;Career_History!D22,0,MIN(A44,Career_History!E22)-Career_History!D22+1),0),IF(Career_History!I23=TRUE,IF(A44&lt;Career_History!D23,0,MIN(A44,Career_History!E23)-Career_History!D23+1),0),IF(Career_History!I24=TRUE,IF(A44&lt;Career_History!D24,0,MIN(A44,Career_History!E24)-Career_History!D24+1),0))/365.2425</f>
        <v>26.505677734655741</v>
      </c>
      <c r="AB44" s="9">
        <f>SUM(IF(Career_History!H21=TRUE,IF(A44&lt;Career_History!D21,0,MIN(A44,Career_History!E21)-Career_History!D21+1),0),IF(Career_History!H22=TRUE,IF(A44&lt;Career_History!D22,0,MIN(A44,Career_History!E22)-Career_History!D22+1),0),IF(Career_History!H23=TRUE,IF(A44&lt;Career_History!D23,0,MIN(A44,Career_History!E23)-Career_History!D23+1),0),IF(Career_History!H24=TRUE,IF(A44&lt;Career_History!D24,0,MIN(A44,Career_History!E24)-Career_History!D24+1),0))/365.2425</f>
        <v>17.916863453732795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</row>
    <row r="45" spans="1:67">
      <c r="A45" s="8">
        <v>36007</v>
      </c>
      <c r="B45" s="9">
        <f t="shared" si="0"/>
        <v>28.036167751562317</v>
      </c>
      <c r="C45" s="9">
        <f t="shared" si="1"/>
        <v>9.6023874549100938</v>
      </c>
      <c r="D45" s="9">
        <f t="shared" si="2"/>
        <v>15.602784451426107</v>
      </c>
      <c r="E45" s="9"/>
      <c r="F45" s="9"/>
      <c r="G45" s="9"/>
      <c r="H45" s="9"/>
      <c r="I45" s="9"/>
      <c r="J45" s="9"/>
      <c r="K45" s="9"/>
      <c r="L45" s="9"/>
      <c r="M45" s="9"/>
      <c r="N45" s="9">
        <f>SUM(IF(Career_History!G12=TRUE,IF(A45&lt;Career_History!D12,0,MIN(A45,Career_History!E12)-Career_History!D12+1),0),IF(Career_History!G13=TRUE,IF(A45&lt;Career_History!D13,0,MIN(A45,Career_History!E13)-Career_History!D13+1),0))/365.2425</f>
        <v>27.086114020137305</v>
      </c>
      <c r="O45" s="9">
        <f>SUM(IF(Career_History!I12=TRUE,IF(A45&lt;Career_History!D12,0,MIN(A45,Career_History!E12)-Career_History!D12+1),0),IF(Career_History!I13=TRUE,IF(A45&lt;Career_History!D13,0,MIN(A45,Career_History!E13)-Career_History!D13+1),0))/365.2425</f>
        <v>0</v>
      </c>
      <c r="P45" s="9">
        <f>SUM(IF(Career_History!H12=TRUE,IF(A45&lt;Career_History!D12,0,MIN(A45,Career_History!E12)-Career_History!D12+1),0),IF(Career_History!H13=TRUE,IF(A45&lt;Career_History!D13,0,MIN(A45,Career_History!E13)-Career_History!D13+1),0))/365.2425</f>
        <v>3.5811823651409678</v>
      </c>
      <c r="Q45" s="9">
        <f>SUM(IF(Career_History!G14=TRUE,IF(A45&lt;Career_History!D14,0,MIN(A45,Career_History!E14)-Career_History!D14+1),0),IF(Career_History!G15=TRUE,IF(A45&lt;Career_History!D15,0,MIN(A45,Career_History!E15)-Career_History!D15+1),0))/365.2425</f>
        <v>32.838456641820159</v>
      </c>
      <c r="R45" s="9">
        <f>SUM(IF(Career_History!I14=TRUE,IF(A45&lt;Career_History!D14,0,MIN(A45,Career_History!E14)-Career_History!D14+1),0),IF(Career_History!I15=TRUE,IF(A45&lt;Career_History!D15,0,MIN(A45,Career_History!E15)-Career_History!D15+1),0))/365.2425</f>
        <v>0</v>
      </c>
      <c r="S45" s="9">
        <f>SUM(IF(Career_History!H14=TRUE,IF(A45&lt;Career_History!D14,0,MIN(A45,Career_History!E14)-Career_History!D14+1),0),IF(Career_History!H15=TRUE,IF(A45&lt;Career_History!D15,0,MIN(A45,Career_History!E15)-Career_History!D15+1),0))/365.2425</f>
        <v>32.838456641820159</v>
      </c>
      <c r="T45" s="9">
        <f>SUM(IF(Career_History!G16=TRUE,IF(A45&lt;Career_History!D16,0,MIN(A45,Career_History!E16)-Career_History!D16+1),0),IF(Career_History!G17=TRUE,IF(A45&lt;Career_History!D17,0,MIN(A45,Career_History!E17)-Career_History!D17+1),0))/365.2425</f>
        <v>23.086031882927095</v>
      </c>
      <c r="U45" s="9">
        <f>SUM(IF(Career_History!I16=TRUE,IF(A45&lt;Career_History!D16,0,MIN(A45,Career_History!E16)-Career_History!D16+1),0),IF(Career_History!I17=TRUE,IF(A45&lt;Career_History!D17,0,MIN(A45,Career_History!E17)-Career_History!D17+1),0))/365.2425</f>
        <v>21.506259539894728</v>
      </c>
      <c r="V45" s="9">
        <f>SUM(IF(Career_History!H16=TRUE,IF(A45&lt;Career_History!D16,0,MIN(A45,Career_History!E16)-Career_History!D16+1),0),IF(Career_History!H17=TRUE,IF(A45&lt;Career_History!D17,0,MIN(A45,Career_History!E17)-Career_History!D17+1),0))/365.2425</f>
        <v>23.086031882927095</v>
      </c>
      <c r="W45" s="9">
        <f>SUM(IF(Career_History!G18=TRUE,IF(A45&lt;Career_History!D18,0,MIN(A45,Career_History!E18)-Career_History!D18+1),0),IF(Career_History!G19=TRUE,IF(A45&lt;Career_History!D19,0,MIN(A45,Career_History!E19)-Career_History!D19+1),0),IF(Career_History!G20=TRUE,IF(A45&lt;Career_History!D20,0,MIN(A45,Career_History!E20)-Career_History!D20+1),0))/365.2425</f>
        <v>30.084122192789721</v>
      </c>
      <c r="X45" s="9">
        <f>SUM(IF(Career_History!I18=TRUE,IF(A45&lt;Career_History!D18,0,MIN(A45,Career_History!E18)-Career_History!D18+1),0),IF(Career_History!I19=TRUE,IF(A45&lt;Career_History!D19,0,MIN(A45,Career_History!E19)-Career_History!D19+1),0),IF(Career_History!I20=TRUE,IF(A45&lt;Career_History!D20,0,MIN(A45,Career_History!E20)-Career_History!D20+1),0))/365.2425</f>
        <v>0</v>
      </c>
      <c r="Y45" s="9">
        <f>SUM(IF(Career_History!H18=TRUE,IF(A45&lt;Career_History!D18,0,MIN(A45,Career_History!E18)-Career_History!D18+1),0),IF(Career_History!H19=TRUE,IF(A45&lt;Career_History!D19,0,MIN(A45,Career_History!E19)-Career_History!D19+1),0),IF(Career_History!H20=TRUE,IF(A45&lt;Career_History!D20,0,MIN(A45,Career_History!E20)-Career_History!D20+1),0))/365.2425</f>
        <v>0.50651279629287393</v>
      </c>
      <c r="Z45" s="9">
        <f>SUM(IF(Career_History!G21=TRUE,IF(A45&lt;Career_History!D21,0,MIN(A45,Career_History!E21)-Career_History!D21+1),0),IF(Career_History!G22=TRUE,IF(A45&lt;Career_History!D22,0,MIN(A45,Career_History!E22)-Career_History!D22+1),0),IF(Career_History!G23=TRUE,IF(A45&lt;Career_History!D23,0,MIN(A45,Career_History!E23)-Career_History!D23+1),0),IF(Career_History!G24=TRUE,IF(A45&lt;Career_History!D24,0,MIN(A45,Career_History!E24)-Career_History!D24+1),0))/365.2425</f>
        <v>27.086114020137305</v>
      </c>
      <c r="AA45" s="9">
        <f>SUM(IF(Career_History!I21=TRUE,IF(A45&lt;Career_History!D21,0,MIN(A45,Career_History!E21)-Career_History!D21+1),0),IF(Career_History!I22=TRUE,IF(A45&lt;Career_History!D22,0,MIN(A45,Career_History!E22)-Career_History!D22+1),0),IF(Career_History!I23=TRUE,IF(A45&lt;Career_History!D23,0,MIN(A45,Career_History!E23)-Career_History!D23+1),0),IF(Career_History!I24=TRUE,IF(A45&lt;Career_History!D24,0,MIN(A45,Career_History!E24)-Career_History!D24+1),0))/365.2425</f>
        <v>26.505677734655741</v>
      </c>
      <c r="AB45" s="9">
        <f>SUM(IF(Career_History!H21=TRUE,IF(A45&lt;Career_History!D21,0,MIN(A45,Career_History!E21)-Career_History!D21+1),0),IF(Career_History!H22=TRUE,IF(A45&lt;Career_History!D22,0,MIN(A45,Career_History!E22)-Career_History!D22+1),0),IF(Career_History!H23=TRUE,IF(A45&lt;Career_History!D23,0,MIN(A45,Career_History!E23)-Career_History!D23+1),0),IF(Career_History!H24=TRUE,IF(A45&lt;Career_History!D24,0,MIN(A45,Career_History!E24)-Career_History!D24+1),0))/365.2425</f>
        <v>18.001738570949438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</row>
    <row r="46" spans="1:67">
      <c r="A46" s="8">
        <v>36038</v>
      </c>
      <c r="B46" s="9">
        <f t="shared" si="0"/>
        <v>28.121042868778961</v>
      </c>
      <c r="C46" s="9">
        <f t="shared" si="1"/>
        <v>9.6023874549100938</v>
      </c>
      <c r="D46" s="9">
        <f t="shared" si="2"/>
        <v>15.687659568642749</v>
      </c>
      <c r="E46" s="9"/>
      <c r="F46" s="9"/>
      <c r="G46" s="9"/>
      <c r="H46" s="9"/>
      <c r="I46" s="9"/>
      <c r="J46" s="9"/>
      <c r="K46" s="9"/>
      <c r="L46" s="9"/>
      <c r="M46" s="9"/>
      <c r="N46" s="9">
        <f>SUM(IF(Career_History!G12=TRUE,IF(A46&lt;Career_History!D12,0,MIN(A46,Career_History!E12)-Career_History!D12+1),0),IF(Career_History!G13=TRUE,IF(A46&lt;Career_History!D13,0,MIN(A46,Career_History!E13)-Career_History!D13+1),0))/365.2425</f>
        <v>27.170989137353949</v>
      </c>
      <c r="O46" s="9">
        <f>SUM(IF(Career_History!I12=TRUE,IF(A46&lt;Career_History!D12,0,MIN(A46,Career_History!E12)-Career_History!D12+1),0),IF(Career_History!I13=TRUE,IF(A46&lt;Career_History!D13,0,MIN(A46,Career_History!E13)-Career_History!D13+1),0))/365.2425</f>
        <v>0</v>
      </c>
      <c r="P46" s="9">
        <f>SUM(IF(Career_History!H12=TRUE,IF(A46&lt;Career_History!D12,0,MIN(A46,Career_History!E12)-Career_History!D12+1),0),IF(Career_History!H13=TRUE,IF(A46&lt;Career_History!D13,0,MIN(A46,Career_History!E13)-Career_History!D13+1),0))/365.2425</f>
        <v>3.6660574823576115</v>
      </c>
      <c r="Q46" s="9">
        <f>SUM(IF(Career_History!G14=TRUE,IF(A46&lt;Career_History!D14,0,MIN(A46,Career_History!E14)-Career_History!D14+1),0),IF(Career_History!G15=TRUE,IF(A46&lt;Career_History!D15,0,MIN(A46,Career_History!E15)-Career_History!D15+1),0))/365.2425</f>
        <v>32.923331759036806</v>
      </c>
      <c r="R46" s="9">
        <f>SUM(IF(Career_History!I14=TRUE,IF(A46&lt;Career_History!D14,0,MIN(A46,Career_History!E14)-Career_History!D14+1),0),IF(Career_History!I15=TRUE,IF(A46&lt;Career_History!D15,0,MIN(A46,Career_History!E15)-Career_History!D15+1),0))/365.2425</f>
        <v>0</v>
      </c>
      <c r="S46" s="9">
        <f>SUM(IF(Career_History!H14=TRUE,IF(A46&lt;Career_History!D14,0,MIN(A46,Career_History!E14)-Career_History!D14+1),0),IF(Career_History!H15=TRUE,IF(A46&lt;Career_History!D15,0,MIN(A46,Career_History!E15)-Career_History!D15+1),0))/365.2425</f>
        <v>32.923331759036806</v>
      </c>
      <c r="T46" s="9">
        <f>SUM(IF(Career_History!G16=TRUE,IF(A46&lt;Career_History!D16,0,MIN(A46,Career_History!E16)-Career_History!D16+1),0),IF(Career_History!G17=TRUE,IF(A46&lt;Career_History!D17,0,MIN(A46,Career_History!E17)-Career_History!D17+1),0))/365.2425</f>
        <v>23.170907000143739</v>
      </c>
      <c r="U46" s="9">
        <f>SUM(IF(Career_History!I16=TRUE,IF(A46&lt;Career_History!D16,0,MIN(A46,Career_History!E16)-Career_History!D16+1),0),IF(Career_History!I17=TRUE,IF(A46&lt;Career_History!D17,0,MIN(A46,Career_History!E17)-Career_History!D17+1),0))/365.2425</f>
        <v>21.506259539894728</v>
      </c>
      <c r="V46" s="9">
        <f>SUM(IF(Career_History!H16=TRUE,IF(A46&lt;Career_History!D16,0,MIN(A46,Career_History!E16)-Career_History!D16+1),0),IF(Career_History!H17=TRUE,IF(A46&lt;Career_History!D17,0,MIN(A46,Career_History!E17)-Career_History!D17+1),0))/365.2425</f>
        <v>23.170907000143739</v>
      </c>
      <c r="W46" s="9">
        <f>SUM(IF(Career_History!G18=TRUE,IF(A46&lt;Career_History!D18,0,MIN(A46,Career_History!E18)-Career_History!D18+1),0),IF(Career_History!G19=TRUE,IF(A46&lt;Career_History!D19,0,MIN(A46,Career_History!E19)-Career_History!D19+1),0),IF(Career_History!G20=TRUE,IF(A46&lt;Career_History!D20,0,MIN(A46,Career_History!E20)-Career_History!D20+1),0))/365.2425</f>
        <v>30.168997310006365</v>
      </c>
      <c r="X46" s="9">
        <f>SUM(IF(Career_History!I18=TRUE,IF(A46&lt;Career_History!D18,0,MIN(A46,Career_History!E18)-Career_History!D18+1),0),IF(Career_History!I19=TRUE,IF(A46&lt;Career_History!D19,0,MIN(A46,Career_History!E19)-Career_History!D19+1),0),IF(Career_History!I20=TRUE,IF(A46&lt;Career_History!D20,0,MIN(A46,Career_History!E20)-Career_History!D20+1),0))/365.2425</f>
        <v>0</v>
      </c>
      <c r="Y46" s="9">
        <f>SUM(IF(Career_History!H18=TRUE,IF(A46&lt;Career_History!D18,0,MIN(A46,Career_History!E18)-Career_History!D18+1),0),IF(Career_History!H19=TRUE,IF(A46&lt;Career_History!D19,0,MIN(A46,Career_History!E19)-Career_History!D19+1),0),IF(Career_History!H20=TRUE,IF(A46&lt;Career_History!D20,0,MIN(A46,Career_History!E20)-Career_History!D20+1),0))/365.2425</f>
        <v>0.59138791350951769</v>
      </c>
      <c r="Z46" s="9">
        <f>SUM(IF(Career_History!G21=TRUE,IF(A46&lt;Career_History!D21,0,MIN(A46,Career_History!E21)-Career_History!D21+1),0),IF(Career_History!G22=TRUE,IF(A46&lt;Career_History!D22,0,MIN(A46,Career_History!E22)-Career_History!D22+1),0),IF(Career_History!G23=TRUE,IF(A46&lt;Career_History!D23,0,MIN(A46,Career_History!E23)-Career_History!D23+1),0),IF(Career_History!G24=TRUE,IF(A46&lt;Career_History!D24,0,MIN(A46,Career_History!E24)-Career_History!D24+1),0))/365.2425</f>
        <v>27.170989137353949</v>
      </c>
      <c r="AA46" s="9">
        <f>SUM(IF(Career_History!I21=TRUE,IF(A46&lt;Career_History!D21,0,MIN(A46,Career_History!E21)-Career_History!D21+1),0),IF(Career_History!I22=TRUE,IF(A46&lt;Career_History!D22,0,MIN(A46,Career_History!E22)-Career_History!D22+1),0),IF(Career_History!I23=TRUE,IF(A46&lt;Career_History!D23,0,MIN(A46,Career_History!E23)-Career_History!D23+1),0),IF(Career_History!I24=TRUE,IF(A46&lt;Career_History!D24,0,MIN(A46,Career_History!E24)-Career_History!D24+1),0))/365.2425</f>
        <v>26.505677734655741</v>
      </c>
      <c r="AB46" s="9">
        <f>SUM(IF(Career_History!H21=TRUE,IF(A46&lt;Career_History!D21,0,MIN(A46,Career_History!E21)-Career_History!D21+1),0),IF(Career_History!H22=TRUE,IF(A46&lt;Career_History!D22,0,MIN(A46,Career_History!E22)-Career_History!D22+1),0),IF(Career_History!H23=TRUE,IF(A46&lt;Career_History!D23,0,MIN(A46,Career_History!E23)-Career_History!D23+1),0),IF(Career_History!H24=TRUE,IF(A46&lt;Career_History!D24,0,MIN(A46,Career_History!E24)-Career_History!D24+1),0))/365.2425</f>
        <v>18.086613688166082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</row>
    <row r="47" spans="1:67">
      <c r="A47" s="8">
        <v>36068</v>
      </c>
      <c r="B47" s="9">
        <f t="shared" si="0"/>
        <v>28.203180078988616</v>
      </c>
      <c r="C47" s="9">
        <f t="shared" si="1"/>
        <v>9.6023874549100938</v>
      </c>
      <c r="D47" s="9">
        <f t="shared" si="2"/>
        <v>15.769796778852406</v>
      </c>
      <c r="E47" s="9"/>
      <c r="F47" s="9"/>
      <c r="G47" s="9"/>
      <c r="H47" s="9"/>
      <c r="I47" s="9"/>
      <c r="J47" s="9"/>
      <c r="K47" s="9"/>
      <c r="L47" s="9"/>
      <c r="M47" s="9"/>
      <c r="N47" s="9">
        <f>SUM(IF(Career_History!G12=TRUE,IF(A47&lt;Career_History!D12,0,MIN(A47,Career_History!E12)-Career_History!D12+1),0),IF(Career_History!G13=TRUE,IF(A47&lt;Career_History!D13,0,MIN(A47,Career_History!E13)-Career_History!D13+1),0))/365.2425</f>
        <v>27.253126347563605</v>
      </c>
      <c r="O47" s="9">
        <f>SUM(IF(Career_History!I12=TRUE,IF(A47&lt;Career_History!D12,0,MIN(A47,Career_History!E12)-Career_History!D12+1),0),IF(Career_History!I13=TRUE,IF(A47&lt;Career_History!D13,0,MIN(A47,Career_History!E13)-Career_History!D13+1),0))/365.2425</f>
        <v>0</v>
      </c>
      <c r="P47" s="9">
        <f>SUM(IF(Career_History!H12=TRUE,IF(A47&lt;Career_History!D12,0,MIN(A47,Career_History!E12)-Career_History!D12+1),0),IF(Career_History!H13=TRUE,IF(A47&lt;Career_History!D13,0,MIN(A47,Career_History!E13)-Career_History!D13+1),0))/365.2425</f>
        <v>3.7481946925672669</v>
      </c>
      <c r="Q47" s="9">
        <f>SUM(IF(Career_History!G14=TRUE,IF(A47&lt;Career_History!D14,0,MIN(A47,Career_History!E14)-Career_History!D14+1),0),IF(Career_History!G15=TRUE,IF(A47&lt;Career_History!D15,0,MIN(A47,Career_History!E15)-Career_History!D15+1),0))/365.2425</f>
        <v>33.005468969246458</v>
      </c>
      <c r="R47" s="9">
        <f>SUM(IF(Career_History!I14=TRUE,IF(A47&lt;Career_History!D14,0,MIN(A47,Career_History!E14)-Career_History!D14+1),0),IF(Career_History!I15=TRUE,IF(A47&lt;Career_History!D15,0,MIN(A47,Career_History!E15)-Career_History!D15+1),0))/365.2425</f>
        <v>0</v>
      </c>
      <c r="S47" s="9">
        <f>SUM(IF(Career_History!H14=TRUE,IF(A47&lt;Career_History!D14,0,MIN(A47,Career_History!E14)-Career_History!D14+1),0),IF(Career_History!H15=TRUE,IF(A47&lt;Career_History!D15,0,MIN(A47,Career_History!E15)-Career_History!D15+1),0))/365.2425</f>
        <v>33.005468969246458</v>
      </c>
      <c r="T47" s="9">
        <f>SUM(IF(Career_History!G16=TRUE,IF(A47&lt;Career_History!D16,0,MIN(A47,Career_History!E16)-Career_History!D16+1),0),IF(Career_History!G17=TRUE,IF(A47&lt;Career_History!D17,0,MIN(A47,Career_History!E17)-Career_History!D17+1),0))/365.2425</f>
        <v>23.253044210353394</v>
      </c>
      <c r="U47" s="9">
        <f>SUM(IF(Career_History!I16=TRUE,IF(A47&lt;Career_History!D16,0,MIN(A47,Career_History!E16)-Career_History!D16+1),0),IF(Career_History!I17=TRUE,IF(A47&lt;Career_History!D17,0,MIN(A47,Career_History!E17)-Career_History!D17+1),0))/365.2425</f>
        <v>21.506259539894728</v>
      </c>
      <c r="V47" s="9">
        <f>SUM(IF(Career_History!H16=TRUE,IF(A47&lt;Career_History!D16,0,MIN(A47,Career_History!E16)-Career_History!D16+1),0),IF(Career_History!H17=TRUE,IF(A47&lt;Career_History!D17,0,MIN(A47,Career_History!E17)-Career_History!D17+1),0))/365.2425</f>
        <v>23.253044210353394</v>
      </c>
      <c r="W47" s="9">
        <f>SUM(IF(Career_History!G18=TRUE,IF(A47&lt;Career_History!D18,0,MIN(A47,Career_History!E18)-Career_History!D18+1),0),IF(Career_History!G19=TRUE,IF(A47&lt;Career_History!D19,0,MIN(A47,Career_History!E19)-Career_History!D19+1),0),IF(Career_History!G20=TRUE,IF(A47&lt;Career_History!D20,0,MIN(A47,Career_History!E20)-Career_History!D20+1),0))/365.2425</f>
        <v>30.25113452021602</v>
      </c>
      <c r="X47" s="9">
        <f>SUM(IF(Career_History!I18=TRUE,IF(A47&lt;Career_History!D18,0,MIN(A47,Career_History!E18)-Career_History!D18+1),0),IF(Career_History!I19=TRUE,IF(A47&lt;Career_History!D19,0,MIN(A47,Career_History!E19)-Career_History!D19+1),0),IF(Career_History!I20=TRUE,IF(A47&lt;Career_History!D20,0,MIN(A47,Career_History!E20)-Career_History!D20+1),0))/365.2425</f>
        <v>0</v>
      </c>
      <c r="Y47" s="9">
        <f>SUM(IF(Career_History!H18=TRUE,IF(A47&lt;Career_History!D18,0,MIN(A47,Career_History!E18)-Career_History!D18+1),0),IF(Career_History!H19=TRUE,IF(A47&lt;Career_History!D19,0,MIN(A47,Career_History!E19)-Career_History!D19+1),0),IF(Career_History!H20=TRUE,IF(A47&lt;Career_History!D20,0,MIN(A47,Career_History!E20)-Career_History!D20+1),0))/365.2425</f>
        <v>0.67352512371917284</v>
      </c>
      <c r="Z47" s="9">
        <f>SUM(IF(Career_History!G21=TRUE,IF(A47&lt;Career_History!D21,0,MIN(A47,Career_History!E21)-Career_History!D21+1),0),IF(Career_History!G22=TRUE,IF(A47&lt;Career_History!D22,0,MIN(A47,Career_History!E22)-Career_History!D22+1),0),IF(Career_History!G23=TRUE,IF(A47&lt;Career_History!D23,0,MIN(A47,Career_History!E23)-Career_History!D23+1),0),IF(Career_History!G24=TRUE,IF(A47&lt;Career_History!D24,0,MIN(A47,Career_History!E24)-Career_History!D24+1),0))/365.2425</f>
        <v>27.253126347563605</v>
      </c>
      <c r="AA47" s="9">
        <f>SUM(IF(Career_History!I21=TRUE,IF(A47&lt;Career_History!D21,0,MIN(A47,Career_History!E21)-Career_History!D21+1),0),IF(Career_History!I22=TRUE,IF(A47&lt;Career_History!D22,0,MIN(A47,Career_History!E22)-Career_History!D22+1),0),IF(Career_History!I23=TRUE,IF(A47&lt;Career_History!D23,0,MIN(A47,Career_History!E23)-Career_History!D23+1),0),IF(Career_History!I24=TRUE,IF(A47&lt;Career_History!D24,0,MIN(A47,Career_History!E24)-Career_History!D24+1),0))/365.2425</f>
        <v>26.505677734655741</v>
      </c>
      <c r="AB47" s="9">
        <f>SUM(IF(Career_History!H21=TRUE,IF(A47&lt;Career_History!D21,0,MIN(A47,Career_History!E21)-Career_History!D21+1),0),IF(Career_History!H22=TRUE,IF(A47&lt;Career_History!D22,0,MIN(A47,Career_History!E22)-Career_History!D22+1),0),IF(Career_History!H23=TRUE,IF(A47&lt;Career_History!D23,0,MIN(A47,Career_History!E23)-Career_History!D23+1),0),IF(Career_History!H24=TRUE,IF(A47&lt;Career_History!D24,0,MIN(A47,Career_History!E24)-Career_History!D24+1),0))/365.2425</f>
        <v>18.168750898375738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</row>
    <row r="48" spans="1:67">
      <c r="A48" s="8">
        <v>36099</v>
      </c>
      <c r="B48" s="9">
        <f t="shared" si="0"/>
        <v>28.28805519620526</v>
      </c>
      <c r="C48" s="9">
        <f t="shared" si="1"/>
        <v>9.6023874549100938</v>
      </c>
      <c r="D48" s="9">
        <f t="shared" si="2"/>
        <v>15.85467189606905</v>
      </c>
      <c r="E48" s="9"/>
      <c r="F48" s="9"/>
      <c r="G48" s="9"/>
      <c r="H48" s="9"/>
      <c r="I48" s="9"/>
      <c r="J48" s="9"/>
      <c r="K48" s="9"/>
      <c r="L48" s="9"/>
      <c r="M48" s="9"/>
      <c r="N48" s="9">
        <f>SUM(IF(Career_History!G12=TRUE,IF(A48&lt;Career_History!D12,0,MIN(A48,Career_History!E12)-Career_History!D12+1),0),IF(Career_History!G13=TRUE,IF(A48&lt;Career_History!D13,0,MIN(A48,Career_History!E13)-Career_History!D13+1),0))/365.2425</f>
        <v>27.338001464780248</v>
      </c>
      <c r="O48" s="9">
        <f>SUM(IF(Career_History!I12=TRUE,IF(A48&lt;Career_History!D12,0,MIN(A48,Career_History!E12)-Career_History!D12+1),0),IF(Career_History!I13=TRUE,IF(A48&lt;Career_History!D13,0,MIN(A48,Career_History!E13)-Career_History!D13+1),0))/365.2425</f>
        <v>0</v>
      </c>
      <c r="P48" s="9">
        <f>SUM(IF(Career_History!H12=TRUE,IF(A48&lt;Career_History!D12,0,MIN(A48,Career_History!E12)-Career_History!D12+1),0),IF(Career_History!H13=TRUE,IF(A48&lt;Career_History!D13,0,MIN(A48,Career_History!E13)-Career_History!D13+1),0))/365.2425</f>
        <v>3.8330698097839107</v>
      </c>
      <c r="Q48" s="9">
        <f>SUM(IF(Career_History!G14=TRUE,IF(A48&lt;Career_History!D14,0,MIN(A48,Career_History!E14)-Career_History!D14+1),0),IF(Career_History!G15=TRUE,IF(A48&lt;Career_History!D15,0,MIN(A48,Career_History!E15)-Career_History!D15+1),0))/365.2425</f>
        <v>33.090344086463105</v>
      </c>
      <c r="R48" s="9">
        <f>SUM(IF(Career_History!I14=TRUE,IF(A48&lt;Career_History!D14,0,MIN(A48,Career_History!E14)-Career_History!D14+1),0),IF(Career_History!I15=TRUE,IF(A48&lt;Career_History!D15,0,MIN(A48,Career_History!E15)-Career_History!D15+1),0))/365.2425</f>
        <v>0</v>
      </c>
      <c r="S48" s="9">
        <f>SUM(IF(Career_History!H14=TRUE,IF(A48&lt;Career_History!D14,0,MIN(A48,Career_History!E14)-Career_History!D14+1),0),IF(Career_History!H15=TRUE,IF(A48&lt;Career_History!D15,0,MIN(A48,Career_History!E15)-Career_History!D15+1),0))/365.2425</f>
        <v>33.090344086463105</v>
      </c>
      <c r="T48" s="9">
        <f>SUM(IF(Career_History!G16=TRUE,IF(A48&lt;Career_History!D16,0,MIN(A48,Career_History!E16)-Career_History!D16+1),0),IF(Career_History!G17=TRUE,IF(A48&lt;Career_History!D17,0,MIN(A48,Career_History!E17)-Career_History!D17+1),0))/365.2425</f>
        <v>23.337919327570038</v>
      </c>
      <c r="U48" s="9">
        <f>SUM(IF(Career_History!I16=TRUE,IF(A48&lt;Career_History!D16,0,MIN(A48,Career_History!E16)-Career_History!D16+1),0),IF(Career_History!I17=TRUE,IF(A48&lt;Career_History!D17,0,MIN(A48,Career_History!E17)-Career_History!D17+1),0))/365.2425</f>
        <v>21.506259539894728</v>
      </c>
      <c r="V48" s="9">
        <f>SUM(IF(Career_History!H16=TRUE,IF(A48&lt;Career_History!D16,0,MIN(A48,Career_History!E16)-Career_History!D16+1),0),IF(Career_History!H17=TRUE,IF(A48&lt;Career_History!D17,0,MIN(A48,Career_History!E17)-Career_History!D17+1),0))/365.2425</f>
        <v>23.337919327570038</v>
      </c>
      <c r="W48" s="9">
        <f>SUM(IF(Career_History!G18=TRUE,IF(A48&lt;Career_History!D18,0,MIN(A48,Career_History!E18)-Career_History!D18+1),0),IF(Career_History!G19=TRUE,IF(A48&lt;Career_History!D19,0,MIN(A48,Career_History!E19)-Career_History!D19+1),0),IF(Career_History!G20=TRUE,IF(A48&lt;Career_History!D20,0,MIN(A48,Career_History!E20)-Career_History!D20+1),0))/365.2425</f>
        <v>30.336009637432664</v>
      </c>
      <c r="X48" s="9">
        <f>SUM(IF(Career_History!I18=TRUE,IF(A48&lt;Career_History!D18,0,MIN(A48,Career_History!E18)-Career_History!D18+1),0),IF(Career_History!I19=TRUE,IF(A48&lt;Career_History!D19,0,MIN(A48,Career_History!E19)-Career_History!D19+1),0),IF(Career_History!I20=TRUE,IF(A48&lt;Career_History!D20,0,MIN(A48,Career_History!E20)-Career_History!D20+1),0))/365.2425</f>
        <v>0</v>
      </c>
      <c r="Y48" s="9">
        <f>SUM(IF(Career_History!H18=TRUE,IF(A48&lt;Career_History!D18,0,MIN(A48,Career_History!E18)-Career_History!D18+1),0),IF(Career_History!H19=TRUE,IF(A48&lt;Career_History!D19,0,MIN(A48,Career_History!E19)-Career_History!D19+1),0),IF(Career_History!H20=TRUE,IF(A48&lt;Career_History!D20,0,MIN(A48,Career_History!E20)-Career_History!D20+1),0))/365.2425</f>
        <v>0.75840024093581659</v>
      </c>
      <c r="Z48" s="9">
        <f>SUM(IF(Career_History!G21=TRUE,IF(A48&lt;Career_History!D21,0,MIN(A48,Career_History!E21)-Career_History!D21+1),0),IF(Career_History!G22=TRUE,IF(A48&lt;Career_History!D22,0,MIN(A48,Career_History!E22)-Career_History!D22+1),0),IF(Career_History!G23=TRUE,IF(A48&lt;Career_History!D23,0,MIN(A48,Career_History!E23)-Career_History!D23+1),0),IF(Career_History!G24=TRUE,IF(A48&lt;Career_History!D24,0,MIN(A48,Career_History!E24)-Career_History!D24+1),0))/365.2425</f>
        <v>27.338001464780248</v>
      </c>
      <c r="AA48" s="9">
        <f>SUM(IF(Career_History!I21=TRUE,IF(A48&lt;Career_History!D21,0,MIN(A48,Career_History!E21)-Career_History!D21+1),0),IF(Career_History!I22=TRUE,IF(A48&lt;Career_History!D22,0,MIN(A48,Career_History!E22)-Career_History!D22+1),0),IF(Career_History!I23=TRUE,IF(A48&lt;Career_History!D23,0,MIN(A48,Career_History!E23)-Career_History!D23+1),0),IF(Career_History!I24=TRUE,IF(A48&lt;Career_History!D24,0,MIN(A48,Career_History!E24)-Career_History!D24+1),0))/365.2425</f>
        <v>26.505677734655741</v>
      </c>
      <c r="AB48" s="9">
        <f>SUM(IF(Career_History!H21=TRUE,IF(A48&lt;Career_History!D21,0,MIN(A48,Career_History!E21)-Career_History!D21+1),0),IF(Career_History!H22=TRUE,IF(A48&lt;Career_History!D22,0,MIN(A48,Career_History!E22)-Career_History!D22+1),0),IF(Career_History!H23=TRUE,IF(A48&lt;Career_History!D23,0,MIN(A48,Career_History!E23)-Career_History!D23+1),0),IF(Career_History!H24=TRUE,IF(A48&lt;Career_History!D24,0,MIN(A48,Career_History!E24)-Career_History!D24+1),0))/365.2425</f>
        <v>18.253626015592381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</row>
    <row r="49" spans="1:67">
      <c r="A49" s="8">
        <v>36129</v>
      </c>
      <c r="B49" s="9">
        <f t="shared" si="0"/>
        <v>28.370192406414912</v>
      </c>
      <c r="C49" s="9">
        <f t="shared" si="1"/>
        <v>9.6023874549100938</v>
      </c>
      <c r="D49" s="9">
        <f t="shared" si="2"/>
        <v>15.936809106278705</v>
      </c>
      <c r="E49" s="9"/>
      <c r="F49" s="9"/>
      <c r="G49" s="9"/>
      <c r="H49" s="9"/>
      <c r="I49" s="9"/>
      <c r="J49" s="9"/>
      <c r="K49" s="9"/>
      <c r="L49" s="9"/>
      <c r="M49" s="9"/>
      <c r="N49" s="9">
        <f>SUM(IF(Career_History!G12=TRUE,IF(A49&lt;Career_History!D12,0,MIN(A49,Career_History!E12)-Career_History!D12+1),0),IF(Career_History!G13=TRUE,IF(A49&lt;Career_History!D13,0,MIN(A49,Career_History!E13)-Career_History!D13+1),0))/365.2425</f>
        <v>27.420138674989904</v>
      </c>
      <c r="O49" s="9">
        <f>SUM(IF(Career_History!I12=TRUE,IF(A49&lt;Career_History!D12,0,MIN(A49,Career_History!E12)-Career_History!D12+1),0),IF(Career_History!I13=TRUE,IF(A49&lt;Career_History!D13,0,MIN(A49,Career_History!E13)-Career_History!D13+1),0))/365.2425</f>
        <v>0</v>
      </c>
      <c r="P49" s="9">
        <f>SUM(IF(Career_History!H12=TRUE,IF(A49&lt;Career_History!D12,0,MIN(A49,Career_History!E12)-Career_History!D12+1),0),IF(Career_History!H13=TRUE,IF(A49&lt;Career_History!D13,0,MIN(A49,Career_History!E13)-Career_History!D13+1),0))/365.2425</f>
        <v>3.915207019993566</v>
      </c>
      <c r="Q49" s="9">
        <f>SUM(IF(Career_History!G14=TRUE,IF(A49&lt;Career_History!D14,0,MIN(A49,Career_History!E14)-Career_History!D14+1),0),IF(Career_History!G15=TRUE,IF(A49&lt;Career_History!D15,0,MIN(A49,Career_History!E15)-Career_History!D15+1),0))/365.2425</f>
        <v>33.172481296672757</v>
      </c>
      <c r="R49" s="9">
        <f>SUM(IF(Career_History!I14=TRUE,IF(A49&lt;Career_History!D14,0,MIN(A49,Career_History!E14)-Career_History!D14+1),0),IF(Career_History!I15=TRUE,IF(A49&lt;Career_History!D15,0,MIN(A49,Career_History!E15)-Career_History!D15+1),0))/365.2425</f>
        <v>0</v>
      </c>
      <c r="S49" s="9">
        <f>SUM(IF(Career_History!H14=TRUE,IF(A49&lt;Career_History!D14,0,MIN(A49,Career_History!E14)-Career_History!D14+1),0),IF(Career_History!H15=TRUE,IF(A49&lt;Career_History!D15,0,MIN(A49,Career_History!E15)-Career_History!D15+1),0))/365.2425</f>
        <v>33.172481296672757</v>
      </c>
      <c r="T49" s="9">
        <f>SUM(IF(Career_History!G16=TRUE,IF(A49&lt;Career_History!D16,0,MIN(A49,Career_History!E16)-Career_History!D16+1),0),IF(Career_History!G17=TRUE,IF(A49&lt;Career_History!D17,0,MIN(A49,Career_History!E17)-Career_History!D17+1),0))/365.2425</f>
        <v>23.420056537779693</v>
      </c>
      <c r="U49" s="9">
        <f>SUM(IF(Career_History!I16=TRUE,IF(A49&lt;Career_History!D16,0,MIN(A49,Career_History!E16)-Career_History!D16+1),0),IF(Career_History!I17=TRUE,IF(A49&lt;Career_History!D17,0,MIN(A49,Career_History!E17)-Career_History!D17+1),0))/365.2425</f>
        <v>21.506259539894728</v>
      </c>
      <c r="V49" s="9">
        <f>SUM(IF(Career_History!H16=TRUE,IF(A49&lt;Career_History!D16,0,MIN(A49,Career_History!E16)-Career_History!D16+1),0),IF(Career_History!H17=TRUE,IF(A49&lt;Career_History!D17,0,MIN(A49,Career_History!E17)-Career_History!D17+1),0))/365.2425</f>
        <v>23.420056537779693</v>
      </c>
      <c r="W49" s="9">
        <f>SUM(IF(Career_History!G18=TRUE,IF(A49&lt;Career_History!D18,0,MIN(A49,Career_History!E18)-Career_History!D18+1),0),IF(Career_History!G19=TRUE,IF(A49&lt;Career_History!D19,0,MIN(A49,Career_History!E19)-Career_History!D19+1),0),IF(Career_History!G20=TRUE,IF(A49&lt;Career_History!D20,0,MIN(A49,Career_History!E20)-Career_History!D20+1),0))/365.2425</f>
        <v>30.418146847642319</v>
      </c>
      <c r="X49" s="9">
        <f>SUM(IF(Career_History!I18=TRUE,IF(A49&lt;Career_History!D18,0,MIN(A49,Career_History!E18)-Career_History!D18+1),0),IF(Career_History!I19=TRUE,IF(A49&lt;Career_History!D19,0,MIN(A49,Career_History!E19)-Career_History!D19+1),0),IF(Career_History!I20=TRUE,IF(A49&lt;Career_History!D20,0,MIN(A49,Career_History!E20)-Career_History!D20+1),0))/365.2425</f>
        <v>0</v>
      </c>
      <c r="Y49" s="9">
        <f>SUM(IF(Career_History!H18=TRUE,IF(A49&lt;Career_History!D18,0,MIN(A49,Career_History!E18)-Career_History!D18+1),0),IF(Career_History!H19=TRUE,IF(A49&lt;Career_History!D19,0,MIN(A49,Career_History!E19)-Career_History!D19+1),0),IF(Career_History!H20=TRUE,IF(A49&lt;Career_History!D20,0,MIN(A49,Career_History!E20)-Career_History!D20+1),0))/365.2425</f>
        <v>0.84053745114547185</v>
      </c>
      <c r="Z49" s="9">
        <f>SUM(IF(Career_History!G21=TRUE,IF(A49&lt;Career_History!D21,0,MIN(A49,Career_History!E21)-Career_History!D21+1),0),IF(Career_History!G22=TRUE,IF(A49&lt;Career_History!D22,0,MIN(A49,Career_History!E22)-Career_History!D22+1),0),IF(Career_History!G23=TRUE,IF(A49&lt;Career_History!D23,0,MIN(A49,Career_History!E23)-Career_History!D23+1),0),IF(Career_History!G24=TRUE,IF(A49&lt;Career_History!D24,0,MIN(A49,Career_History!E24)-Career_History!D24+1),0))/365.2425</f>
        <v>27.420138674989904</v>
      </c>
      <c r="AA49" s="9">
        <f>SUM(IF(Career_History!I21=TRUE,IF(A49&lt;Career_History!D21,0,MIN(A49,Career_History!E21)-Career_History!D21+1),0),IF(Career_History!I22=TRUE,IF(A49&lt;Career_History!D22,0,MIN(A49,Career_History!E22)-Career_History!D22+1),0),IF(Career_History!I23=TRUE,IF(A49&lt;Career_History!D23,0,MIN(A49,Career_History!E23)-Career_History!D23+1),0),IF(Career_History!I24=TRUE,IF(A49&lt;Career_History!D24,0,MIN(A49,Career_History!E24)-Career_History!D24+1),0))/365.2425</f>
        <v>26.505677734655741</v>
      </c>
      <c r="AB49" s="9">
        <f>SUM(IF(Career_History!H21=TRUE,IF(A49&lt;Career_History!D21,0,MIN(A49,Career_History!E21)-Career_History!D21+1),0),IF(Career_History!H22=TRUE,IF(A49&lt;Career_History!D22,0,MIN(A49,Career_History!E22)-Career_History!D22+1),0),IF(Career_History!H23=TRUE,IF(A49&lt;Career_History!D23,0,MIN(A49,Career_History!E23)-Career_History!D23+1),0),IF(Career_History!H24=TRUE,IF(A49&lt;Career_History!D24,0,MIN(A49,Career_History!E24)-Career_History!D24+1),0))/365.2425</f>
        <v>18.335763225802037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</row>
    <row r="50" spans="1:67">
      <c r="A50" s="8">
        <v>36160</v>
      </c>
      <c r="B50" s="9">
        <f t="shared" si="0"/>
        <v>28.455067523631563</v>
      </c>
      <c r="C50" s="9">
        <f t="shared" si="1"/>
        <v>9.6023874549100938</v>
      </c>
      <c r="D50" s="9">
        <f t="shared" si="2"/>
        <v>16.021684223495349</v>
      </c>
      <c r="E50" s="9"/>
      <c r="F50" s="9"/>
      <c r="G50" s="9"/>
      <c r="H50" s="9"/>
      <c r="I50" s="9"/>
      <c r="J50" s="9"/>
      <c r="K50" s="9"/>
      <c r="L50" s="9"/>
      <c r="M50" s="9"/>
      <c r="N50" s="9">
        <f>SUM(IF(Career_History!G12=TRUE,IF(A50&lt;Career_History!D12,0,MIN(A50,Career_History!E12)-Career_History!D12+1),0),IF(Career_History!G13=TRUE,IF(A50&lt;Career_History!D13,0,MIN(A50,Career_History!E13)-Career_History!D13+1),0))/365.2425</f>
        <v>27.505013792206547</v>
      </c>
      <c r="O50" s="9">
        <f>SUM(IF(Career_History!I12=TRUE,IF(A50&lt;Career_History!D12,0,MIN(A50,Career_History!E12)-Career_History!D12+1),0),IF(Career_History!I13=TRUE,IF(A50&lt;Career_History!D13,0,MIN(A50,Career_History!E13)-Career_History!D13+1),0))/365.2425</f>
        <v>0</v>
      </c>
      <c r="P50" s="9">
        <f>SUM(IF(Career_History!H12=TRUE,IF(A50&lt;Career_History!D12,0,MIN(A50,Career_History!E12)-Career_History!D12+1),0),IF(Career_History!H13=TRUE,IF(A50&lt;Career_History!D13,0,MIN(A50,Career_History!E13)-Career_History!D13+1),0))/365.2425</f>
        <v>4.0000821372102093</v>
      </c>
      <c r="Q50" s="9">
        <f>SUM(IF(Career_History!G14=TRUE,IF(A50&lt;Career_History!D14,0,MIN(A50,Career_History!E14)-Career_History!D14+1),0),IF(Career_History!G15=TRUE,IF(A50&lt;Career_History!D15,0,MIN(A50,Career_History!E15)-Career_History!D15+1),0))/365.2425</f>
        <v>33.257356413889404</v>
      </c>
      <c r="R50" s="9">
        <f>SUM(IF(Career_History!I14=TRUE,IF(A50&lt;Career_History!D14,0,MIN(A50,Career_History!E14)-Career_History!D14+1),0),IF(Career_History!I15=TRUE,IF(A50&lt;Career_History!D15,0,MIN(A50,Career_History!E15)-Career_History!D15+1),0))/365.2425</f>
        <v>0</v>
      </c>
      <c r="S50" s="9">
        <f>SUM(IF(Career_History!H14=TRUE,IF(A50&lt;Career_History!D14,0,MIN(A50,Career_History!E14)-Career_History!D14+1),0),IF(Career_History!H15=TRUE,IF(A50&lt;Career_History!D15,0,MIN(A50,Career_History!E15)-Career_History!D15+1),0))/365.2425</f>
        <v>33.257356413889404</v>
      </c>
      <c r="T50" s="9">
        <f>SUM(IF(Career_History!G16=TRUE,IF(A50&lt;Career_History!D16,0,MIN(A50,Career_History!E16)-Career_History!D16+1),0),IF(Career_History!G17=TRUE,IF(A50&lt;Career_History!D17,0,MIN(A50,Career_History!E17)-Career_History!D17+1),0))/365.2425</f>
        <v>23.504931654996337</v>
      </c>
      <c r="U50" s="9">
        <f>SUM(IF(Career_History!I16=TRUE,IF(A50&lt;Career_History!D16,0,MIN(A50,Career_History!E16)-Career_History!D16+1),0),IF(Career_History!I17=TRUE,IF(A50&lt;Career_History!D17,0,MIN(A50,Career_History!E17)-Career_History!D17+1),0))/365.2425</f>
        <v>21.506259539894728</v>
      </c>
      <c r="V50" s="9">
        <f>SUM(IF(Career_History!H16=TRUE,IF(A50&lt;Career_History!D16,0,MIN(A50,Career_History!E16)-Career_History!D16+1),0),IF(Career_History!H17=TRUE,IF(A50&lt;Career_History!D17,0,MIN(A50,Career_History!E17)-Career_History!D17+1),0))/365.2425</f>
        <v>23.504931654996337</v>
      </c>
      <c r="W50" s="9">
        <f>SUM(IF(Career_History!G18=TRUE,IF(A50&lt;Career_History!D18,0,MIN(A50,Career_History!E18)-Career_History!D18+1),0),IF(Career_History!G19=TRUE,IF(A50&lt;Career_History!D19,0,MIN(A50,Career_History!E19)-Career_History!D19+1),0),IF(Career_History!G20=TRUE,IF(A50&lt;Career_History!D20,0,MIN(A50,Career_History!E20)-Career_History!D20+1),0))/365.2425</f>
        <v>30.503021964858963</v>
      </c>
      <c r="X50" s="9">
        <f>SUM(IF(Career_History!I18=TRUE,IF(A50&lt;Career_History!D18,0,MIN(A50,Career_History!E18)-Career_History!D18+1),0),IF(Career_History!I19=TRUE,IF(A50&lt;Career_History!D19,0,MIN(A50,Career_History!E19)-Career_History!D19+1),0),IF(Career_History!I20=TRUE,IF(A50&lt;Career_History!D20,0,MIN(A50,Career_History!E20)-Career_History!D20+1),0))/365.2425</f>
        <v>0</v>
      </c>
      <c r="Y50" s="9">
        <f>SUM(IF(Career_History!H18=TRUE,IF(A50&lt;Career_History!D18,0,MIN(A50,Career_History!E18)-Career_History!D18+1),0),IF(Career_History!H19=TRUE,IF(A50&lt;Career_History!D19,0,MIN(A50,Career_History!E19)-Career_History!D19+1),0),IF(Career_History!H20=TRUE,IF(A50&lt;Career_History!D20,0,MIN(A50,Career_History!E20)-Career_History!D20+1),0))/365.2425</f>
        <v>0.92541256836211561</v>
      </c>
      <c r="Z50" s="9">
        <f>SUM(IF(Career_History!G21=TRUE,IF(A50&lt;Career_History!D21,0,MIN(A50,Career_History!E21)-Career_History!D21+1),0),IF(Career_History!G22=TRUE,IF(A50&lt;Career_History!D22,0,MIN(A50,Career_History!E22)-Career_History!D22+1),0),IF(Career_History!G23=TRUE,IF(A50&lt;Career_History!D23,0,MIN(A50,Career_History!E23)-Career_History!D23+1),0),IF(Career_History!G24=TRUE,IF(A50&lt;Career_History!D24,0,MIN(A50,Career_History!E24)-Career_History!D24+1),0))/365.2425</f>
        <v>27.505013792206547</v>
      </c>
      <c r="AA50" s="9">
        <f>SUM(IF(Career_History!I21=TRUE,IF(A50&lt;Career_History!D21,0,MIN(A50,Career_History!E21)-Career_History!D21+1),0),IF(Career_History!I22=TRUE,IF(A50&lt;Career_History!D22,0,MIN(A50,Career_History!E22)-Career_History!D22+1),0),IF(Career_History!I23=TRUE,IF(A50&lt;Career_History!D23,0,MIN(A50,Career_History!E23)-Career_History!D23+1),0),IF(Career_History!I24=TRUE,IF(A50&lt;Career_History!D24,0,MIN(A50,Career_History!E24)-Career_History!D24+1),0))/365.2425</f>
        <v>26.505677734655741</v>
      </c>
      <c r="AB50" s="9">
        <f>SUM(IF(Career_History!H21=TRUE,IF(A50&lt;Career_History!D21,0,MIN(A50,Career_History!E21)-Career_History!D21+1),0),IF(Career_History!H22=TRUE,IF(A50&lt;Career_History!D22,0,MIN(A50,Career_History!E22)-Career_History!D22+1),0),IF(Career_History!H23=TRUE,IF(A50&lt;Career_History!D23,0,MIN(A50,Career_History!E23)-Career_History!D23+1),0),IF(Career_History!H24=TRUE,IF(A50&lt;Career_History!D24,0,MIN(A50,Career_History!E24)-Career_History!D24+1),0))/365.2425</f>
        <v>18.42063834301868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</row>
    <row r="51" spans="1:67">
      <c r="A51" s="8">
        <v>36191</v>
      </c>
      <c r="B51" s="9">
        <f t="shared" si="0"/>
        <v>28.539942640848203</v>
      </c>
      <c r="C51" s="9">
        <f t="shared" si="1"/>
        <v>9.6023874549100938</v>
      </c>
      <c r="D51" s="9">
        <f t="shared" si="2"/>
        <v>16.106559340711993</v>
      </c>
      <c r="E51" s="9"/>
      <c r="F51" s="9"/>
      <c r="G51" s="9"/>
      <c r="H51" s="9"/>
      <c r="I51" s="9"/>
      <c r="J51" s="9"/>
      <c r="K51" s="9"/>
      <c r="L51" s="9"/>
      <c r="M51" s="9"/>
      <c r="N51" s="9">
        <f>SUM(IF(Career_History!G12=TRUE,IF(A51&lt;Career_History!D12,0,MIN(A51,Career_History!E12)-Career_History!D12+1),0),IF(Career_History!G13=TRUE,IF(A51&lt;Career_History!D13,0,MIN(A51,Career_History!E13)-Career_History!D13+1),0))/365.2425</f>
        <v>27.589888909423191</v>
      </c>
      <c r="O51" s="9">
        <f>SUM(IF(Career_History!I12=TRUE,IF(A51&lt;Career_History!D12,0,MIN(A51,Career_History!E12)-Career_History!D12+1),0),IF(Career_History!I13=TRUE,IF(A51&lt;Career_History!D13,0,MIN(A51,Career_History!E13)-Career_History!D13+1),0))/365.2425</f>
        <v>0</v>
      </c>
      <c r="P51" s="9">
        <f>SUM(IF(Career_History!H12=TRUE,IF(A51&lt;Career_History!D12,0,MIN(A51,Career_History!E12)-Career_History!D12+1),0),IF(Career_History!H13=TRUE,IF(A51&lt;Career_History!D13,0,MIN(A51,Career_History!E13)-Career_History!D13+1),0))/365.2425</f>
        <v>4.0849572544268531</v>
      </c>
      <c r="Q51" s="9">
        <f>SUM(IF(Career_History!G14=TRUE,IF(A51&lt;Career_History!D14,0,MIN(A51,Career_History!E14)-Career_History!D14+1),0),IF(Career_History!G15=TRUE,IF(A51&lt;Career_History!D15,0,MIN(A51,Career_History!E15)-Career_History!D15+1),0))/365.2425</f>
        <v>33.342231531106044</v>
      </c>
      <c r="R51" s="9">
        <f>SUM(IF(Career_History!I14=TRUE,IF(A51&lt;Career_History!D14,0,MIN(A51,Career_History!E14)-Career_History!D14+1),0),IF(Career_History!I15=TRUE,IF(A51&lt;Career_History!D15,0,MIN(A51,Career_History!E15)-Career_History!D15+1),0))/365.2425</f>
        <v>0</v>
      </c>
      <c r="S51" s="9">
        <f>SUM(IF(Career_History!H14=TRUE,IF(A51&lt;Career_History!D14,0,MIN(A51,Career_History!E14)-Career_History!D14+1),0),IF(Career_History!H15=TRUE,IF(A51&lt;Career_History!D15,0,MIN(A51,Career_History!E15)-Career_History!D15+1),0))/365.2425</f>
        <v>33.342231531106044</v>
      </c>
      <c r="T51" s="9">
        <f>SUM(IF(Career_History!G16=TRUE,IF(A51&lt;Career_History!D16,0,MIN(A51,Career_History!E16)-Career_History!D16+1),0),IF(Career_History!G17=TRUE,IF(A51&lt;Career_History!D17,0,MIN(A51,Career_History!E17)-Career_History!D17+1),0))/365.2425</f>
        <v>23.589806772212981</v>
      </c>
      <c r="U51" s="9">
        <f>SUM(IF(Career_History!I16=TRUE,IF(A51&lt;Career_History!D16,0,MIN(A51,Career_History!E16)-Career_History!D16+1),0),IF(Career_History!I17=TRUE,IF(A51&lt;Career_History!D17,0,MIN(A51,Career_History!E17)-Career_History!D17+1),0))/365.2425</f>
        <v>21.506259539894728</v>
      </c>
      <c r="V51" s="9">
        <f>SUM(IF(Career_History!H16=TRUE,IF(A51&lt;Career_History!D16,0,MIN(A51,Career_History!E16)-Career_History!D16+1),0),IF(Career_History!H17=TRUE,IF(A51&lt;Career_History!D17,0,MIN(A51,Career_History!E17)-Career_History!D17+1),0))/365.2425</f>
        <v>23.589806772212981</v>
      </c>
      <c r="W51" s="9">
        <f>SUM(IF(Career_History!G18=TRUE,IF(A51&lt;Career_History!D18,0,MIN(A51,Career_History!E18)-Career_History!D18+1),0),IF(Career_History!G19=TRUE,IF(A51&lt;Career_History!D19,0,MIN(A51,Career_History!E19)-Career_History!D19+1),0),IF(Career_History!G20=TRUE,IF(A51&lt;Career_History!D20,0,MIN(A51,Career_History!E20)-Career_History!D20+1),0))/365.2425</f>
        <v>30.587897082075607</v>
      </c>
      <c r="X51" s="9">
        <f>SUM(IF(Career_History!I18=TRUE,IF(A51&lt;Career_History!D18,0,MIN(A51,Career_History!E18)-Career_History!D18+1),0),IF(Career_History!I19=TRUE,IF(A51&lt;Career_History!D19,0,MIN(A51,Career_History!E19)-Career_History!D19+1),0),IF(Career_History!I20=TRUE,IF(A51&lt;Career_History!D20,0,MIN(A51,Career_History!E20)-Career_History!D20+1),0))/365.2425</f>
        <v>0</v>
      </c>
      <c r="Y51" s="9">
        <f>SUM(IF(Career_History!H18=TRUE,IF(A51&lt;Career_History!D18,0,MIN(A51,Career_History!E18)-Career_History!D18+1),0),IF(Career_History!H19=TRUE,IF(A51&lt;Career_History!D19,0,MIN(A51,Career_History!E19)-Career_History!D19+1),0),IF(Career_History!H20=TRUE,IF(A51&lt;Career_History!D20,0,MIN(A51,Career_History!E20)-Career_History!D20+1),0))/365.2425</f>
        <v>1.0102876855787593</v>
      </c>
      <c r="Z51" s="9">
        <f>SUM(IF(Career_History!G21=TRUE,IF(A51&lt;Career_History!D21,0,MIN(A51,Career_History!E21)-Career_History!D21+1),0),IF(Career_History!G22=TRUE,IF(A51&lt;Career_History!D22,0,MIN(A51,Career_History!E22)-Career_History!D22+1),0),IF(Career_History!G23=TRUE,IF(A51&lt;Career_History!D23,0,MIN(A51,Career_History!E23)-Career_History!D23+1),0),IF(Career_History!G24=TRUE,IF(A51&lt;Career_History!D24,0,MIN(A51,Career_History!E24)-Career_History!D24+1),0))/365.2425</f>
        <v>27.589888909423191</v>
      </c>
      <c r="AA51" s="9">
        <f>SUM(IF(Career_History!I21=TRUE,IF(A51&lt;Career_History!D21,0,MIN(A51,Career_History!E21)-Career_History!D21+1),0),IF(Career_History!I22=TRUE,IF(A51&lt;Career_History!D22,0,MIN(A51,Career_History!E22)-Career_History!D22+1),0),IF(Career_History!I23=TRUE,IF(A51&lt;Career_History!D23,0,MIN(A51,Career_History!E23)-Career_History!D23+1),0),IF(Career_History!I24=TRUE,IF(A51&lt;Career_History!D24,0,MIN(A51,Career_History!E24)-Career_History!D24+1),0))/365.2425</f>
        <v>26.505677734655741</v>
      </c>
      <c r="AB51" s="9">
        <f>SUM(IF(Career_History!H21=TRUE,IF(A51&lt;Career_History!D21,0,MIN(A51,Career_History!E21)-Career_History!D21+1),0),IF(Career_History!H22=TRUE,IF(A51&lt;Career_History!D22,0,MIN(A51,Career_History!E22)-Career_History!D22+1),0),IF(Career_History!H23=TRUE,IF(A51&lt;Career_History!D23,0,MIN(A51,Career_History!E23)-Career_History!D23+1),0),IF(Career_History!H24=TRUE,IF(A51&lt;Career_History!D24,0,MIN(A51,Career_History!E24)-Career_History!D24+1),0))/365.2425</f>
        <v>18.505513460235324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</row>
    <row r="52" spans="1:67">
      <c r="A52" s="8">
        <v>36219</v>
      </c>
      <c r="B52" s="9">
        <f t="shared" si="0"/>
        <v>28.616604037043885</v>
      </c>
      <c r="C52" s="9">
        <f t="shared" si="1"/>
        <v>9.6023874549100938</v>
      </c>
      <c r="D52" s="9">
        <f t="shared" si="2"/>
        <v>16.183220736907668</v>
      </c>
      <c r="E52" s="9"/>
      <c r="F52" s="9"/>
      <c r="G52" s="9"/>
      <c r="H52" s="9"/>
      <c r="I52" s="9"/>
      <c r="J52" s="9"/>
      <c r="K52" s="9"/>
      <c r="L52" s="9"/>
      <c r="M52" s="9"/>
      <c r="N52" s="9">
        <f>SUM(IF(Career_History!G12=TRUE,IF(A52&lt;Career_History!D12,0,MIN(A52,Career_History!E12)-Career_History!D12+1),0),IF(Career_History!G13=TRUE,IF(A52&lt;Career_History!D13,0,MIN(A52,Career_History!E13)-Career_History!D13+1),0))/365.2425</f>
        <v>27.66655030561887</v>
      </c>
      <c r="O52" s="9">
        <f>SUM(IF(Career_History!I12=TRUE,IF(A52&lt;Career_History!D12,0,MIN(A52,Career_History!E12)-Career_History!D12+1),0),IF(Career_History!I13=TRUE,IF(A52&lt;Career_History!D13,0,MIN(A52,Career_History!E13)-Career_History!D13+1),0))/365.2425</f>
        <v>0</v>
      </c>
      <c r="P52" s="9">
        <f>SUM(IF(Career_History!H12=TRUE,IF(A52&lt;Career_History!D12,0,MIN(A52,Career_History!E12)-Career_History!D12+1),0),IF(Career_History!H13=TRUE,IF(A52&lt;Career_History!D13,0,MIN(A52,Career_History!E13)-Career_History!D13+1),0))/365.2425</f>
        <v>4.1616186506225317</v>
      </c>
      <c r="Q52" s="9">
        <f>SUM(IF(Career_History!G14=TRUE,IF(A52&lt;Career_History!D14,0,MIN(A52,Career_History!E14)-Career_History!D14+1),0),IF(Career_History!G15=TRUE,IF(A52&lt;Career_History!D15,0,MIN(A52,Career_History!E15)-Career_History!D15+1),0))/365.2425</f>
        <v>33.418892927301727</v>
      </c>
      <c r="R52" s="9">
        <f>SUM(IF(Career_History!I14=TRUE,IF(A52&lt;Career_History!D14,0,MIN(A52,Career_History!E14)-Career_History!D14+1),0),IF(Career_History!I15=TRUE,IF(A52&lt;Career_History!D15,0,MIN(A52,Career_History!E15)-Career_History!D15+1),0))/365.2425</f>
        <v>0</v>
      </c>
      <c r="S52" s="9">
        <f>SUM(IF(Career_History!H14=TRUE,IF(A52&lt;Career_History!D14,0,MIN(A52,Career_History!E14)-Career_History!D14+1),0),IF(Career_History!H15=TRUE,IF(A52&lt;Career_History!D15,0,MIN(A52,Career_History!E15)-Career_History!D15+1),0))/365.2425</f>
        <v>33.418892927301727</v>
      </c>
      <c r="T52" s="9">
        <f>SUM(IF(Career_History!G16=TRUE,IF(A52&lt;Career_History!D16,0,MIN(A52,Career_History!E16)-Career_History!D16+1),0),IF(Career_History!G17=TRUE,IF(A52&lt;Career_History!D17,0,MIN(A52,Career_History!E17)-Career_History!D17+1),0))/365.2425</f>
        <v>23.66646816840866</v>
      </c>
      <c r="U52" s="9">
        <f>SUM(IF(Career_History!I16=TRUE,IF(A52&lt;Career_History!D16,0,MIN(A52,Career_History!E16)-Career_History!D16+1),0),IF(Career_History!I17=TRUE,IF(A52&lt;Career_History!D17,0,MIN(A52,Career_History!E17)-Career_History!D17+1),0))/365.2425</f>
        <v>21.506259539894728</v>
      </c>
      <c r="V52" s="9">
        <f>SUM(IF(Career_History!H16=TRUE,IF(A52&lt;Career_History!D16,0,MIN(A52,Career_History!E16)-Career_History!D16+1),0),IF(Career_History!H17=TRUE,IF(A52&lt;Career_History!D17,0,MIN(A52,Career_History!E17)-Career_History!D17+1),0))/365.2425</f>
        <v>23.66646816840866</v>
      </c>
      <c r="W52" s="9">
        <f>SUM(IF(Career_History!G18=TRUE,IF(A52&lt;Career_History!D18,0,MIN(A52,Career_History!E18)-Career_History!D18+1),0),IF(Career_History!G19=TRUE,IF(A52&lt;Career_History!D19,0,MIN(A52,Career_History!E19)-Career_History!D19+1),0),IF(Career_History!G20=TRUE,IF(A52&lt;Career_History!D20,0,MIN(A52,Career_History!E20)-Career_History!D20+1),0))/365.2425</f>
        <v>30.664558478271285</v>
      </c>
      <c r="X52" s="9">
        <f>SUM(IF(Career_History!I18=TRUE,IF(A52&lt;Career_History!D18,0,MIN(A52,Career_History!E18)-Career_History!D18+1),0),IF(Career_History!I19=TRUE,IF(A52&lt;Career_History!D19,0,MIN(A52,Career_History!E19)-Career_History!D19+1),0),IF(Career_History!I20=TRUE,IF(A52&lt;Career_History!D20,0,MIN(A52,Career_History!E20)-Career_History!D20+1),0))/365.2425</f>
        <v>0</v>
      </c>
      <c r="Y52" s="9">
        <f>SUM(IF(Career_History!H18=TRUE,IF(A52&lt;Career_History!D18,0,MIN(A52,Career_History!E18)-Career_History!D18+1),0),IF(Career_History!H19=TRUE,IF(A52&lt;Career_History!D19,0,MIN(A52,Career_History!E19)-Career_History!D19+1),0),IF(Career_History!H20=TRUE,IF(A52&lt;Career_History!D20,0,MIN(A52,Career_History!E20)-Career_History!D20+1),0))/365.2425</f>
        <v>1.0869490817744376</v>
      </c>
      <c r="Z52" s="9">
        <f>SUM(IF(Career_History!G21=TRUE,IF(A52&lt;Career_History!D21,0,MIN(A52,Career_History!E21)-Career_History!D21+1),0),IF(Career_History!G22=TRUE,IF(A52&lt;Career_History!D22,0,MIN(A52,Career_History!E22)-Career_History!D22+1),0),IF(Career_History!G23=TRUE,IF(A52&lt;Career_History!D23,0,MIN(A52,Career_History!E23)-Career_History!D23+1),0),IF(Career_History!G24=TRUE,IF(A52&lt;Career_History!D24,0,MIN(A52,Career_History!E24)-Career_History!D24+1),0))/365.2425</f>
        <v>27.66655030561887</v>
      </c>
      <c r="AA52" s="9">
        <f>SUM(IF(Career_History!I21=TRUE,IF(A52&lt;Career_History!D21,0,MIN(A52,Career_History!E21)-Career_History!D21+1),0),IF(Career_History!I22=TRUE,IF(A52&lt;Career_History!D22,0,MIN(A52,Career_History!E22)-Career_History!D22+1),0),IF(Career_History!I23=TRUE,IF(A52&lt;Career_History!D23,0,MIN(A52,Career_History!E23)-Career_History!D23+1),0),IF(Career_History!I24=TRUE,IF(A52&lt;Career_History!D24,0,MIN(A52,Career_History!E24)-Career_History!D24+1),0))/365.2425</f>
        <v>26.505677734655741</v>
      </c>
      <c r="AB52" s="9">
        <f>SUM(IF(Career_History!H21=TRUE,IF(A52&lt;Career_History!D21,0,MIN(A52,Career_History!E21)-Career_History!D21+1),0),IF(Career_History!H22=TRUE,IF(A52&lt;Career_History!D22,0,MIN(A52,Career_History!E22)-Career_History!D22+1),0),IF(Career_History!H23=TRUE,IF(A52&lt;Career_History!D23,0,MIN(A52,Career_History!E23)-Career_History!D23+1),0),IF(Career_History!H24=TRUE,IF(A52&lt;Career_History!D24,0,MIN(A52,Career_History!E24)-Career_History!D24+1),0))/365.2425</f>
        <v>18.582174856430999</v>
      </c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</row>
    <row r="53" spans="1:67">
      <c r="A53" s="8">
        <v>36250</v>
      </c>
      <c r="B53" s="9">
        <f t="shared" si="0"/>
        <v>28.701479154260522</v>
      </c>
      <c r="C53" s="9">
        <f t="shared" si="1"/>
        <v>9.6023874549100938</v>
      </c>
      <c r="D53" s="9">
        <f t="shared" si="2"/>
        <v>16.268095854124315</v>
      </c>
      <c r="E53" s="9"/>
      <c r="F53" s="9"/>
      <c r="G53" s="9"/>
      <c r="H53" s="9"/>
      <c r="I53" s="9"/>
      <c r="J53" s="9"/>
      <c r="K53" s="9"/>
      <c r="L53" s="9"/>
      <c r="M53" s="9"/>
      <c r="N53" s="9">
        <f>SUM(IF(Career_History!G12=TRUE,IF(A53&lt;Career_History!D12,0,MIN(A53,Career_History!E12)-Career_History!D12+1),0),IF(Career_History!G13=TRUE,IF(A53&lt;Career_History!D13,0,MIN(A53,Career_History!E13)-Career_History!D13+1),0))/365.2425</f>
        <v>27.751425422835514</v>
      </c>
      <c r="O53" s="9">
        <f>SUM(IF(Career_History!I12=TRUE,IF(A53&lt;Career_History!D12,0,MIN(A53,Career_History!E12)-Career_History!D12+1),0),IF(Career_History!I13=TRUE,IF(A53&lt;Career_History!D13,0,MIN(A53,Career_History!E13)-Career_History!D13+1),0))/365.2425</f>
        <v>0</v>
      </c>
      <c r="P53" s="9">
        <f>SUM(IF(Career_History!H12=TRUE,IF(A53&lt;Career_History!D12,0,MIN(A53,Career_History!E12)-Career_History!D12+1),0),IF(Career_History!H13=TRUE,IF(A53&lt;Career_History!D13,0,MIN(A53,Career_History!E13)-Career_History!D13+1),0))/365.2425</f>
        <v>4.2464937678391754</v>
      </c>
      <c r="Q53" s="9">
        <f>SUM(IF(Career_History!G14=TRUE,IF(A53&lt;Career_History!D14,0,MIN(A53,Career_History!E14)-Career_History!D14+1),0),IF(Career_History!G15=TRUE,IF(A53&lt;Career_History!D15,0,MIN(A53,Career_History!E15)-Career_History!D15+1),0))/365.2425</f>
        <v>33.503768044518367</v>
      </c>
      <c r="R53" s="9">
        <f>SUM(IF(Career_History!I14=TRUE,IF(A53&lt;Career_History!D14,0,MIN(A53,Career_History!E14)-Career_History!D14+1),0),IF(Career_History!I15=TRUE,IF(A53&lt;Career_History!D15,0,MIN(A53,Career_History!E15)-Career_History!D15+1),0))/365.2425</f>
        <v>0</v>
      </c>
      <c r="S53" s="9">
        <f>SUM(IF(Career_History!H14=TRUE,IF(A53&lt;Career_History!D14,0,MIN(A53,Career_History!E14)-Career_History!D14+1),0),IF(Career_History!H15=TRUE,IF(A53&lt;Career_History!D15,0,MIN(A53,Career_History!E15)-Career_History!D15+1),0))/365.2425</f>
        <v>33.503768044518367</v>
      </c>
      <c r="T53" s="9">
        <f>SUM(IF(Career_History!G16=TRUE,IF(A53&lt;Career_History!D16,0,MIN(A53,Career_History!E16)-Career_History!D16+1),0),IF(Career_History!G17=TRUE,IF(A53&lt;Career_History!D17,0,MIN(A53,Career_History!E17)-Career_History!D17+1),0))/365.2425</f>
        <v>23.751343285625303</v>
      </c>
      <c r="U53" s="9">
        <f>SUM(IF(Career_History!I16=TRUE,IF(A53&lt;Career_History!D16,0,MIN(A53,Career_History!E16)-Career_History!D16+1),0),IF(Career_History!I17=TRUE,IF(A53&lt;Career_History!D17,0,MIN(A53,Career_History!E17)-Career_History!D17+1),0))/365.2425</f>
        <v>21.506259539894728</v>
      </c>
      <c r="V53" s="9">
        <f>SUM(IF(Career_History!H16=TRUE,IF(A53&lt;Career_History!D16,0,MIN(A53,Career_History!E16)-Career_History!D16+1),0),IF(Career_History!H17=TRUE,IF(A53&lt;Career_History!D17,0,MIN(A53,Career_History!E17)-Career_History!D17+1),0))/365.2425</f>
        <v>23.751343285625303</v>
      </c>
      <c r="W53" s="9">
        <f>SUM(IF(Career_History!G18=TRUE,IF(A53&lt;Career_History!D18,0,MIN(A53,Career_History!E18)-Career_History!D18+1),0),IF(Career_History!G19=TRUE,IF(A53&lt;Career_History!D19,0,MIN(A53,Career_History!E19)-Career_History!D19+1),0),IF(Career_History!G20=TRUE,IF(A53&lt;Career_History!D20,0,MIN(A53,Career_History!E20)-Career_History!D20+1),0))/365.2425</f>
        <v>30.749433595487929</v>
      </c>
      <c r="X53" s="9">
        <f>SUM(IF(Career_History!I18=TRUE,IF(A53&lt;Career_History!D18,0,MIN(A53,Career_History!E18)-Career_History!D18+1),0),IF(Career_History!I19=TRUE,IF(A53&lt;Career_History!D19,0,MIN(A53,Career_History!E19)-Career_History!D19+1),0),IF(Career_History!I20=TRUE,IF(A53&lt;Career_History!D20,0,MIN(A53,Career_History!E20)-Career_History!D20+1),0))/365.2425</f>
        <v>0</v>
      </c>
      <c r="Y53" s="9">
        <f>SUM(IF(Career_History!H18=TRUE,IF(A53&lt;Career_History!D18,0,MIN(A53,Career_History!E18)-Career_History!D18+1),0),IF(Career_History!H19=TRUE,IF(A53&lt;Career_History!D19,0,MIN(A53,Career_History!E19)-Career_History!D19+1),0),IF(Career_History!H20=TRUE,IF(A53&lt;Career_History!D20,0,MIN(A53,Career_History!E20)-Career_History!D20+1),0))/365.2425</f>
        <v>1.1718241989910811</v>
      </c>
      <c r="Z53" s="9">
        <f>SUM(IF(Career_History!G21=TRUE,IF(A53&lt;Career_History!D21,0,MIN(A53,Career_History!E21)-Career_History!D21+1),0),IF(Career_History!G22=TRUE,IF(A53&lt;Career_History!D22,0,MIN(A53,Career_History!E22)-Career_History!D22+1),0),IF(Career_History!G23=TRUE,IF(A53&lt;Career_History!D23,0,MIN(A53,Career_History!E23)-Career_History!D23+1),0),IF(Career_History!G24=TRUE,IF(A53&lt;Career_History!D24,0,MIN(A53,Career_History!E24)-Career_History!D24+1),0))/365.2425</f>
        <v>27.751425422835514</v>
      </c>
      <c r="AA53" s="9">
        <f>SUM(IF(Career_History!I21=TRUE,IF(A53&lt;Career_History!D21,0,MIN(A53,Career_History!E21)-Career_History!D21+1),0),IF(Career_History!I22=TRUE,IF(A53&lt;Career_History!D22,0,MIN(A53,Career_History!E22)-Career_History!D22+1),0),IF(Career_History!I23=TRUE,IF(A53&lt;Career_History!D23,0,MIN(A53,Career_History!E23)-Career_History!D23+1),0),IF(Career_History!I24=TRUE,IF(A53&lt;Career_History!D24,0,MIN(A53,Career_History!E24)-Career_History!D24+1),0))/365.2425</f>
        <v>26.505677734655741</v>
      </c>
      <c r="AB53" s="9">
        <f>SUM(IF(Career_History!H21=TRUE,IF(A53&lt;Career_History!D21,0,MIN(A53,Career_History!E21)-Career_History!D21+1),0),IF(Career_History!H22=TRUE,IF(A53&lt;Career_History!D22,0,MIN(A53,Career_History!E22)-Career_History!D22+1),0),IF(Career_History!H23=TRUE,IF(A53&lt;Career_History!D23,0,MIN(A53,Career_History!E23)-Career_History!D23+1),0),IF(Career_History!H24=TRUE,IF(A53&lt;Career_History!D24,0,MIN(A53,Career_History!E24)-Career_History!D24+1),0))/365.2425</f>
        <v>18.667049973647643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</row>
    <row r="54" spans="1:67">
      <c r="A54" s="8">
        <v>36280</v>
      </c>
      <c r="B54" s="9">
        <f t="shared" si="0"/>
        <v>28.783616364470181</v>
      </c>
      <c r="C54" s="9">
        <f t="shared" si="1"/>
        <v>9.6023874549100938</v>
      </c>
      <c r="D54" s="9">
        <f t="shared" si="2"/>
        <v>16.35023306433397</v>
      </c>
      <c r="E54" s="9"/>
      <c r="F54" s="9"/>
      <c r="G54" s="9"/>
      <c r="H54" s="9"/>
      <c r="I54" s="9"/>
      <c r="J54" s="9"/>
      <c r="K54" s="9"/>
      <c r="L54" s="9"/>
      <c r="M54" s="9"/>
      <c r="N54" s="9">
        <f>SUM(IF(Career_History!G12=TRUE,IF(A54&lt;Career_History!D12,0,MIN(A54,Career_History!E12)-Career_History!D12+1),0),IF(Career_History!G13=TRUE,IF(A54&lt;Career_History!D13,0,MIN(A54,Career_History!E13)-Career_History!D13+1),0))/365.2425</f>
        <v>27.833562633045169</v>
      </c>
      <c r="O54" s="9">
        <f>SUM(IF(Career_History!I12=TRUE,IF(A54&lt;Career_History!D12,0,MIN(A54,Career_History!E12)-Career_History!D12+1),0),IF(Career_History!I13=TRUE,IF(A54&lt;Career_History!D13,0,MIN(A54,Career_History!E13)-Career_History!D13+1),0))/365.2425</f>
        <v>0</v>
      </c>
      <c r="P54" s="9">
        <f>SUM(IF(Career_History!H12=TRUE,IF(A54&lt;Career_History!D12,0,MIN(A54,Career_History!E12)-Career_History!D12+1),0),IF(Career_History!H13=TRUE,IF(A54&lt;Career_History!D13,0,MIN(A54,Career_History!E13)-Career_History!D13+1),0))/365.2425</f>
        <v>4.3286309780488308</v>
      </c>
      <c r="Q54" s="9">
        <f>SUM(IF(Career_History!G14=TRUE,IF(A54&lt;Career_History!D14,0,MIN(A54,Career_History!E14)-Career_History!D14+1),0),IF(Career_History!G15=TRUE,IF(A54&lt;Career_History!D15,0,MIN(A54,Career_History!E15)-Career_History!D15+1),0))/365.2425</f>
        <v>33.585905254728026</v>
      </c>
      <c r="R54" s="9">
        <f>SUM(IF(Career_History!I14=TRUE,IF(A54&lt;Career_History!D14,0,MIN(A54,Career_History!E14)-Career_History!D14+1),0),IF(Career_History!I15=TRUE,IF(A54&lt;Career_History!D15,0,MIN(A54,Career_History!E15)-Career_History!D15+1),0))/365.2425</f>
        <v>0</v>
      </c>
      <c r="S54" s="9">
        <f>SUM(IF(Career_History!H14=TRUE,IF(A54&lt;Career_History!D14,0,MIN(A54,Career_History!E14)-Career_History!D14+1),0),IF(Career_History!H15=TRUE,IF(A54&lt;Career_History!D15,0,MIN(A54,Career_History!E15)-Career_History!D15+1),0))/365.2425</f>
        <v>33.585905254728026</v>
      </c>
      <c r="T54" s="9">
        <f>SUM(IF(Career_History!G16=TRUE,IF(A54&lt;Career_History!D16,0,MIN(A54,Career_History!E16)-Career_History!D16+1),0),IF(Career_History!G17=TRUE,IF(A54&lt;Career_History!D17,0,MIN(A54,Career_History!E17)-Career_History!D17+1),0))/365.2425</f>
        <v>23.833480495834959</v>
      </c>
      <c r="U54" s="9">
        <f>SUM(IF(Career_History!I16=TRUE,IF(A54&lt;Career_History!D16,0,MIN(A54,Career_History!E16)-Career_History!D16+1),0),IF(Career_History!I17=TRUE,IF(A54&lt;Career_History!D17,0,MIN(A54,Career_History!E17)-Career_History!D17+1),0))/365.2425</f>
        <v>21.506259539894728</v>
      </c>
      <c r="V54" s="9">
        <f>SUM(IF(Career_History!H16=TRUE,IF(A54&lt;Career_History!D16,0,MIN(A54,Career_History!E16)-Career_History!D16+1),0),IF(Career_History!H17=TRUE,IF(A54&lt;Career_History!D17,0,MIN(A54,Career_History!E17)-Career_History!D17+1),0))/365.2425</f>
        <v>23.833480495834959</v>
      </c>
      <c r="W54" s="9">
        <f>SUM(IF(Career_History!G18=TRUE,IF(A54&lt;Career_History!D18,0,MIN(A54,Career_History!E18)-Career_History!D18+1),0),IF(Career_History!G19=TRUE,IF(A54&lt;Career_History!D19,0,MIN(A54,Career_History!E19)-Career_History!D19+1),0),IF(Career_History!G20=TRUE,IF(A54&lt;Career_History!D20,0,MIN(A54,Career_History!E20)-Career_History!D20+1),0))/365.2425</f>
        <v>30.831570805697584</v>
      </c>
      <c r="X54" s="9">
        <f>SUM(IF(Career_History!I18=TRUE,IF(A54&lt;Career_History!D18,0,MIN(A54,Career_History!E18)-Career_History!D18+1),0),IF(Career_History!I19=TRUE,IF(A54&lt;Career_History!D19,0,MIN(A54,Career_History!E19)-Career_History!D19+1),0),IF(Career_History!I20=TRUE,IF(A54&lt;Career_History!D20,0,MIN(A54,Career_History!E20)-Career_History!D20+1),0))/365.2425</f>
        <v>0</v>
      </c>
      <c r="Y54" s="9">
        <f>SUM(IF(Career_History!H18=TRUE,IF(A54&lt;Career_History!D18,0,MIN(A54,Career_History!E18)-Career_History!D18+1),0),IF(Career_History!H19=TRUE,IF(A54&lt;Career_History!D19,0,MIN(A54,Career_History!E19)-Career_History!D19+1),0),IF(Career_History!H20=TRUE,IF(A54&lt;Career_History!D20,0,MIN(A54,Career_History!E20)-Career_History!D20+1),0))/365.2425</f>
        <v>1.2539614092007365</v>
      </c>
      <c r="Z54" s="9">
        <f>SUM(IF(Career_History!G21=TRUE,IF(A54&lt;Career_History!D21,0,MIN(A54,Career_History!E21)-Career_History!D21+1),0),IF(Career_History!G22=TRUE,IF(A54&lt;Career_History!D22,0,MIN(A54,Career_History!E22)-Career_History!D22+1),0),IF(Career_History!G23=TRUE,IF(A54&lt;Career_History!D23,0,MIN(A54,Career_History!E23)-Career_History!D23+1),0),IF(Career_History!G24=TRUE,IF(A54&lt;Career_History!D24,0,MIN(A54,Career_History!E24)-Career_History!D24+1),0))/365.2425</f>
        <v>27.833562633045169</v>
      </c>
      <c r="AA54" s="9">
        <f>SUM(IF(Career_History!I21=TRUE,IF(A54&lt;Career_History!D21,0,MIN(A54,Career_History!E21)-Career_History!D21+1),0),IF(Career_History!I22=TRUE,IF(A54&lt;Career_History!D22,0,MIN(A54,Career_History!E22)-Career_History!D22+1),0),IF(Career_History!I23=TRUE,IF(A54&lt;Career_History!D23,0,MIN(A54,Career_History!E23)-Career_History!D23+1),0),IF(Career_History!I24=TRUE,IF(A54&lt;Career_History!D24,0,MIN(A54,Career_History!E24)-Career_History!D24+1),0))/365.2425</f>
        <v>26.505677734655741</v>
      </c>
      <c r="AB54" s="9">
        <f>SUM(IF(Career_History!H21=TRUE,IF(A54&lt;Career_History!D21,0,MIN(A54,Career_History!E21)-Career_History!D21+1),0),IF(Career_History!H22=TRUE,IF(A54&lt;Career_History!D22,0,MIN(A54,Career_History!E22)-Career_History!D22+1),0),IF(Career_History!H23=TRUE,IF(A54&lt;Career_History!D23,0,MIN(A54,Career_History!E23)-Career_History!D23+1),0),IF(Career_History!H24=TRUE,IF(A54&lt;Career_History!D24,0,MIN(A54,Career_History!E24)-Career_History!D24+1),0))/365.2425</f>
        <v>18.749187183857298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</row>
    <row r="55" spans="1:67">
      <c r="A55" s="8">
        <v>36311</v>
      </c>
      <c r="B55" s="9">
        <f t="shared" si="0"/>
        <v>28.868491481686824</v>
      </c>
      <c r="C55" s="9">
        <f t="shared" si="1"/>
        <v>9.6023874549100938</v>
      </c>
      <c r="D55" s="9">
        <f t="shared" si="2"/>
        <v>16.435108181550611</v>
      </c>
      <c r="E55" s="9"/>
      <c r="F55" s="9"/>
      <c r="G55" s="9"/>
      <c r="H55" s="9"/>
      <c r="I55" s="9"/>
      <c r="J55" s="9"/>
      <c r="K55" s="9"/>
      <c r="L55" s="9"/>
      <c r="M55" s="9"/>
      <c r="N55" s="9">
        <f>SUM(IF(Career_History!G12=TRUE,IF(A55&lt;Career_History!D12,0,MIN(A55,Career_History!E12)-Career_History!D12+1),0),IF(Career_History!G13=TRUE,IF(A55&lt;Career_History!D13,0,MIN(A55,Career_History!E13)-Career_History!D13+1),0))/365.2425</f>
        <v>27.918437750261813</v>
      </c>
      <c r="O55" s="9">
        <f>SUM(IF(Career_History!I12=TRUE,IF(A55&lt;Career_History!D12,0,MIN(A55,Career_History!E12)-Career_History!D12+1),0),IF(Career_History!I13=TRUE,IF(A55&lt;Career_History!D13,0,MIN(A55,Career_History!E13)-Career_History!D13+1),0))/365.2425</f>
        <v>0</v>
      </c>
      <c r="P55" s="9">
        <f>SUM(IF(Career_History!H12=TRUE,IF(A55&lt;Career_History!D12,0,MIN(A55,Career_History!E12)-Career_History!D12+1),0),IF(Career_History!H13=TRUE,IF(A55&lt;Career_History!D13,0,MIN(A55,Career_History!E13)-Career_History!D13+1),0))/365.2425</f>
        <v>4.4135060952654745</v>
      </c>
      <c r="Q55" s="9">
        <f>SUM(IF(Career_History!G14=TRUE,IF(A55&lt;Career_History!D14,0,MIN(A55,Career_History!E14)-Career_History!D14+1),0),IF(Career_History!G15=TRUE,IF(A55&lt;Career_History!D15,0,MIN(A55,Career_History!E15)-Career_History!D15+1),0))/365.2425</f>
        <v>33.670780371944666</v>
      </c>
      <c r="R55" s="9">
        <f>SUM(IF(Career_History!I14=TRUE,IF(A55&lt;Career_History!D14,0,MIN(A55,Career_History!E14)-Career_History!D14+1),0),IF(Career_History!I15=TRUE,IF(A55&lt;Career_History!D15,0,MIN(A55,Career_History!E15)-Career_History!D15+1),0))/365.2425</f>
        <v>0</v>
      </c>
      <c r="S55" s="9">
        <f>SUM(IF(Career_History!H14=TRUE,IF(A55&lt;Career_History!D14,0,MIN(A55,Career_History!E14)-Career_History!D14+1),0),IF(Career_History!H15=TRUE,IF(A55&lt;Career_History!D15,0,MIN(A55,Career_History!E15)-Career_History!D15+1),0))/365.2425</f>
        <v>33.670780371944666</v>
      </c>
      <c r="T55" s="9">
        <f>SUM(IF(Career_History!G16=TRUE,IF(A55&lt;Career_History!D16,0,MIN(A55,Career_History!E16)-Career_History!D16+1),0),IF(Career_History!G17=TRUE,IF(A55&lt;Career_History!D17,0,MIN(A55,Career_History!E17)-Career_History!D17+1),0))/365.2425</f>
        <v>23.918355613051602</v>
      </c>
      <c r="U55" s="9">
        <f>SUM(IF(Career_History!I16=TRUE,IF(A55&lt;Career_History!D16,0,MIN(A55,Career_History!E16)-Career_History!D16+1),0),IF(Career_History!I17=TRUE,IF(A55&lt;Career_History!D17,0,MIN(A55,Career_History!E17)-Career_History!D17+1),0))/365.2425</f>
        <v>21.506259539894728</v>
      </c>
      <c r="V55" s="9">
        <f>SUM(IF(Career_History!H16=TRUE,IF(A55&lt;Career_History!D16,0,MIN(A55,Career_History!E16)-Career_History!D16+1),0),IF(Career_History!H17=TRUE,IF(A55&lt;Career_History!D17,0,MIN(A55,Career_History!E17)-Career_History!D17+1),0))/365.2425</f>
        <v>23.918355613051602</v>
      </c>
      <c r="W55" s="9">
        <f>SUM(IF(Career_History!G18=TRUE,IF(A55&lt;Career_History!D18,0,MIN(A55,Career_History!E18)-Career_History!D18+1),0),IF(Career_History!G19=TRUE,IF(A55&lt;Career_History!D19,0,MIN(A55,Career_History!E19)-Career_History!D19+1),0),IF(Career_History!G20=TRUE,IF(A55&lt;Career_History!D20,0,MIN(A55,Career_History!E20)-Career_History!D20+1),0))/365.2425</f>
        <v>30.916445922914228</v>
      </c>
      <c r="X55" s="9">
        <f>SUM(IF(Career_History!I18=TRUE,IF(A55&lt;Career_History!D18,0,MIN(A55,Career_History!E18)-Career_History!D18+1),0),IF(Career_History!I19=TRUE,IF(A55&lt;Career_History!D19,0,MIN(A55,Career_History!E19)-Career_History!D19+1),0),IF(Career_History!I20=TRUE,IF(A55&lt;Career_History!D20,0,MIN(A55,Career_History!E20)-Career_History!D20+1),0))/365.2425</f>
        <v>0</v>
      </c>
      <c r="Y55" s="9">
        <f>SUM(IF(Career_History!H18=TRUE,IF(A55&lt;Career_History!D18,0,MIN(A55,Career_History!E18)-Career_History!D18+1),0),IF(Career_History!H19=TRUE,IF(A55&lt;Career_History!D19,0,MIN(A55,Career_History!E19)-Career_History!D19+1),0),IF(Career_History!H20=TRUE,IF(A55&lt;Career_History!D20,0,MIN(A55,Career_History!E20)-Career_History!D20+1),0))/365.2425</f>
        <v>1.3388365264173803</v>
      </c>
      <c r="Z55" s="9">
        <f>SUM(IF(Career_History!G21=TRUE,IF(A55&lt;Career_History!D21,0,MIN(A55,Career_History!E21)-Career_History!D21+1),0),IF(Career_History!G22=TRUE,IF(A55&lt;Career_History!D22,0,MIN(A55,Career_History!E22)-Career_History!D22+1),0),IF(Career_History!G23=TRUE,IF(A55&lt;Career_History!D23,0,MIN(A55,Career_History!E23)-Career_History!D23+1),0),IF(Career_History!G24=TRUE,IF(A55&lt;Career_History!D24,0,MIN(A55,Career_History!E24)-Career_History!D24+1),0))/365.2425</f>
        <v>27.918437750261813</v>
      </c>
      <c r="AA55" s="9">
        <f>SUM(IF(Career_History!I21=TRUE,IF(A55&lt;Career_History!D21,0,MIN(A55,Career_History!E21)-Career_History!D21+1),0),IF(Career_History!I22=TRUE,IF(A55&lt;Career_History!D22,0,MIN(A55,Career_History!E22)-Career_History!D22+1),0),IF(Career_History!I23=TRUE,IF(A55&lt;Career_History!D23,0,MIN(A55,Career_History!E23)-Career_History!D23+1),0),IF(Career_History!I24=TRUE,IF(A55&lt;Career_History!D24,0,MIN(A55,Career_History!E24)-Career_History!D24+1),0))/365.2425</f>
        <v>26.505677734655741</v>
      </c>
      <c r="AB55" s="9">
        <f>SUM(IF(Career_History!H21=TRUE,IF(A55&lt;Career_History!D21,0,MIN(A55,Career_History!E21)-Career_History!D21+1),0),IF(Career_History!H22=TRUE,IF(A55&lt;Career_History!D22,0,MIN(A55,Career_History!E22)-Career_History!D22+1),0),IF(Career_History!H23=TRUE,IF(A55&lt;Career_History!D23,0,MIN(A55,Career_History!E23)-Career_History!D23+1),0),IF(Career_History!H24=TRUE,IF(A55&lt;Career_History!D24,0,MIN(A55,Career_History!E24)-Career_History!D24+1),0))/365.2425</f>
        <v>18.834062301073942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</row>
    <row r="56" spans="1:67">
      <c r="A56" s="8">
        <v>36341</v>
      </c>
      <c r="B56" s="9">
        <f t="shared" si="0"/>
        <v>28.95062869189648</v>
      </c>
      <c r="C56" s="9">
        <f t="shared" si="1"/>
        <v>9.6023874549100938</v>
      </c>
      <c r="D56" s="9">
        <f t="shared" si="2"/>
        <v>16.517245391760266</v>
      </c>
      <c r="E56" s="9"/>
      <c r="F56" s="9"/>
      <c r="G56" s="9"/>
      <c r="H56" s="9"/>
      <c r="I56" s="9"/>
      <c r="J56" s="9"/>
      <c r="K56" s="9"/>
      <c r="L56" s="9"/>
      <c r="M56" s="9"/>
      <c r="N56" s="9">
        <f>SUM(IF(Career_History!G12=TRUE,IF(A56&lt;Career_History!D12,0,MIN(A56,Career_History!E12)-Career_History!D12+1),0),IF(Career_History!G13=TRUE,IF(A56&lt;Career_History!D13,0,MIN(A56,Career_History!E13)-Career_History!D13+1),0))/365.2425</f>
        <v>28.000574960471468</v>
      </c>
      <c r="O56" s="9">
        <f>SUM(IF(Career_History!I12=TRUE,IF(A56&lt;Career_History!D12,0,MIN(A56,Career_History!E12)-Career_History!D12+1),0),IF(Career_History!I13=TRUE,IF(A56&lt;Career_History!D13,0,MIN(A56,Career_History!E13)-Career_History!D13+1),0))/365.2425</f>
        <v>0</v>
      </c>
      <c r="P56" s="9">
        <f>SUM(IF(Career_History!H12=TRUE,IF(A56&lt;Career_History!D12,0,MIN(A56,Career_History!E12)-Career_History!D12+1),0),IF(Career_History!H13=TRUE,IF(A56&lt;Career_History!D13,0,MIN(A56,Career_History!E13)-Career_History!D13+1),0))/365.2425</f>
        <v>4.495643305475129</v>
      </c>
      <c r="Q56" s="9">
        <f>SUM(IF(Career_History!G14=TRUE,IF(A56&lt;Career_History!D14,0,MIN(A56,Career_History!E14)-Career_History!D14+1),0),IF(Career_History!G15=TRUE,IF(A56&lt;Career_History!D15,0,MIN(A56,Career_History!E15)-Career_History!D15+1),0))/365.2425</f>
        <v>33.752917582154325</v>
      </c>
      <c r="R56" s="9">
        <f>SUM(IF(Career_History!I14=TRUE,IF(A56&lt;Career_History!D14,0,MIN(A56,Career_History!E14)-Career_History!D14+1),0),IF(Career_History!I15=TRUE,IF(A56&lt;Career_History!D15,0,MIN(A56,Career_History!E15)-Career_History!D15+1),0))/365.2425</f>
        <v>0</v>
      </c>
      <c r="S56" s="9">
        <f>SUM(IF(Career_History!H14=TRUE,IF(A56&lt;Career_History!D14,0,MIN(A56,Career_History!E14)-Career_History!D14+1),0),IF(Career_History!H15=TRUE,IF(A56&lt;Career_History!D15,0,MIN(A56,Career_History!E15)-Career_History!D15+1),0))/365.2425</f>
        <v>33.752917582154325</v>
      </c>
      <c r="T56" s="9">
        <f>SUM(IF(Career_History!G16=TRUE,IF(A56&lt;Career_History!D16,0,MIN(A56,Career_History!E16)-Career_History!D16+1),0),IF(Career_History!G17=TRUE,IF(A56&lt;Career_History!D17,0,MIN(A56,Career_History!E17)-Career_History!D17+1),0))/365.2425</f>
        <v>24.000492823261258</v>
      </c>
      <c r="U56" s="9">
        <f>SUM(IF(Career_History!I16=TRUE,IF(A56&lt;Career_History!D16,0,MIN(A56,Career_History!E16)-Career_History!D16+1),0),IF(Career_History!I17=TRUE,IF(A56&lt;Career_History!D17,0,MIN(A56,Career_History!E17)-Career_History!D17+1),0))/365.2425</f>
        <v>21.506259539894728</v>
      </c>
      <c r="V56" s="9">
        <f>SUM(IF(Career_History!H16=TRUE,IF(A56&lt;Career_History!D16,0,MIN(A56,Career_History!E16)-Career_History!D16+1),0),IF(Career_History!H17=TRUE,IF(A56&lt;Career_History!D17,0,MIN(A56,Career_History!E17)-Career_History!D17+1),0))/365.2425</f>
        <v>24.000492823261258</v>
      </c>
      <c r="W56" s="9">
        <f>SUM(IF(Career_History!G18=TRUE,IF(A56&lt;Career_History!D18,0,MIN(A56,Career_History!E18)-Career_History!D18+1),0),IF(Career_History!G19=TRUE,IF(A56&lt;Career_History!D19,0,MIN(A56,Career_History!E19)-Career_History!D19+1),0),IF(Career_History!G20=TRUE,IF(A56&lt;Career_History!D20,0,MIN(A56,Career_History!E20)-Career_History!D20+1),0))/365.2425</f>
        <v>30.998583133123883</v>
      </c>
      <c r="X56" s="9">
        <f>SUM(IF(Career_History!I18=TRUE,IF(A56&lt;Career_History!D18,0,MIN(A56,Career_History!E18)-Career_History!D18+1),0),IF(Career_History!I19=TRUE,IF(A56&lt;Career_History!D19,0,MIN(A56,Career_History!E19)-Career_History!D19+1),0),IF(Career_History!I20=TRUE,IF(A56&lt;Career_History!D20,0,MIN(A56,Career_History!E20)-Career_History!D20+1),0))/365.2425</f>
        <v>0</v>
      </c>
      <c r="Y56" s="9">
        <f>SUM(IF(Career_History!H18=TRUE,IF(A56&lt;Career_History!D18,0,MIN(A56,Career_History!E18)-Career_History!D18+1),0),IF(Career_History!H19=TRUE,IF(A56&lt;Career_History!D19,0,MIN(A56,Career_History!E19)-Career_History!D19+1),0),IF(Career_History!H20=TRUE,IF(A56&lt;Career_History!D20,0,MIN(A56,Career_History!E20)-Career_History!D20+1),0))/365.2425</f>
        <v>1.4209737366270354</v>
      </c>
      <c r="Z56" s="9">
        <f>SUM(IF(Career_History!G21=TRUE,IF(A56&lt;Career_History!D21,0,MIN(A56,Career_History!E21)-Career_History!D21+1),0),IF(Career_History!G22=TRUE,IF(A56&lt;Career_History!D22,0,MIN(A56,Career_History!E22)-Career_History!D22+1),0),IF(Career_History!G23=TRUE,IF(A56&lt;Career_History!D23,0,MIN(A56,Career_History!E23)-Career_History!D23+1),0),IF(Career_History!G24=TRUE,IF(A56&lt;Career_History!D24,0,MIN(A56,Career_History!E24)-Career_History!D24+1),0))/365.2425</f>
        <v>28.000574960471468</v>
      </c>
      <c r="AA56" s="9">
        <f>SUM(IF(Career_History!I21=TRUE,IF(A56&lt;Career_History!D21,0,MIN(A56,Career_History!E21)-Career_History!D21+1),0),IF(Career_History!I22=TRUE,IF(A56&lt;Career_History!D22,0,MIN(A56,Career_History!E22)-Career_History!D22+1),0),IF(Career_History!I23=TRUE,IF(A56&lt;Career_History!D23,0,MIN(A56,Career_History!E23)-Career_History!D23+1),0),IF(Career_History!I24=TRUE,IF(A56&lt;Career_History!D24,0,MIN(A56,Career_History!E24)-Career_History!D24+1),0))/365.2425</f>
        <v>26.505677734655741</v>
      </c>
      <c r="AB56" s="9">
        <f>SUM(IF(Career_History!H21=TRUE,IF(A56&lt;Career_History!D21,0,MIN(A56,Career_History!E21)-Career_History!D21+1),0),IF(Career_History!H22=TRUE,IF(A56&lt;Career_History!D22,0,MIN(A56,Career_History!E22)-Career_History!D22+1),0),IF(Career_History!H23=TRUE,IF(A56&lt;Career_History!D23,0,MIN(A56,Career_History!E23)-Career_History!D23+1),0),IF(Career_History!H24=TRUE,IF(A56&lt;Career_History!D24,0,MIN(A56,Career_History!E24)-Career_History!D24+1),0))/365.2425</f>
        <v>18.916199511283597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</row>
    <row r="57" spans="1:67">
      <c r="A57" s="8">
        <v>36372</v>
      </c>
      <c r="B57" s="9">
        <f t="shared" si="0"/>
        <v>29.035503809113123</v>
      </c>
      <c r="C57" s="9">
        <f t="shared" si="1"/>
        <v>9.6023874549100938</v>
      </c>
      <c r="D57" s="9">
        <f t="shared" si="2"/>
        <v>16.602120508976913</v>
      </c>
      <c r="E57" s="9"/>
      <c r="F57" s="9"/>
      <c r="G57" s="9"/>
      <c r="H57" s="9"/>
      <c r="I57" s="9"/>
      <c r="J57" s="9"/>
      <c r="K57" s="9"/>
      <c r="L57" s="9"/>
      <c r="M57" s="9"/>
      <c r="N57" s="9">
        <f>SUM(IF(Career_History!G12=TRUE,IF(A57&lt;Career_History!D12,0,MIN(A57,Career_History!E12)-Career_History!D12+1),0),IF(Career_History!G13=TRUE,IF(A57&lt;Career_History!D13,0,MIN(A57,Career_History!E13)-Career_History!D13+1),0))/365.2425</f>
        <v>28.085450077688112</v>
      </c>
      <c r="O57" s="9">
        <f>SUM(IF(Career_History!I12=TRUE,IF(A57&lt;Career_History!D12,0,MIN(A57,Career_History!E12)-Career_History!D12+1),0),IF(Career_History!I13=TRUE,IF(A57&lt;Career_History!D13,0,MIN(A57,Career_History!E13)-Career_History!D13+1),0))/365.2425</f>
        <v>0</v>
      </c>
      <c r="P57" s="9">
        <f>SUM(IF(Career_History!H12=TRUE,IF(A57&lt;Career_History!D12,0,MIN(A57,Career_History!E12)-Career_History!D12+1),0),IF(Career_History!H13=TRUE,IF(A57&lt;Career_History!D13,0,MIN(A57,Career_History!E13)-Career_History!D13+1),0))/365.2425</f>
        <v>4.5805184226917728</v>
      </c>
      <c r="Q57" s="9">
        <f>SUM(IF(Career_History!G14=TRUE,IF(A57&lt;Career_History!D14,0,MIN(A57,Career_History!E14)-Career_History!D14+1),0),IF(Career_History!G15=TRUE,IF(A57&lt;Career_History!D15,0,MIN(A57,Career_History!E15)-Career_History!D15+1),0))/365.2425</f>
        <v>33.837792699370965</v>
      </c>
      <c r="R57" s="9">
        <f>SUM(IF(Career_History!I14=TRUE,IF(A57&lt;Career_History!D14,0,MIN(A57,Career_History!E14)-Career_History!D14+1),0),IF(Career_History!I15=TRUE,IF(A57&lt;Career_History!D15,0,MIN(A57,Career_History!E15)-Career_History!D15+1),0))/365.2425</f>
        <v>0</v>
      </c>
      <c r="S57" s="9">
        <f>SUM(IF(Career_History!H14=TRUE,IF(A57&lt;Career_History!D14,0,MIN(A57,Career_History!E14)-Career_History!D14+1),0),IF(Career_History!H15=TRUE,IF(A57&lt;Career_History!D15,0,MIN(A57,Career_History!E15)-Career_History!D15+1),0))/365.2425</f>
        <v>33.837792699370965</v>
      </c>
      <c r="T57" s="9">
        <f>SUM(IF(Career_History!G16=TRUE,IF(A57&lt;Career_History!D16,0,MIN(A57,Career_History!E16)-Career_History!D16+1),0),IF(Career_History!G17=TRUE,IF(A57&lt;Career_History!D17,0,MIN(A57,Career_History!E17)-Career_History!D17+1),0))/365.2425</f>
        <v>24.085367940477902</v>
      </c>
      <c r="U57" s="9">
        <f>SUM(IF(Career_History!I16=TRUE,IF(A57&lt;Career_History!D16,0,MIN(A57,Career_History!E16)-Career_History!D16+1),0),IF(Career_History!I17=TRUE,IF(A57&lt;Career_History!D17,0,MIN(A57,Career_History!E17)-Career_History!D17+1),0))/365.2425</f>
        <v>21.506259539894728</v>
      </c>
      <c r="V57" s="9">
        <f>SUM(IF(Career_History!H16=TRUE,IF(A57&lt;Career_History!D16,0,MIN(A57,Career_History!E16)-Career_History!D16+1),0),IF(Career_History!H17=TRUE,IF(A57&lt;Career_History!D17,0,MIN(A57,Career_History!E17)-Career_History!D17+1),0))/365.2425</f>
        <v>24.085367940477902</v>
      </c>
      <c r="W57" s="9">
        <f>SUM(IF(Career_History!G18=TRUE,IF(A57&lt;Career_History!D18,0,MIN(A57,Career_History!E18)-Career_History!D18+1),0),IF(Career_History!G19=TRUE,IF(A57&lt;Career_History!D19,0,MIN(A57,Career_History!E19)-Career_History!D19+1),0),IF(Career_History!G20=TRUE,IF(A57&lt;Career_History!D20,0,MIN(A57,Career_History!E20)-Career_History!D20+1),0))/365.2425</f>
        <v>31.083458250340527</v>
      </c>
      <c r="X57" s="9">
        <f>SUM(IF(Career_History!I18=TRUE,IF(A57&lt;Career_History!D18,0,MIN(A57,Career_History!E18)-Career_History!D18+1),0),IF(Career_History!I19=TRUE,IF(A57&lt;Career_History!D19,0,MIN(A57,Career_History!E19)-Career_History!D19+1),0),IF(Career_History!I20=TRUE,IF(A57&lt;Career_History!D20,0,MIN(A57,Career_History!E20)-Career_History!D20+1),0))/365.2425</f>
        <v>0</v>
      </c>
      <c r="Y57" s="9">
        <f>SUM(IF(Career_History!H18=TRUE,IF(A57&lt;Career_History!D18,0,MIN(A57,Career_History!E18)-Career_History!D18+1),0),IF(Career_History!H19=TRUE,IF(A57&lt;Career_History!D19,0,MIN(A57,Career_History!E19)-Career_History!D19+1),0),IF(Career_History!H20=TRUE,IF(A57&lt;Career_History!D20,0,MIN(A57,Career_History!E20)-Career_History!D20+1),0))/365.2425</f>
        <v>1.5058488538436792</v>
      </c>
      <c r="Z57" s="9">
        <f>SUM(IF(Career_History!G21=TRUE,IF(A57&lt;Career_History!D21,0,MIN(A57,Career_History!E21)-Career_History!D21+1),0),IF(Career_History!G22=TRUE,IF(A57&lt;Career_History!D22,0,MIN(A57,Career_History!E22)-Career_History!D22+1),0),IF(Career_History!G23=TRUE,IF(A57&lt;Career_History!D23,0,MIN(A57,Career_History!E23)-Career_History!D23+1),0),IF(Career_History!G24=TRUE,IF(A57&lt;Career_History!D24,0,MIN(A57,Career_History!E24)-Career_History!D24+1),0))/365.2425</f>
        <v>28.085450077688112</v>
      </c>
      <c r="AA57" s="9">
        <f>SUM(IF(Career_History!I21=TRUE,IF(A57&lt;Career_History!D21,0,MIN(A57,Career_History!E21)-Career_History!D21+1),0),IF(Career_History!I22=TRUE,IF(A57&lt;Career_History!D22,0,MIN(A57,Career_History!E22)-Career_History!D22+1),0),IF(Career_History!I23=TRUE,IF(A57&lt;Career_History!D23,0,MIN(A57,Career_History!E23)-Career_History!D23+1),0),IF(Career_History!I24=TRUE,IF(A57&lt;Career_History!D24,0,MIN(A57,Career_History!E24)-Career_History!D24+1),0))/365.2425</f>
        <v>26.505677734655741</v>
      </c>
      <c r="AB57" s="9">
        <f>SUM(IF(Career_History!H21=TRUE,IF(A57&lt;Career_History!D21,0,MIN(A57,Career_History!E21)-Career_History!D21+1),0),IF(Career_History!H22=TRUE,IF(A57&lt;Career_History!D22,0,MIN(A57,Career_History!E22)-Career_History!D22+1),0),IF(Career_History!H23=TRUE,IF(A57&lt;Career_History!D23,0,MIN(A57,Career_History!E23)-Career_History!D23+1),0),IF(Career_History!H24=TRUE,IF(A57&lt;Career_History!D24,0,MIN(A57,Career_History!E24)-Career_History!D24+1),0))/365.2425</f>
        <v>19.001074628500241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</row>
    <row r="58" spans="1:67">
      <c r="A58" s="8">
        <v>36403</v>
      </c>
      <c r="B58" s="9">
        <f t="shared" si="0"/>
        <v>29.120378926329767</v>
      </c>
      <c r="C58" s="9">
        <f t="shared" si="1"/>
        <v>9.6023874549100938</v>
      </c>
      <c r="D58" s="9">
        <f t="shared" si="2"/>
        <v>16.686995626193557</v>
      </c>
      <c r="E58" s="9"/>
      <c r="F58" s="9"/>
      <c r="G58" s="9"/>
      <c r="H58" s="9"/>
      <c r="I58" s="9"/>
      <c r="J58" s="9"/>
      <c r="K58" s="9"/>
      <c r="L58" s="9"/>
      <c r="M58" s="9"/>
      <c r="N58" s="9">
        <f>SUM(IF(Career_History!G12=TRUE,IF(A58&lt;Career_History!D12,0,MIN(A58,Career_History!E12)-Career_History!D12+1),0),IF(Career_History!G13=TRUE,IF(A58&lt;Career_History!D13,0,MIN(A58,Career_History!E13)-Career_History!D13+1),0))/365.2425</f>
        <v>28.170325194904756</v>
      </c>
      <c r="O58" s="9">
        <f>SUM(IF(Career_History!I12=TRUE,IF(A58&lt;Career_History!D12,0,MIN(A58,Career_History!E12)-Career_History!D12+1),0),IF(Career_History!I13=TRUE,IF(A58&lt;Career_History!D13,0,MIN(A58,Career_History!E13)-Career_History!D13+1),0))/365.2425</f>
        <v>0</v>
      </c>
      <c r="P58" s="9">
        <f>SUM(IF(Career_History!H12=TRUE,IF(A58&lt;Career_History!D12,0,MIN(A58,Career_History!E12)-Career_History!D12+1),0),IF(Career_History!H13=TRUE,IF(A58&lt;Career_History!D13,0,MIN(A58,Career_History!E13)-Career_History!D13+1),0))/365.2425</f>
        <v>4.6653935399084165</v>
      </c>
      <c r="Q58" s="9">
        <f>SUM(IF(Career_History!G14=TRUE,IF(A58&lt;Career_History!D14,0,MIN(A58,Career_History!E14)-Career_History!D14+1),0),IF(Career_History!G15=TRUE,IF(A58&lt;Career_History!D15,0,MIN(A58,Career_History!E15)-Career_History!D15+1),0))/365.2425</f>
        <v>33.922667816587612</v>
      </c>
      <c r="R58" s="9">
        <f>SUM(IF(Career_History!I14=TRUE,IF(A58&lt;Career_History!D14,0,MIN(A58,Career_History!E14)-Career_History!D14+1),0),IF(Career_History!I15=TRUE,IF(A58&lt;Career_History!D15,0,MIN(A58,Career_History!E15)-Career_History!D15+1),0))/365.2425</f>
        <v>0</v>
      </c>
      <c r="S58" s="9">
        <f>SUM(IF(Career_History!H14=TRUE,IF(A58&lt;Career_History!D14,0,MIN(A58,Career_History!E14)-Career_History!D14+1),0),IF(Career_History!H15=TRUE,IF(A58&lt;Career_History!D15,0,MIN(A58,Career_History!E15)-Career_History!D15+1),0))/365.2425</f>
        <v>33.922667816587612</v>
      </c>
      <c r="T58" s="9">
        <f>SUM(IF(Career_History!G16=TRUE,IF(A58&lt;Career_History!D16,0,MIN(A58,Career_History!E16)-Career_History!D16+1),0),IF(Career_History!G17=TRUE,IF(A58&lt;Career_History!D17,0,MIN(A58,Career_History!E17)-Career_History!D17+1),0))/365.2425</f>
        <v>24.170243057694545</v>
      </c>
      <c r="U58" s="9">
        <f>SUM(IF(Career_History!I16=TRUE,IF(A58&lt;Career_History!D16,0,MIN(A58,Career_History!E16)-Career_History!D16+1),0),IF(Career_History!I17=TRUE,IF(A58&lt;Career_History!D17,0,MIN(A58,Career_History!E17)-Career_History!D17+1),0))/365.2425</f>
        <v>21.506259539894728</v>
      </c>
      <c r="V58" s="9">
        <f>SUM(IF(Career_History!H16=TRUE,IF(A58&lt;Career_History!D16,0,MIN(A58,Career_History!E16)-Career_History!D16+1),0),IF(Career_History!H17=TRUE,IF(A58&lt;Career_History!D17,0,MIN(A58,Career_History!E17)-Career_History!D17+1),0))/365.2425</f>
        <v>24.170243057694545</v>
      </c>
      <c r="W58" s="9">
        <f>SUM(IF(Career_History!G18=TRUE,IF(A58&lt;Career_History!D18,0,MIN(A58,Career_History!E18)-Career_History!D18+1),0),IF(Career_History!G19=TRUE,IF(A58&lt;Career_History!D19,0,MIN(A58,Career_History!E19)-Career_History!D19+1),0),IF(Career_History!G20=TRUE,IF(A58&lt;Career_History!D20,0,MIN(A58,Career_History!E20)-Career_History!D20+1),0))/365.2425</f>
        <v>31.168333367557171</v>
      </c>
      <c r="X58" s="9">
        <f>SUM(IF(Career_History!I18=TRUE,IF(A58&lt;Career_History!D18,0,MIN(A58,Career_History!E18)-Career_History!D18+1),0),IF(Career_History!I19=TRUE,IF(A58&lt;Career_History!D19,0,MIN(A58,Career_History!E19)-Career_History!D19+1),0),IF(Career_History!I20=TRUE,IF(A58&lt;Career_History!D20,0,MIN(A58,Career_History!E20)-Career_History!D20+1),0))/365.2425</f>
        <v>0</v>
      </c>
      <c r="Y58" s="9">
        <f>SUM(IF(Career_History!H18=TRUE,IF(A58&lt;Career_History!D18,0,MIN(A58,Career_History!E18)-Career_History!D18+1),0),IF(Career_History!H19=TRUE,IF(A58&lt;Career_History!D19,0,MIN(A58,Career_History!E19)-Career_History!D19+1),0),IF(Career_History!H20=TRUE,IF(A58&lt;Career_History!D20,0,MIN(A58,Career_History!E20)-Career_History!D20+1),0))/365.2425</f>
        <v>1.5907239710603229</v>
      </c>
      <c r="Z58" s="9">
        <f>SUM(IF(Career_History!G21=TRUE,IF(A58&lt;Career_History!D21,0,MIN(A58,Career_History!E21)-Career_History!D21+1),0),IF(Career_History!G22=TRUE,IF(A58&lt;Career_History!D22,0,MIN(A58,Career_History!E22)-Career_History!D22+1),0),IF(Career_History!G23=TRUE,IF(A58&lt;Career_History!D23,0,MIN(A58,Career_History!E23)-Career_History!D23+1),0),IF(Career_History!G24=TRUE,IF(A58&lt;Career_History!D24,0,MIN(A58,Career_History!E24)-Career_History!D24+1),0))/365.2425</f>
        <v>28.170325194904756</v>
      </c>
      <c r="AA58" s="9">
        <f>SUM(IF(Career_History!I21=TRUE,IF(A58&lt;Career_History!D21,0,MIN(A58,Career_History!E21)-Career_History!D21+1),0),IF(Career_History!I22=TRUE,IF(A58&lt;Career_History!D22,0,MIN(A58,Career_History!E22)-Career_History!D22+1),0),IF(Career_History!I23=TRUE,IF(A58&lt;Career_History!D23,0,MIN(A58,Career_History!E23)-Career_History!D23+1),0),IF(Career_History!I24=TRUE,IF(A58&lt;Career_History!D24,0,MIN(A58,Career_History!E24)-Career_History!D24+1),0))/365.2425</f>
        <v>26.505677734655741</v>
      </c>
      <c r="AB58" s="9">
        <f>SUM(IF(Career_History!H21=TRUE,IF(A58&lt;Career_History!D21,0,MIN(A58,Career_History!E21)-Career_History!D21+1),0),IF(Career_History!H22=TRUE,IF(A58&lt;Career_History!D22,0,MIN(A58,Career_History!E22)-Career_History!D22+1),0),IF(Career_History!H23=TRUE,IF(A58&lt;Career_History!D23,0,MIN(A58,Career_History!E23)-Career_History!D23+1),0),IF(Career_History!H24=TRUE,IF(A58&lt;Career_History!D24,0,MIN(A58,Career_History!E24)-Career_History!D24+1),0))/365.2425</f>
        <v>19.085949745716885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</row>
    <row r="59" spans="1:67">
      <c r="A59" s="8">
        <v>36433</v>
      </c>
      <c r="B59" s="9">
        <f t="shared" si="0"/>
        <v>29.202516136539423</v>
      </c>
      <c r="C59" s="9">
        <f t="shared" si="1"/>
        <v>9.6023874549100938</v>
      </c>
      <c r="D59" s="9">
        <f t="shared" si="2"/>
        <v>16.769132836403209</v>
      </c>
      <c r="E59" s="9"/>
      <c r="F59" s="9"/>
      <c r="G59" s="9"/>
      <c r="H59" s="9"/>
      <c r="I59" s="9"/>
      <c r="J59" s="9"/>
      <c r="K59" s="9"/>
      <c r="L59" s="9"/>
      <c r="M59" s="9"/>
      <c r="N59" s="9">
        <f>SUM(IF(Career_History!G12=TRUE,IF(A59&lt;Career_History!D12,0,MIN(A59,Career_History!E12)-Career_History!D12+1),0),IF(Career_History!G13=TRUE,IF(A59&lt;Career_History!D13,0,MIN(A59,Career_History!E13)-Career_History!D13+1),0))/365.2425</f>
        <v>28.252462405114411</v>
      </c>
      <c r="O59" s="9">
        <f>SUM(IF(Career_History!I12=TRUE,IF(A59&lt;Career_History!D12,0,MIN(A59,Career_History!E12)-Career_History!D12+1),0),IF(Career_History!I13=TRUE,IF(A59&lt;Career_History!D13,0,MIN(A59,Career_History!E13)-Career_History!D13+1),0))/365.2425</f>
        <v>0</v>
      </c>
      <c r="P59" s="9">
        <f>SUM(IF(Career_History!H12=TRUE,IF(A59&lt;Career_History!D12,0,MIN(A59,Career_History!E12)-Career_History!D12+1),0),IF(Career_History!H13=TRUE,IF(A59&lt;Career_History!D13,0,MIN(A59,Career_History!E13)-Career_History!D13+1),0))/365.2425</f>
        <v>4.7475307501180719</v>
      </c>
      <c r="Q59" s="9">
        <f>SUM(IF(Career_History!G14=TRUE,IF(A59&lt;Career_History!D14,0,MIN(A59,Career_History!E14)-Career_History!D14+1),0),IF(Career_History!G15=TRUE,IF(A59&lt;Career_History!D15,0,MIN(A59,Career_History!E15)-Career_History!D15+1),0))/365.2425</f>
        <v>34.004805026797264</v>
      </c>
      <c r="R59" s="9">
        <f>SUM(IF(Career_History!I14=TRUE,IF(A59&lt;Career_History!D14,0,MIN(A59,Career_History!E14)-Career_History!D14+1),0),IF(Career_History!I15=TRUE,IF(A59&lt;Career_History!D15,0,MIN(A59,Career_History!E15)-Career_History!D15+1),0))/365.2425</f>
        <v>0</v>
      </c>
      <c r="S59" s="9">
        <f>SUM(IF(Career_History!H14=TRUE,IF(A59&lt;Career_History!D14,0,MIN(A59,Career_History!E14)-Career_History!D14+1),0),IF(Career_History!H15=TRUE,IF(A59&lt;Career_History!D15,0,MIN(A59,Career_History!E15)-Career_History!D15+1),0))/365.2425</f>
        <v>34.004805026797264</v>
      </c>
      <c r="T59" s="9">
        <f>SUM(IF(Career_History!G16=TRUE,IF(A59&lt;Career_History!D16,0,MIN(A59,Career_History!E16)-Career_History!D16+1),0),IF(Career_History!G17=TRUE,IF(A59&lt;Career_History!D17,0,MIN(A59,Career_History!E17)-Career_History!D17+1),0))/365.2425</f>
        <v>24.252380267904201</v>
      </c>
      <c r="U59" s="9">
        <f>SUM(IF(Career_History!I16=TRUE,IF(A59&lt;Career_History!D16,0,MIN(A59,Career_History!E16)-Career_History!D16+1),0),IF(Career_History!I17=TRUE,IF(A59&lt;Career_History!D17,0,MIN(A59,Career_History!E17)-Career_History!D17+1),0))/365.2425</f>
        <v>21.506259539894728</v>
      </c>
      <c r="V59" s="9">
        <f>SUM(IF(Career_History!H16=TRUE,IF(A59&lt;Career_History!D16,0,MIN(A59,Career_History!E16)-Career_History!D16+1),0),IF(Career_History!H17=TRUE,IF(A59&lt;Career_History!D17,0,MIN(A59,Career_History!E17)-Career_History!D17+1),0))/365.2425</f>
        <v>24.252380267904201</v>
      </c>
      <c r="W59" s="9">
        <f>SUM(IF(Career_History!G18=TRUE,IF(A59&lt;Career_History!D18,0,MIN(A59,Career_History!E18)-Career_History!D18+1),0),IF(Career_History!G19=TRUE,IF(A59&lt;Career_History!D19,0,MIN(A59,Career_History!E19)-Career_History!D19+1),0),IF(Career_History!G20=TRUE,IF(A59&lt;Career_History!D20,0,MIN(A59,Career_History!E20)-Career_History!D20+1),0))/365.2425</f>
        <v>31.250470577766826</v>
      </c>
      <c r="X59" s="9">
        <f>SUM(IF(Career_History!I18=TRUE,IF(A59&lt;Career_History!D18,0,MIN(A59,Career_History!E18)-Career_History!D18+1),0),IF(Career_History!I19=TRUE,IF(A59&lt;Career_History!D19,0,MIN(A59,Career_History!E19)-Career_History!D19+1),0),IF(Career_History!I20=TRUE,IF(A59&lt;Career_History!D20,0,MIN(A59,Career_History!E20)-Career_History!D20+1),0))/365.2425</f>
        <v>0</v>
      </c>
      <c r="Y59" s="9">
        <f>SUM(IF(Career_History!H18=TRUE,IF(A59&lt;Career_History!D18,0,MIN(A59,Career_History!E18)-Career_History!D18+1),0),IF(Career_History!H19=TRUE,IF(A59&lt;Career_History!D19,0,MIN(A59,Career_History!E19)-Career_History!D19+1),0),IF(Career_History!H20=TRUE,IF(A59&lt;Career_History!D20,0,MIN(A59,Career_History!E20)-Career_History!D20+1),0))/365.2425</f>
        <v>1.6728611812699781</v>
      </c>
      <c r="Z59" s="9">
        <f>SUM(IF(Career_History!G21=TRUE,IF(A59&lt;Career_History!D21,0,MIN(A59,Career_History!E21)-Career_History!D21+1),0),IF(Career_History!G22=TRUE,IF(A59&lt;Career_History!D22,0,MIN(A59,Career_History!E22)-Career_History!D22+1),0),IF(Career_History!G23=TRUE,IF(A59&lt;Career_History!D23,0,MIN(A59,Career_History!E23)-Career_History!D23+1),0),IF(Career_History!G24=TRUE,IF(A59&lt;Career_History!D24,0,MIN(A59,Career_History!E24)-Career_History!D24+1),0))/365.2425</f>
        <v>28.252462405114411</v>
      </c>
      <c r="AA59" s="9">
        <f>SUM(IF(Career_History!I21=TRUE,IF(A59&lt;Career_History!D21,0,MIN(A59,Career_History!E21)-Career_History!D21+1),0),IF(Career_History!I22=TRUE,IF(A59&lt;Career_History!D22,0,MIN(A59,Career_History!E22)-Career_History!D22+1),0),IF(Career_History!I23=TRUE,IF(A59&lt;Career_History!D23,0,MIN(A59,Career_History!E23)-Career_History!D23+1),0),IF(Career_History!I24=TRUE,IF(A59&lt;Career_History!D24,0,MIN(A59,Career_History!E24)-Career_History!D24+1),0))/365.2425</f>
        <v>26.505677734655741</v>
      </c>
      <c r="AB59" s="9">
        <f>SUM(IF(Career_History!H21=TRUE,IF(A59&lt;Career_History!D21,0,MIN(A59,Career_History!E21)-Career_History!D21+1),0),IF(Career_History!H22=TRUE,IF(A59&lt;Career_History!D22,0,MIN(A59,Career_History!E22)-Career_History!D22+1),0),IF(Career_History!H23=TRUE,IF(A59&lt;Career_History!D23,0,MIN(A59,Career_History!E23)-Career_History!D23+1),0),IF(Career_History!H24=TRUE,IF(A59&lt;Career_History!D24,0,MIN(A59,Career_History!E24)-Career_History!D24+1),0))/365.2425</f>
        <v>19.16808695592654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</row>
    <row r="60" spans="1:67">
      <c r="A60" s="8">
        <v>36464</v>
      </c>
      <c r="B60" s="9">
        <f t="shared" si="0"/>
        <v>29.287391253756066</v>
      </c>
      <c r="C60" s="9">
        <f t="shared" si="1"/>
        <v>9.6023874549100938</v>
      </c>
      <c r="D60" s="9">
        <f t="shared" si="2"/>
        <v>16.854007953619853</v>
      </c>
      <c r="E60" s="9"/>
      <c r="F60" s="9"/>
      <c r="G60" s="9"/>
      <c r="H60" s="9"/>
      <c r="I60" s="9"/>
      <c r="J60" s="9"/>
      <c r="K60" s="9"/>
      <c r="L60" s="9"/>
      <c r="M60" s="9"/>
      <c r="N60" s="9">
        <f>SUM(IF(Career_History!G12=TRUE,IF(A60&lt;Career_History!D12,0,MIN(A60,Career_History!E12)-Career_History!D12+1),0),IF(Career_History!G13=TRUE,IF(A60&lt;Career_History!D13,0,MIN(A60,Career_History!E13)-Career_History!D13+1),0))/365.2425</f>
        <v>28.337337522331055</v>
      </c>
      <c r="O60" s="9">
        <f>SUM(IF(Career_History!I12=TRUE,IF(A60&lt;Career_History!D12,0,MIN(A60,Career_History!E12)-Career_History!D12+1),0),IF(Career_History!I13=TRUE,IF(A60&lt;Career_History!D13,0,MIN(A60,Career_History!E13)-Career_History!D13+1),0))/365.2425</f>
        <v>0</v>
      </c>
      <c r="P60" s="9">
        <f>SUM(IF(Career_History!H12=TRUE,IF(A60&lt;Career_History!D12,0,MIN(A60,Career_History!E12)-Career_History!D12+1),0),IF(Career_History!H13=TRUE,IF(A60&lt;Career_History!D13,0,MIN(A60,Career_History!E13)-Career_History!D13+1),0))/365.2425</f>
        <v>4.8324058673347157</v>
      </c>
      <c r="Q60" s="9">
        <f>SUM(IF(Career_History!G14=TRUE,IF(A60&lt;Career_History!D14,0,MIN(A60,Career_History!E14)-Career_History!D14+1),0),IF(Career_History!G15=TRUE,IF(A60&lt;Career_History!D15,0,MIN(A60,Career_History!E15)-Career_History!D15+1),0))/365.2425</f>
        <v>34.089680144013911</v>
      </c>
      <c r="R60" s="9">
        <f>SUM(IF(Career_History!I14=TRUE,IF(A60&lt;Career_History!D14,0,MIN(A60,Career_History!E14)-Career_History!D14+1),0),IF(Career_History!I15=TRUE,IF(A60&lt;Career_History!D15,0,MIN(A60,Career_History!E15)-Career_History!D15+1),0))/365.2425</f>
        <v>0</v>
      </c>
      <c r="S60" s="9">
        <f>SUM(IF(Career_History!H14=TRUE,IF(A60&lt;Career_History!D14,0,MIN(A60,Career_History!E14)-Career_History!D14+1),0),IF(Career_History!H15=TRUE,IF(A60&lt;Career_History!D15,0,MIN(A60,Career_History!E15)-Career_History!D15+1),0))/365.2425</f>
        <v>34.089680144013911</v>
      </c>
      <c r="T60" s="9">
        <f>SUM(IF(Career_History!G16=TRUE,IF(A60&lt;Career_History!D16,0,MIN(A60,Career_History!E16)-Career_History!D16+1),0),IF(Career_History!G17=TRUE,IF(A60&lt;Career_History!D17,0,MIN(A60,Career_History!E17)-Career_History!D17+1),0))/365.2425</f>
        <v>24.337255385120844</v>
      </c>
      <c r="U60" s="9">
        <f>SUM(IF(Career_History!I16=TRUE,IF(A60&lt;Career_History!D16,0,MIN(A60,Career_History!E16)-Career_History!D16+1),0),IF(Career_History!I17=TRUE,IF(A60&lt;Career_History!D17,0,MIN(A60,Career_History!E17)-Career_History!D17+1),0))/365.2425</f>
        <v>21.506259539894728</v>
      </c>
      <c r="V60" s="9">
        <f>SUM(IF(Career_History!H16=TRUE,IF(A60&lt;Career_History!D16,0,MIN(A60,Career_History!E16)-Career_History!D16+1),0),IF(Career_History!H17=TRUE,IF(A60&lt;Career_History!D17,0,MIN(A60,Career_History!E17)-Career_History!D17+1),0))/365.2425</f>
        <v>24.337255385120844</v>
      </c>
      <c r="W60" s="9">
        <f>SUM(IF(Career_History!G18=TRUE,IF(A60&lt;Career_History!D18,0,MIN(A60,Career_History!E18)-Career_History!D18+1),0),IF(Career_History!G19=TRUE,IF(A60&lt;Career_History!D19,0,MIN(A60,Career_History!E19)-Career_History!D19+1),0),IF(Career_History!G20=TRUE,IF(A60&lt;Career_History!D20,0,MIN(A60,Career_History!E20)-Career_History!D20+1),0))/365.2425</f>
        <v>31.33534569498347</v>
      </c>
      <c r="X60" s="9">
        <f>SUM(IF(Career_History!I18=TRUE,IF(A60&lt;Career_History!D18,0,MIN(A60,Career_History!E18)-Career_History!D18+1),0),IF(Career_History!I19=TRUE,IF(A60&lt;Career_History!D19,0,MIN(A60,Career_History!E19)-Career_History!D19+1),0),IF(Career_History!I20=TRUE,IF(A60&lt;Career_History!D20,0,MIN(A60,Career_History!E20)-Career_History!D20+1),0))/365.2425</f>
        <v>0</v>
      </c>
      <c r="Y60" s="9">
        <f>SUM(IF(Career_History!H18=TRUE,IF(A60&lt;Career_History!D18,0,MIN(A60,Career_History!E18)-Career_History!D18+1),0),IF(Career_History!H19=TRUE,IF(A60&lt;Career_History!D19,0,MIN(A60,Career_History!E19)-Career_History!D19+1),0),IF(Career_History!H20=TRUE,IF(A60&lt;Career_History!D20,0,MIN(A60,Career_History!E20)-Career_History!D20+1),0))/365.2425</f>
        <v>1.7577362984866218</v>
      </c>
      <c r="Z60" s="9">
        <f>SUM(IF(Career_History!G21=TRUE,IF(A60&lt;Career_History!D21,0,MIN(A60,Career_History!E21)-Career_History!D21+1),0),IF(Career_History!G22=TRUE,IF(A60&lt;Career_History!D22,0,MIN(A60,Career_History!E22)-Career_History!D22+1),0),IF(Career_History!G23=TRUE,IF(A60&lt;Career_History!D23,0,MIN(A60,Career_History!E23)-Career_History!D23+1),0),IF(Career_History!G24=TRUE,IF(A60&lt;Career_History!D24,0,MIN(A60,Career_History!E24)-Career_History!D24+1),0))/365.2425</f>
        <v>28.337337522331055</v>
      </c>
      <c r="AA60" s="9">
        <f>SUM(IF(Career_History!I21=TRUE,IF(A60&lt;Career_History!D21,0,MIN(A60,Career_History!E21)-Career_History!D21+1),0),IF(Career_History!I22=TRUE,IF(A60&lt;Career_History!D22,0,MIN(A60,Career_History!E22)-Career_History!D22+1),0),IF(Career_History!I23=TRUE,IF(A60&lt;Career_History!D23,0,MIN(A60,Career_History!E23)-Career_History!D23+1),0),IF(Career_History!I24=TRUE,IF(A60&lt;Career_History!D24,0,MIN(A60,Career_History!E24)-Career_History!D24+1),0))/365.2425</f>
        <v>26.505677734655741</v>
      </c>
      <c r="AB60" s="9">
        <f>SUM(IF(Career_History!H21=TRUE,IF(A60&lt;Career_History!D21,0,MIN(A60,Career_History!E21)-Career_History!D21+1),0),IF(Career_History!H22=TRUE,IF(A60&lt;Career_History!D22,0,MIN(A60,Career_History!E22)-Career_History!D22+1),0),IF(Career_History!H23=TRUE,IF(A60&lt;Career_History!D23,0,MIN(A60,Career_History!E23)-Career_History!D23+1),0),IF(Career_History!H24=TRUE,IF(A60&lt;Career_History!D24,0,MIN(A60,Career_History!E24)-Career_History!D24+1),0))/365.2425</f>
        <v>19.252962073143184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</row>
    <row r="61" spans="1:67">
      <c r="A61" s="8">
        <v>36494</v>
      </c>
      <c r="B61" s="9">
        <f t="shared" si="0"/>
        <v>29.369528463965718</v>
      </c>
      <c r="C61" s="9">
        <f t="shared" si="1"/>
        <v>9.6023874549100938</v>
      </c>
      <c r="D61" s="9">
        <f t="shared" si="2"/>
        <v>16.936145163829508</v>
      </c>
      <c r="E61" s="9"/>
      <c r="F61" s="9"/>
      <c r="G61" s="9"/>
      <c r="H61" s="9"/>
      <c r="I61" s="9"/>
      <c r="J61" s="9"/>
      <c r="K61" s="9"/>
      <c r="L61" s="9"/>
      <c r="M61" s="9"/>
      <c r="N61" s="9">
        <f>SUM(IF(Career_History!G12=TRUE,IF(A61&lt;Career_History!D12,0,MIN(A61,Career_History!E12)-Career_History!D12+1),0),IF(Career_History!G13=TRUE,IF(A61&lt;Career_History!D13,0,MIN(A61,Career_History!E13)-Career_History!D13+1),0))/365.2425</f>
        <v>28.41947473254071</v>
      </c>
      <c r="O61" s="9">
        <f>SUM(IF(Career_History!I12=TRUE,IF(A61&lt;Career_History!D12,0,MIN(A61,Career_History!E12)-Career_History!D12+1),0),IF(Career_History!I13=TRUE,IF(A61&lt;Career_History!D13,0,MIN(A61,Career_History!E13)-Career_History!D13+1),0))/365.2425</f>
        <v>0</v>
      </c>
      <c r="P61" s="9">
        <f>SUM(IF(Career_History!H12=TRUE,IF(A61&lt;Career_History!D12,0,MIN(A61,Career_History!E12)-Career_History!D12+1),0),IF(Career_History!H13=TRUE,IF(A61&lt;Career_History!D13,0,MIN(A61,Career_History!E13)-Career_History!D13+1),0))/365.2425</f>
        <v>4.914543077544371</v>
      </c>
      <c r="Q61" s="9">
        <f>SUM(IF(Career_History!G14=TRUE,IF(A61&lt;Career_History!D14,0,MIN(A61,Career_History!E14)-Career_History!D14+1),0),IF(Career_History!G15=TRUE,IF(A61&lt;Career_History!D15,0,MIN(A61,Career_History!E15)-Career_History!D15+1),0))/365.2425</f>
        <v>34.171817354223563</v>
      </c>
      <c r="R61" s="9">
        <f>SUM(IF(Career_History!I14=TRUE,IF(A61&lt;Career_History!D14,0,MIN(A61,Career_History!E14)-Career_History!D14+1),0),IF(Career_History!I15=TRUE,IF(A61&lt;Career_History!D15,0,MIN(A61,Career_History!E15)-Career_History!D15+1),0))/365.2425</f>
        <v>0</v>
      </c>
      <c r="S61" s="9">
        <f>SUM(IF(Career_History!H14=TRUE,IF(A61&lt;Career_History!D14,0,MIN(A61,Career_History!E14)-Career_History!D14+1),0),IF(Career_History!H15=TRUE,IF(A61&lt;Career_History!D15,0,MIN(A61,Career_History!E15)-Career_History!D15+1),0))/365.2425</f>
        <v>34.171817354223563</v>
      </c>
      <c r="T61" s="9">
        <f>SUM(IF(Career_History!G16=TRUE,IF(A61&lt;Career_History!D16,0,MIN(A61,Career_History!E16)-Career_History!D16+1),0),IF(Career_History!G17=TRUE,IF(A61&lt;Career_History!D17,0,MIN(A61,Career_History!E17)-Career_History!D17+1),0))/365.2425</f>
        <v>24.4193925953305</v>
      </c>
      <c r="U61" s="9">
        <f>SUM(IF(Career_History!I16=TRUE,IF(A61&lt;Career_History!D16,0,MIN(A61,Career_History!E16)-Career_History!D16+1),0),IF(Career_History!I17=TRUE,IF(A61&lt;Career_History!D17,0,MIN(A61,Career_History!E17)-Career_History!D17+1),0))/365.2425</f>
        <v>21.506259539894728</v>
      </c>
      <c r="V61" s="9">
        <f>SUM(IF(Career_History!H16=TRUE,IF(A61&lt;Career_History!D16,0,MIN(A61,Career_History!E16)-Career_History!D16+1),0),IF(Career_History!H17=TRUE,IF(A61&lt;Career_History!D17,0,MIN(A61,Career_History!E17)-Career_History!D17+1),0))/365.2425</f>
        <v>24.4193925953305</v>
      </c>
      <c r="W61" s="9">
        <f>SUM(IF(Career_History!G18=TRUE,IF(A61&lt;Career_History!D18,0,MIN(A61,Career_History!E18)-Career_History!D18+1),0),IF(Career_History!G19=TRUE,IF(A61&lt;Career_History!D19,0,MIN(A61,Career_History!E19)-Career_History!D19+1),0),IF(Career_History!G20=TRUE,IF(A61&lt;Career_History!D20,0,MIN(A61,Career_History!E20)-Career_History!D20+1),0))/365.2425</f>
        <v>31.417482905193125</v>
      </c>
      <c r="X61" s="9">
        <f>SUM(IF(Career_History!I18=TRUE,IF(A61&lt;Career_History!D18,0,MIN(A61,Career_History!E18)-Career_History!D18+1),0),IF(Career_History!I19=TRUE,IF(A61&lt;Career_History!D19,0,MIN(A61,Career_History!E19)-Career_History!D19+1),0),IF(Career_History!I20=TRUE,IF(A61&lt;Career_History!D20,0,MIN(A61,Career_History!E20)-Career_History!D20+1),0))/365.2425</f>
        <v>0</v>
      </c>
      <c r="Y61" s="9">
        <f>SUM(IF(Career_History!H18=TRUE,IF(A61&lt;Career_History!D18,0,MIN(A61,Career_History!E18)-Career_History!D18+1),0),IF(Career_History!H19=TRUE,IF(A61&lt;Career_History!D19,0,MIN(A61,Career_History!E19)-Career_History!D19+1),0),IF(Career_History!H20=TRUE,IF(A61&lt;Career_History!D20,0,MIN(A61,Career_History!E20)-Career_History!D20+1),0))/365.2425</f>
        <v>1.8398735086962772</v>
      </c>
      <c r="Z61" s="9">
        <f>SUM(IF(Career_History!G21=TRUE,IF(A61&lt;Career_History!D21,0,MIN(A61,Career_History!E21)-Career_History!D21+1),0),IF(Career_History!G22=TRUE,IF(A61&lt;Career_History!D22,0,MIN(A61,Career_History!E22)-Career_History!D22+1),0),IF(Career_History!G23=TRUE,IF(A61&lt;Career_History!D23,0,MIN(A61,Career_History!E23)-Career_History!D23+1),0),IF(Career_History!G24=TRUE,IF(A61&lt;Career_History!D24,0,MIN(A61,Career_History!E24)-Career_History!D24+1),0))/365.2425</f>
        <v>28.41947473254071</v>
      </c>
      <c r="AA61" s="9">
        <f>SUM(IF(Career_History!I21=TRUE,IF(A61&lt;Career_History!D21,0,MIN(A61,Career_History!E21)-Career_History!D21+1),0),IF(Career_History!I22=TRUE,IF(A61&lt;Career_History!D22,0,MIN(A61,Career_History!E22)-Career_History!D22+1),0),IF(Career_History!I23=TRUE,IF(A61&lt;Career_History!D23,0,MIN(A61,Career_History!E23)-Career_History!D23+1),0),IF(Career_History!I24=TRUE,IF(A61&lt;Career_History!D24,0,MIN(A61,Career_History!E24)-Career_History!D24+1),0))/365.2425</f>
        <v>26.505677734655741</v>
      </c>
      <c r="AB61" s="9">
        <f>SUM(IF(Career_History!H21=TRUE,IF(A61&lt;Career_History!D21,0,MIN(A61,Career_History!E21)-Career_History!D21+1),0),IF(Career_History!H22=TRUE,IF(A61&lt;Career_History!D22,0,MIN(A61,Career_History!E22)-Career_History!D22+1),0),IF(Career_History!H23=TRUE,IF(A61&lt;Career_History!D23,0,MIN(A61,Career_History!E23)-Career_History!D23+1),0),IF(Career_History!H24=TRUE,IF(A61&lt;Career_History!D24,0,MIN(A61,Career_History!E24)-Career_History!D24+1),0))/365.2425</f>
        <v>19.335099283352839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</row>
    <row r="62" spans="1:67">
      <c r="A62" s="8">
        <v>36525</v>
      </c>
      <c r="B62" s="9">
        <f t="shared" si="0"/>
        <v>29.454403581182362</v>
      </c>
      <c r="C62" s="9">
        <f t="shared" si="1"/>
        <v>9.6023874549100938</v>
      </c>
      <c r="D62" s="9">
        <f t="shared" si="2"/>
        <v>17.021020281046155</v>
      </c>
      <c r="E62" s="9"/>
      <c r="F62" s="9"/>
      <c r="G62" s="9"/>
      <c r="H62" s="9"/>
      <c r="I62" s="9"/>
      <c r="J62" s="9"/>
      <c r="K62" s="9"/>
      <c r="L62" s="9"/>
      <c r="M62" s="9"/>
      <c r="N62" s="9">
        <f>SUM(IF(Career_History!G12=TRUE,IF(A62&lt;Career_History!D12,0,MIN(A62,Career_History!E12)-Career_History!D12+1),0),IF(Career_History!G13=TRUE,IF(A62&lt;Career_History!D13,0,MIN(A62,Career_History!E13)-Career_History!D13+1),0))/365.2425</f>
        <v>28.504349849757354</v>
      </c>
      <c r="O62" s="9">
        <f>SUM(IF(Career_History!I12=TRUE,IF(A62&lt;Career_History!D12,0,MIN(A62,Career_History!E12)-Career_History!D12+1),0),IF(Career_History!I13=TRUE,IF(A62&lt;Career_History!D13,0,MIN(A62,Career_History!E13)-Career_History!D13+1),0))/365.2425</f>
        <v>0</v>
      </c>
      <c r="P62" s="9">
        <f>SUM(IF(Career_History!H12=TRUE,IF(A62&lt;Career_History!D12,0,MIN(A62,Career_History!E12)-Career_History!D12+1),0),IF(Career_History!H13=TRUE,IF(A62&lt;Career_History!D13,0,MIN(A62,Career_History!E13)-Career_History!D13+1),0))/365.2425</f>
        <v>4.9994181947610148</v>
      </c>
      <c r="Q62" s="9">
        <f>SUM(IF(Career_History!G14=TRUE,IF(A62&lt;Career_History!D14,0,MIN(A62,Career_History!E14)-Career_History!D14+1),0),IF(Career_History!G15=TRUE,IF(A62&lt;Career_History!D15,0,MIN(A62,Career_History!E15)-Career_History!D15+1),0))/365.2425</f>
        <v>34.256692471440203</v>
      </c>
      <c r="R62" s="9">
        <f>SUM(IF(Career_History!I14=TRUE,IF(A62&lt;Career_History!D14,0,MIN(A62,Career_History!E14)-Career_History!D14+1),0),IF(Career_History!I15=TRUE,IF(A62&lt;Career_History!D15,0,MIN(A62,Career_History!E15)-Career_History!D15+1),0))/365.2425</f>
        <v>0</v>
      </c>
      <c r="S62" s="9">
        <f>SUM(IF(Career_History!H14=TRUE,IF(A62&lt;Career_History!D14,0,MIN(A62,Career_History!E14)-Career_History!D14+1),0),IF(Career_History!H15=TRUE,IF(A62&lt;Career_History!D15,0,MIN(A62,Career_History!E15)-Career_History!D15+1),0))/365.2425</f>
        <v>34.256692471440203</v>
      </c>
      <c r="T62" s="9">
        <f>SUM(IF(Career_History!G16=TRUE,IF(A62&lt;Career_History!D16,0,MIN(A62,Career_History!E16)-Career_History!D16+1),0),IF(Career_History!G17=TRUE,IF(A62&lt;Career_History!D17,0,MIN(A62,Career_History!E17)-Career_History!D17+1),0))/365.2425</f>
        <v>24.504267712547144</v>
      </c>
      <c r="U62" s="9">
        <f>SUM(IF(Career_History!I16=TRUE,IF(A62&lt;Career_History!D16,0,MIN(A62,Career_History!E16)-Career_History!D16+1),0),IF(Career_History!I17=TRUE,IF(A62&lt;Career_History!D17,0,MIN(A62,Career_History!E17)-Career_History!D17+1),0))/365.2425</f>
        <v>21.506259539894728</v>
      </c>
      <c r="V62" s="9">
        <f>SUM(IF(Career_History!H16=TRUE,IF(A62&lt;Career_History!D16,0,MIN(A62,Career_History!E16)-Career_History!D16+1),0),IF(Career_History!H17=TRUE,IF(A62&lt;Career_History!D17,0,MIN(A62,Career_History!E17)-Career_History!D17+1),0))/365.2425</f>
        <v>24.504267712547144</v>
      </c>
      <c r="W62" s="9">
        <f>SUM(IF(Career_History!G18=TRUE,IF(A62&lt;Career_History!D18,0,MIN(A62,Career_History!E18)-Career_History!D18+1),0),IF(Career_History!G19=TRUE,IF(A62&lt;Career_History!D19,0,MIN(A62,Career_History!E19)-Career_History!D19+1),0),IF(Career_History!G20=TRUE,IF(A62&lt;Career_History!D20,0,MIN(A62,Career_History!E20)-Career_History!D20+1),0))/365.2425</f>
        <v>31.502358022409769</v>
      </c>
      <c r="X62" s="9">
        <f>SUM(IF(Career_History!I18=TRUE,IF(A62&lt;Career_History!D18,0,MIN(A62,Career_History!E18)-Career_History!D18+1),0),IF(Career_History!I19=TRUE,IF(A62&lt;Career_History!D19,0,MIN(A62,Career_History!E19)-Career_History!D19+1),0),IF(Career_History!I20=TRUE,IF(A62&lt;Career_History!D20,0,MIN(A62,Career_History!E20)-Career_History!D20+1),0))/365.2425</f>
        <v>0</v>
      </c>
      <c r="Y62" s="9">
        <f>SUM(IF(Career_History!H18=TRUE,IF(A62&lt;Career_History!D18,0,MIN(A62,Career_History!E18)-Career_History!D18+1),0),IF(Career_History!H19=TRUE,IF(A62&lt;Career_History!D19,0,MIN(A62,Career_History!E19)-Career_History!D19+1),0),IF(Career_History!H20=TRUE,IF(A62&lt;Career_History!D20,0,MIN(A62,Career_History!E20)-Career_History!D20+1),0))/365.2425</f>
        <v>1.9247486259129207</v>
      </c>
      <c r="Z62" s="9">
        <f>SUM(IF(Career_History!G21=TRUE,IF(A62&lt;Career_History!D21,0,MIN(A62,Career_History!E21)-Career_History!D21+1),0),IF(Career_History!G22=TRUE,IF(A62&lt;Career_History!D22,0,MIN(A62,Career_History!E22)-Career_History!D22+1),0),IF(Career_History!G23=TRUE,IF(A62&lt;Career_History!D23,0,MIN(A62,Career_History!E23)-Career_History!D23+1),0),IF(Career_History!G24=TRUE,IF(A62&lt;Career_History!D24,0,MIN(A62,Career_History!E24)-Career_History!D24+1),0))/365.2425</f>
        <v>28.504349849757354</v>
      </c>
      <c r="AA62" s="9">
        <f>SUM(IF(Career_History!I21=TRUE,IF(A62&lt;Career_History!D21,0,MIN(A62,Career_History!E21)-Career_History!D21+1),0),IF(Career_History!I22=TRUE,IF(A62&lt;Career_History!D22,0,MIN(A62,Career_History!E22)-Career_History!D22+1),0),IF(Career_History!I23=TRUE,IF(A62&lt;Career_History!D23,0,MIN(A62,Career_History!E23)-Career_History!D23+1),0),IF(Career_History!I24=TRUE,IF(A62&lt;Career_History!D24,0,MIN(A62,Career_History!E24)-Career_History!D24+1),0))/365.2425</f>
        <v>26.505677734655741</v>
      </c>
      <c r="AB62" s="9">
        <f>SUM(IF(Career_History!H21=TRUE,IF(A62&lt;Career_History!D21,0,MIN(A62,Career_History!E21)-Career_History!D21+1),0),IF(Career_History!H22=TRUE,IF(A62&lt;Career_History!D22,0,MIN(A62,Career_History!E22)-Career_History!D22+1),0),IF(Career_History!H23=TRUE,IF(A62&lt;Career_History!D23,0,MIN(A62,Career_History!E23)-Career_History!D23+1),0),IF(Career_History!H24=TRUE,IF(A62&lt;Career_History!D24,0,MIN(A62,Career_History!E24)-Career_History!D24+1),0))/365.2425</f>
        <v>19.419974400569483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</row>
    <row r="63" spans="1:67">
      <c r="A63" s="8">
        <v>36556</v>
      </c>
      <c r="B63" s="9">
        <f t="shared" si="0"/>
        <v>29.539278698399009</v>
      </c>
      <c r="C63" s="9">
        <f t="shared" si="1"/>
        <v>9.6023874549100938</v>
      </c>
      <c r="D63" s="9">
        <f t="shared" si="2"/>
        <v>17.105895398262795</v>
      </c>
      <c r="E63" s="9"/>
      <c r="F63" s="9"/>
      <c r="G63" s="9"/>
      <c r="H63" s="9"/>
      <c r="I63" s="9"/>
      <c r="J63" s="9"/>
      <c r="K63" s="9"/>
      <c r="L63" s="9"/>
      <c r="M63" s="9"/>
      <c r="N63" s="9">
        <f>SUM(IF(Career_History!G12=TRUE,IF(A63&lt;Career_History!D12,0,MIN(A63,Career_History!E12)-Career_History!D12+1),0),IF(Career_History!G13=TRUE,IF(A63&lt;Career_History!D13,0,MIN(A63,Career_History!E13)-Career_History!D13+1),0))/365.2425</f>
        <v>28.589224966973998</v>
      </c>
      <c r="O63" s="9">
        <f>SUM(IF(Career_History!I12=TRUE,IF(A63&lt;Career_History!D12,0,MIN(A63,Career_History!E12)-Career_History!D12+1),0),IF(Career_History!I13=TRUE,IF(A63&lt;Career_History!D13,0,MIN(A63,Career_History!E13)-Career_History!D13+1),0))/365.2425</f>
        <v>0</v>
      </c>
      <c r="P63" s="9">
        <f>SUM(IF(Career_History!H12=TRUE,IF(A63&lt;Career_History!D12,0,MIN(A63,Career_History!E12)-Career_History!D12+1),0),IF(Career_History!H13=TRUE,IF(A63&lt;Career_History!D13,0,MIN(A63,Career_History!E13)-Career_History!D13+1),0))/365.2425</f>
        <v>5.0842933119776585</v>
      </c>
      <c r="Q63" s="9">
        <f>SUM(IF(Career_History!G14=TRUE,IF(A63&lt;Career_History!D14,0,MIN(A63,Career_History!E14)-Career_History!D14+1),0),IF(Career_History!G15=TRUE,IF(A63&lt;Career_History!D15,0,MIN(A63,Career_History!E15)-Career_History!D15+1),0))/365.2425</f>
        <v>34.341567588656851</v>
      </c>
      <c r="R63" s="9">
        <f>SUM(IF(Career_History!I14=TRUE,IF(A63&lt;Career_History!D14,0,MIN(A63,Career_History!E14)-Career_History!D14+1),0),IF(Career_History!I15=TRUE,IF(A63&lt;Career_History!D15,0,MIN(A63,Career_History!E15)-Career_History!D15+1),0))/365.2425</f>
        <v>0</v>
      </c>
      <c r="S63" s="9">
        <f>SUM(IF(Career_History!H14=TRUE,IF(A63&lt;Career_History!D14,0,MIN(A63,Career_History!E14)-Career_History!D14+1),0),IF(Career_History!H15=TRUE,IF(A63&lt;Career_History!D15,0,MIN(A63,Career_History!E15)-Career_History!D15+1),0))/365.2425</f>
        <v>34.341567588656851</v>
      </c>
      <c r="T63" s="9">
        <f>SUM(IF(Career_History!G16=TRUE,IF(A63&lt;Career_History!D16,0,MIN(A63,Career_History!E16)-Career_History!D16+1),0),IF(Career_History!G17=TRUE,IF(A63&lt;Career_History!D17,0,MIN(A63,Career_History!E17)-Career_History!D17+1),0))/365.2425</f>
        <v>24.589142829763787</v>
      </c>
      <c r="U63" s="9">
        <f>SUM(IF(Career_History!I16=TRUE,IF(A63&lt;Career_History!D16,0,MIN(A63,Career_History!E16)-Career_History!D16+1),0),IF(Career_History!I17=TRUE,IF(A63&lt;Career_History!D17,0,MIN(A63,Career_History!E17)-Career_History!D17+1),0))/365.2425</f>
        <v>21.506259539894728</v>
      </c>
      <c r="V63" s="9">
        <f>SUM(IF(Career_History!H16=TRUE,IF(A63&lt;Career_History!D16,0,MIN(A63,Career_History!E16)-Career_History!D16+1),0),IF(Career_History!H17=TRUE,IF(A63&lt;Career_History!D17,0,MIN(A63,Career_History!E17)-Career_History!D17+1),0))/365.2425</f>
        <v>24.589142829763787</v>
      </c>
      <c r="W63" s="9">
        <f>SUM(IF(Career_History!G18=TRUE,IF(A63&lt;Career_History!D18,0,MIN(A63,Career_History!E18)-Career_History!D18+1),0),IF(Career_History!G19=TRUE,IF(A63&lt;Career_History!D19,0,MIN(A63,Career_History!E19)-Career_History!D19+1),0),IF(Career_History!G20=TRUE,IF(A63&lt;Career_History!D20,0,MIN(A63,Career_History!E20)-Career_History!D20+1),0))/365.2425</f>
        <v>31.587233139626413</v>
      </c>
      <c r="X63" s="9">
        <f>SUM(IF(Career_History!I18=TRUE,IF(A63&lt;Career_History!D18,0,MIN(A63,Career_History!E18)-Career_History!D18+1),0),IF(Career_History!I19=TRUE,IF(A63&lt;Career_History!D19,0,MIN(A63,Career_History!E19)-Career_History!D19+1),0),IF(Career_History!I20=TRUE,IF(A63&lt;Career_History!D20,0,MIN(A63,Career_History!E20)-Career_History!D20+1),0))/365.2425</f>
        <v>0</v>
      </c>
      <c r="Y63" s="9">
        <f>SUM(IF(Career_History!H18=TRUE,IF(A63&lt;Career_History!D18,0,MIN(A63,Career_History!E18)-Career_History!D18+1),0),IF(Career_History!H19=TRUE,IF(A63&lt;Career_History!D19,0,MIN(A63,Career_History!E19)-Career_History!D19+1),0),IF(Career_History!H20=TRUE,IF(A63&lt;Career_History!D20,0,MIN(A63,Career_History!E20)-Career_History!D20+1),0))/365.2425</f>
        <v>2.0096237431295645</v>
      </c>
      <c r="Z63" s="9">
        <f>SUM(IF(Career_History!G21=TRUE,IF(A63&lt;Career_History!D21,0,MIN(A63,Career_History!E21)-Career_History!D21+1),0),IF(Career_History!G22=TRUE,IF(A63&lt;Career_History!D22,0,MIN(A63,Career_History!E22)-Career_History!D22+1),0),IF(Career_History!G23=TRUE,IF(A63&lt;Career_History!D23,0,MIN(A63,Career_History!E23)-Career_History!D23+1),0),IF(Career_History!G24=TRUE,IF(A63&lt;Career_History!D24,0,MIN(A63,Career_History!E24)-Career_History!D24+1),0))/365.2425</f>
        <v>28.589224966973998</v>
      </c>
      <c r="AA63" s="9">
        <f>SUM(IF(Career_History!I21=TRUE,IF(A63&lt;Career_History!D21,0,MIN(A63,Career_History!E21)-Career_History!D21+1),0),IF(Career_History!I22=TRUE,IF(A63&lt;Career_History!D22,0,MIN(A63,Career_History!E22)-Career_History!D22+1),0),IF(Career_History!I23=TRUE,IF(A63&lt;Career_History!D23,0,MIN(A63,Career_History!E23)-Career_History!D23+1),0),IF(Career_History!I24=TRUE,IF(A63&lt;Career_History!D24,0,MIN(A63,Career_History!E24)-Career_History!D24+1),0))/365.2425</f>
        <v>26.505677734655741</v>
      </c>
      <c r="AB63" s="9">
        <f>SUM(IF(Career_History!H21=TRUE,IF(A63&lt;Career_History!D21,0,MIN(A63,Career_History!E21)-Career_History!D21+1),0),IF(Career_History!H22=TRUE,IF(A63&lt;Career_History!D22,0,MIN(A63,Career_History!E22)-Career_History!D22+1),0),IF(Career_History!H23=TRUE,IF(A63&lt;Career_History!D23,0,MIN(A63,Career_History!E23)-Career_History!D23+1),0),IF(Career_History!H24=TRUE,IF(A63&lt;Career_History!D24,0,MIN(A63,Career_History!E24)-Career_History!D24+1),0))/365.2425</f>
        <v>19.504849517786127</v>
      </c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</row>
    <row r="64" spans="1:67">
      <c r="A64" s="8">
        <v>36585</v>
      </c>
      <c r="B64" s="9">
        <f t="shared" si="0"/>
        <v>29.618678001601676</v>
      </c>
      <c r="C64" s="9">
        <f t="shared" si="1"/>
        <v>9.6023874549100938</v>
      </c>
      <c r="D64" s="9">
        <f t="shared" si="2"/>
        <v>17.185294701465462</v>
      </c>
      <c r="E64" s="9"/>
      <c r="F64" s="9"/>
      <c r="G64" s="9"/>
      <c r="H64" s="9"/>
      <c r="I64" s="9"/>
      <c r="J64" s="9"/>
      <c r="K64" s="9"/>
      <c r="L64" s="9"/>
      <c r="M64" s="9"/>
      <c r="N64" s="9">
        <f>SUM(IF(Career_History!G12=TRUE,IF(A64&lt;Career_History!D12,0,MIN(A64,Career_History!E12)-Career_History!D12+1),0),IF(Career_History!G13=TRUE,IF(A64&lt;Career_History!D13,0,MIN(A64,Career_History!E13)-Career_History!D13+1),0))/365.2425</f>
        <v>28.668624270176664</v>
      </c>
      <c r="O64" s="9">
        <f>SUM(IF(Career_History!I12=TRUE,IF(A64&lt;Career_History!D12,0,MIN(A64,Career_History!E12)-Career_History!D12+1),0),IF(Career_History!I13=TRUE,IF(A64&lt;Career_History!D13,0,MIN(A64,Career_History!E13)-Career_History!D13+1),0))/365.2425</f>
        <v>0</v>
      </c>
      <c r="P64" s="9">
        <f>SUM(IF(Career_History!H12=TRUE,IF(A64&lt;Career_History!D12,0,MIN(A64,Career_History!E12)-Career_History!D12+1),0),IF(Career_History!H13=TRUE,IF(A64&lt;Career_History!D13,0,MIN(A64,Career_History!E13)-Career_History!D13+1),0))/365.2425</f>
        <v>5.1636926151803255</v>
      </c>
      <c r="Q64" s="9">
        <f>SUM(IF(Career_History!G14=TRUE,IF(A64&lt;Career_History!D14,0,MIN(A64,Career_History!E14)-Career_History!D14+1),0),IF(Career_History!G15=TRUE,IF(A64&lt;Career_History!D15,0,MIN(A64,Career_History!E15)-Career_History!D15+1),0))/365.2425</f>
        <v>34.420966891859514</v>
      </c>
      <c r="R64" s="9">
        <f>SUM(IF(Career_History!I14=TRUE,IF(A64&lt;Career_History!D14,0,MIN(A64,Career_History!E14)-Career_History!D14+1),0),IF(Career_History!I15=TRUE,IF(A64&lt;Career_History!D15,0,MIN(A64,Career_History!E15)-Career_History!D15+1),0))/365.2425</f>
        <v>0</v>
      </c>
      <c r="S64" s="9">
        <f>SUM(IF(Career_History!H14=TRUE,IF(A64&lt;Career_History!D14,0,MIN(A64,Career_History!E14)-Career_History!D14+1),0),IF(Career_History!H15=TRUE,IF(A64&lt;Career_History!D15,0,MIN(A64,Career_History!E15)-Career_History!D15+1),0))/365.2425</f>
        <v>34.420966891859514</v>
      </c>
      <c r="T64" s="9">
        <f>SUM(IF(Career_History!G16=TRUE,IF(A64&lt;Career_History!D16,0,MIN(A64,Career_History!E16)-Career_History!D16+1),0),IF(Career_History!G17=TRUE,IF(A64&lt;Career_History!D17,0,MIN(A64,Career_History!E17)-Career_History!D17+1),0))/365.2425</f>
        <v>24.668542132966454</v>
      </c>
      <c r="U64" s="9">
        <f>SUM(IF(Career_History!I16=TRUE,IF(A64&lt;Career_History!D16,0,MIN(A64,Career_History!E16)-Career_History!D16+1),0),IF(Career_History!I17=TRUE,IF(A64&lt;Career_History!D17,0,MIN(A64,Career_History!E17)-Career_History!D17+1),0))/365.2425</f>
        <v>21.506259539894728</v>
      </c>
      <c r="V64" s="9">
        <f>SUM(IF(Career_History!H16=TRUE,IF(A64&lt;Career_History!D16,0,MIN(A64,Career_History!E16)-Career_History!D16+1),0),IF(Career_History!H17=TRUE,IF(A64&lt;Career_History!D17,0,MIN(A64,Career_History!E17)-Career_History!D17+1),0))/365.2425</f>
        <v>24.668542132966454</v>
      </c>
      <c r="W64" s="9">
        <f>SUM(IF(Career_History!G18=TRUE,IF(A64&lt;Career_History!D18,0,MIN(A64,Career_History!E18)-Career_History!D18+1),0),IF(Career_History!G19=TRUE,IF(A64&lt;Career_History!D19,0,MIN(A64,Career_History!E19)-Career_History!D19+1),0),IF(Career_History!G20=TRUE,IF(A64&lt;Career_History!D20,0,MIN(A64,Career_History!E20)-Career_History!D20+1),0))/365.2425</f>
        <v>31.66663244282908</v>
      </c>
      <c r="X64" s="9">
        <f>SUM(IF(Career_History!I18=TRUE,IF(A64&lt;Career_History!D18,0,MIN(A64,Career_History!E18)-Career_History!D18+1),0),IF(Career_History!I19=TRUE,IF(A64&lt;Career_History!D19,0,MIN(A64,Career_History!E19)-Career_History!D19+1),0),IF(Career_History!I20=TRUE,IF(A64&lt;Career_History!D20,0,MIN(A64,Career_History!E20)-Career_History!D20+1),0))/365.2425</f>
        <v>0</v>
      </c>
      <c r="Y64" s="9">
        <f>SUM(IF(Career_History!H18=TRUE,IF(A64&lt;Career_History!D18,0,MIN(A64,Career_History!E18)-Career_History!D18+1),0),IF(Career_History!H19=TRUE,IF(A64&lt;Career_History!D19,0,MIN(A64,Career_History!E19)-Career_History!D19+1),0),IF(Career_History!H20=TRUE,IF(A64&lt;Career_History!D20,0,MIN(A64,Career_History!E20)-Career_History!D20+1),0))/365.2425</f>
        <v>2.0890230463322315</v>
      </c>
      <c r="Z64" s="9">
        <f>SUM(IF(Career_History!G21=TRUE,IF(A64&lt;Career_History!D21,0,MIN(A64,Career_History!E21)-Career_History!D21+1),0),IF(Career_History!G22=TRUE,IF(A64&lt;Career_History!D22,0,MIN(A64,Career_History!E22)-Career_History!D22+1),0),IF(Career_History!G23=TRUE,IF(A64&lt;Career_History!D23,0,MIN(A64,Career_History!E23)-Career_History!D23+1),0),IF(Career_History!G24=TRUE,IF(A64&lt;Career_History!D24,0,MIN(A64,Career_History!E24)-Career_History!D24+1),0))/365.2425</f>
        <v>28.668624270176664</v>
      </c>
      <c r="AA64" s="9">
        <f>SUM(IF(Career_History!I21=TRUE,IF(A64&lt;Career_History!D21,0,MIN(A64,Career_History!E21)-Career_History!D21+1),0),IF(Career_History!I22=TRUE,IF(A64&lt;Career_History!D22,0,MIN(A64,Career_History!E22)-Career_History!D22+1),0),IF(Career_History!I23=TRUE,IF(A64&lt;Career_History!D23,0,MIN(A64,Career_History!E23)-Career_History!D23+1),0),IF(Career_History!I24=TRUE,IF(A64&lt;Career_History!D24,0,MIN(A64,Career_History!E24)-Career_History!D24+1),0))/365.2425</f>
        <v>26.505677734655741</v>
      </c>
      <c r="AB64" s="9">
        <f>SUM(IF(Career_History!H21=TRUE,IF(A64&lt;Career_History!D21,0,MIN(A64,Career_History!E21)-Career_History!D21+1),0),IF(Career_History!H22=TRUE,IF(A64&lt;Career_History!D22,0,MIN(A64,Career_History!E22)-Career_History!D22+1),0),IF(Career_History!H23=TRUE,IF(A64&lt;Career_History!D23,0,MIN(A64,Career_History!E23)-Career_History!D23+1),0),IF(Career_History!H24=TRUE,IF(A64&lt;Career_History!D24,0,MIN(A64,Career_History!E24)-Career_History!D24+1),0))/365.2425</f>
        <v>19.584248820988794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</row>
    <row r="65" spans="1:67">
      <c r="A65" s="8">
        <v>36616</v>
      </c>
      <c r="B65" s="9">
        <f t="shared" si="0"/>
        <v>29.70355311881832</v>
      </c>
      <c r="C65" s="9">
        <f t="shared" si="1"/>
        <v>9.6023874549100938</v>
      </c>
      <c r="D65" s="9">
        <f t="shared" si="2"/>
        <v>17.27016981868211</v>
      </c>
      <c r="E65" s="9"/>
      <c r="F65" s="9"/>
      <c r="G65" s="9"/>
      <c r="H65" s="9"/>
      <c r="I65" s="9"/>
      <c r="J65" s="9"/>
      <c r="K65" s="9"/>
      <c r="L65" s="9"/>
      <c r="M65" s="9"/>
      <c r="N65" s="9">
        <f>SUM(IF(Career_History!G12=TRUE,IF(A65&lt;Career_History!D12,0,MIN(A65,Career_History!E12)-Career_History!D12+1),0),IF(Career_History!G13=TRUE,IF(A65&lt;Career_History!D13,0,MIN(A65,Career_History!E13)-Career_History!D13+1),0))/365.2425</f>
        <v>28.753499387393308</v>
      </c>
      <c r="O65" s="9">
        <f>SUM(IF(Career_History!I12=TRUE,IF(A65&lt;Career_History!D12,0,MIN(A65,Career_History!E12)-Career_History!D12+1),0),IF(Career_History!I13=TRUE,IF(A65&lt;Career_History!D13,0,MIN(A65,Career_History!E13)-Career_History!D13+1),0))/365.2425</f>
        <v>0</v>
      </c>
      <c r="P65" s="9">
        <f>SUM(IF(Career_History!H12=TRUE,IF(A65&lt;Career_History!D12,0,MIN(A65,Career_History!E12)-Career_History!D12+1),0),IF(Career_History!H13=TRUE,IF(A65&lt;Career_History!D13,0,MIN(A65,Career_History!E13)-Career_History!D13+1),0))/365.2425</f>
        <v>5.2485677323969693</v>
      </c>
      <c r="Q65" s="9">
        <f>SUM(IF(Career_History!G14=TRUE,IF(A65&lt;Career_History!D14,0,MIN(A65,Career_History!E14)-Career_History!D14+1),0),IF(Career_History!G15=TRUE,IF(A65&lt;Career_History!D15,0,MIN(A65,Career_History!E15)-Career_History!D15+1),0))/365.2425</f>
        <v>34.505842009076162</v>
      </c>
      <c r="R65" s="9">
        <f>SUM(IF(Career_History!I14=TRUE,IF(A65&lt;Career_History!D14,0,MIN(A65,Career_History!E14)-Career_History!D14+1),0),IF(Career_History!I15=TRUE,IF(A65&lt;Career_History!D15,0,MIN(A65,Career_History!E15)-Career_History!D15+1),0))/365.2425</f>
        <v>0</v>
      </c>
      <c r="S65" s="9">
        <f>SUM(IF(Career_History!H14=TRUE,IF(A65&lt;Career_History!D14,0,MIN(A65,Career_History!E14)-Career_History!D14+1),0),IF(Career_History!H15=TRUE,IF(A65&lt;Career_History!D15,0,MIN(A65,Career_History!E15)-Career_History!D15+1),0))/365.2425</f>
        <v>34.505842009076162</v>
      </c>
      <c r="T65" s="9">
        <f>SUM(IF(Career_History!G16=TRUE,IF(A65&lt;Career_History!D16,0,MIN(A65,Career_History!E16)-Career_History!D16+1),0),IF(Career_History!G17=TRUE,IF(A65&lt;Career_History!D17,0,MIN(A65,Career_History!E17)-Career_History!D17+1),0))/365.2425</f>
        <v>24.753417250183098</v>
      </c>
      <c r="U65" s="9">
        <f>SUM(IF(Career_History!I16=TRUE,IF(A65&lt;Career_History!D16,0,MIN(A65,Career_History!E16)-Career_History!D16+1),0),IF(Career_History!I17=TRUE,IF(A65&lt;Career_History!D17,0,MIN(A65,Career_History!E17)-Career_History!D17+1),0))/365.2425</f>
        <v>21.506259539894728</v>
      </c>
      <c r="V65" s="9">
        <f>SUM(IF(Career_History!H16=TRUE,IF(A65&lt;Career_History!D16,0,MIN(A65,Career_History!E16)-Career_History!D16+1),0),IF(Career_History!H17=TRUE,IF(A65&lt;Career_History!D17,0,MIN(A65,Career_History!E17)-Career_History!D17+1),0))/365.2425</f>
        <v>24.753417250183098</v>
      </c>
      <c r="W65" s="9">
        <f>SUM(IF(Career_History!G18=TRUE,IF(A65&lt;Career_History!D18,0,MIN(A65,Career_History!E18)-Career_History!D18+1),0),IF(Career_History!G19=TRUE,IF(A65&lt;Career_History!D19,0,MIN(A65,Career_History!E19)-Career_History!D19+1),0),IF(Career_History!G20=TRUE,IF(A65&lt;Career_History!D20,0,MIN(A65,Career_History!E20)-Career_History!D20+1),0))/365.2425</f>
        <v>31.751507560045724</v>
      </c>
      <c r="X65" s="9">
        <f>SUM(IF(Career_History!I18=TRUE,IF(A65&lt;Career_History!D18,0,MIN(A65,Career_History!E18)-Career_History!D18+1),0),IF(Career_History!I19=TRUE,IF(A65&lt;Career_History!D19,0,MIN(A65,Career_History!E19)-Career_History!D19+1),0),IF(Career_History!I20=TRUE,IF(A65&lt;Career_History!D20,0,MIN(A65,Career_History!E20)-Career_History!D20+1),0))/365.2425</f>
        <v>0</v>
      </c>
      <c r="Y65" s="9">
        <f>SUM(IF(Career_History!H18=TRUE,IF(A65&lt;Career_History!D18,0,MIN(A65,Career_History!E18)-Career_History!D18+1),0),IF(Career_History!H19=TRUE,IF(A65&lt;Career_History!D19,0,MIN(A65,Career_History!E19)-Career_History!D19+1),0),IF(Career_History!H20=TRUE,IF(A65&lt;Career_History!D20,0,MIN(A65,Career_History!E20)-Career_History!D20+1),0))/365.2425</f>
        <v>2.1738981635488752</v>
      </c>
      <c r="Z65" s="9">
        <f>SUM(IF(Career_History!G21=TRUE,IF(A65&lt;Career_History!D21,0,MIN(A65,Career_History!E21)-Career_History!D21+1),0),IF(Career_History!G22=TRUE,IF(A65&lt;Career_History!D22,0,MIN(A65,Career_History!E22)-Career_History!D22+1),0),IF(Career_History!G23=TRUE,IF(A65&lt;Career_History!D23,0,MIN(A65,Career_History!E23)-Career_History!D23+1),0),IF(Career_History!G24=TRUE,IF(A65&lt;Career_History!D24,0,MIN(A65,Career_History!E24)-Career_History!D24+1),0))/365.2425</f>
        <v>28.753499387393308</v>
      </c>
      <c r="AA65" s="9">
        <f>SUM(IF(Career_History!I21=TRUE,IF(A65&lt;Career_History!D21,0,MIN(A65,Career_History!E21)-Career_History!D21+1),0),IF(Career_History!I22=TRUE,IF(A65&lt;Career_History!D22,0,MIN(A65,Career_History!E22)-Career_History!D22+1),0),IF(Career_History!I23=TRUE,IF(A65&lt;Career_History!D23,0,MIN(A65,Career_History!E23)-Career_History!D23+1),0),IF(Career_History!I24=TRUE,IF(A65&lt;Career_History!D24,0,MIN(A65,Career_History!E24)-Career_History!D24+1),0))/365.2425</f>
        <v>26.505677734655741</v>
      </c>
      <c r="AB65" s="9">
        <f>SUM(IF(Career_History!H21=TRUE,IF(A65&lt;Career_History!D21,0,MIN(A65,Career_History!E21)-Career_History!D21+1),0),IF(Career_History!H22=TRUE,IF(A65&lt;Career_History!D22,0,MIN(A65,Career_History!E22)-Career_History!D22+1),0),IF(Career_History!H23=TRUE,IF(A65&lt;Career_History!D23,0,MIN(A65,Career_History!E23)-Career_History!D23+1),0),IF(Career_History!H24=TRUE,IF(A65&lt;Career_History!D24,0,MIN(A65,Career_History!E24)-Career_History!D24+1),0))/365.2425</f>
        <v>19.669123938205438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</row>
    <row r="66" spans="1:67">
      <c r="A66" s="8">
        <v>36646</v>
      </c>
      <c r="B66" s="9">
        <f t="shared" si="0"/>
        <v>29.785690329027972</v>
      </c>
      <c r="C66" s="9">
        <f t="shared" si="1"/>
        <v>9.6023874549100938</v>
      </c>
      <c r="D66" s="9">
        <f t="shared" si="2"/>
        <v>17.352307028891765</v>
      </c>
      <c r="E66" s="9"/>
      <c r="F66" s="9"/>
      <c r="G66" s="9"/>
      <c r="H66" s="9"/>
      <c r="I66" s="9"/>
      <c r="J66" s="9"/>
      <c r="K66" s="9"/>
      <c r="L66" s="9"/>
      <c r="M66" s="9"/>
      <c r="N66" s="9">
        <f>SUM(IF(Career_History!G12=TRUE,IF(A66&lt;Career_History!D12,0,MIN(A66,Career_History!E12)-Career_History!D12+1),0),IF(Career_History!G13=TRUE,IF(A66&lt;Career_History!D13,0,MIN(A66,Career_History!E13)-Career_History!D13+1),0))/365.2425</f>
        <v>28.835636597602964</v>
      </c>
      <c r="O66" s="9">
        <f>SUM(IF(Career_History!I12=TRUE,IF(A66&lt;Career_History!D12,0,MIN(A66,Career_History!E12)-Career_History!D12+1),0),IF(Career_History!I13=TRUE,IF(A66&lt;Career_History!D13,0,MIN(A66,Career_History!E13)-Career_History!D13+1),0))/365.2425</f>
        <v>0</v>
      </c>
      <c r="P66" s="9">
        <f>SUM(IF(Career_History!H12=TRUE,IF(A66&lt;Career_History!D12,0,MIN(A66,Career_History!E12)-Career_History!D12+1),0),IF(Career_History!H13=TRUE,IF(A66&lt;Career_History!D13,0,MIN(A66,Career_History!E13)-Career_History!D13+1),0))/365.2425</f>
        <v>5.3307049426066246</v>
      </c>
      <c r="Q66" s="9">
        <f>SUM(IF(Career_History!G14=TRUE,IF(A66&lt;Career_History!D14,0,MIN(A66,Career_History!E14)-Career_History!D14+1),0),IF(Career_History!G15=TRUE,IF(A66&lt;Career_History!D15,0,MIN(A66,Career_History!E15)-Career_History!D15+1),0))/365.2425</f>
        <v>34.587979219285813</v>
      </c>
      <c r="R66" s="9">
        <f>SUM(IF(Career_History!I14=TRUE,IF(A66&lt;Career_History!D14,0,MIN(A66,Career_History!E14)-Career_History!D14+1),0),IF(Career_History!I15=TRUE,IF(A66&lt;Career_History!D15,0,MIN(A66,Career_History!E15)-Career_History!D15+1),0))/365.2425</f>
        <v>0</v>
      </c>
      <c r="S66" s="9">
        <f>SUM(IF(Career_History!H14=TRUE,IF(A66&lt;Career_History!D14,0,MIN(A66,Career_History!E14)-Career_History!D14+1),0),IF(Career_History!H15=TRUE,IF(A66&lt;Career_History!D15,0,MIN(A66,Career_History!E15)-Career_History!D15+1),0))/365.2425</f>
        <v>34.587979219285813</v>
      </c>
      <c r="T66" s="9">
        <f>SUM(IF(Career_History!G16=TRUE,IF(A66&lt;Career_History!D16,0,MIN(A66,Career_History!E16)-Career_History!D16+1),0),IF(Career_History!G17=TRUE,IF(A66&lt;Career_History!D17,0,MIN(A66,Career_History!E17)-Career_History!D17+1),0))/365.2425</f>
        <v>24.835554460392753</v>
      </c>
      <c r="U66" s="9">
        <f>SUM(IF(Career_History!I16=TRUE,IF(A66&lt;Career_History!D16,0,MIN(A66,Career_History!E16)-Career_History!D16+1),0),IF(Career_History!I17=TRUE,IF(A66&lt;Career_History!D17,0,MIN(A66,Career_History!E17)-Career_History!D17+1),0))/365.2425</f>
        <v>21.506259539894728</v>
      </c>
      <c r="V66" s="9">
        <f>SUM(IF(Career_History!H16=TRUE,IF(A66&lt;Career_History!D16,0,MIN(A66,Career_History!E16)-Career_History!D16+1),0),IF(Career_History!H17=TRUE,IF(A66&lt;Career_History!D17,0,MIN(A66,Career_History!E17)-Career_History!D17+1),0))/365.2425</f>
        <v>24.835554460392753</v>
      </c>
      <c r="W66" s="9">
        <f>SUM(IF(Career_History!G18=TRUE,IF(A66&lt;Career_History!D18,0,MIN(A66,Career_History!E18)-Career_History!D18+1),0),IF(Career_History!G19=TRUE,IF(A66&lt;Career_History!D19,0,MIN(A66,Career_History!E19)-Career_History!D19+1),0),IF(Career_History!G20=TRUE,IF(A66&lt;Career_History!D20,0,MIN(A66,Career_History!E20)-Career_History!D20+1),0))/365.2425</f>
        <v>31.833644770255379</v>
      </c>
      <c r="X66" s="9">
        <f>SUM(IF(Career_History!I18=TRUE,IF(A66&lt;Career_History!D18,0,MIN(A66,Career_History!E18)-Career_History!D18+1),0),IF(Career_History!I19=TRUE,IF(A66&lt;Career_History!D19,0,MIN(A66,Career_History!E19)-Career_History!D19+1),0),IF(Career_History!I20=TRUE,IF(A66&lt;Career_History!D20,0,MIN(A66,Career_History!E20)-Career_History!D20+1),0))/365.2425</f>
        <v>0</v>
      </c>
      <c r="Y66" s="9">
        <f>SUM(IF(Career_History!H18=TRUE,IF(A66&lt;Career_History!D18,0,MIN(A66,Career_History!E18)-Career_History!D18+1),0),IF(Career_History!H19=TRUE,IF(A66&lt;Career_History!D19,0,MIN(A66,Career_History!E19)-Career_History!D19+1),0),IF(Career_History!H20=TRUE,IF(A66&lt;Career_History!D20,0,MIN(A66,Career_History!E20)-Career_History!D20+1),0))/365.2425</f>
        <v>2.2560353737585301</v>
      </c>
      <c r="Z66" s="9">
        <f>SUM(IF(Career_History!G21=TRUE,IF(A66&lt;Career_History!D21,0,MIN(A66,Career_History!E21)-Career_History!D21+1),0),IF(Career_History!G22=TRUE,IF(A66&lt;Career_History!D22,0,MIN(A66,Career_History!E22)-Career_History!D22+1),0),IF(Career_History!G23=TRUE,IF(A66&lt;Career_History!D23,0,MIN(A66,Career_History!E23)-Career_History!D23+1),0),IF(Career_History!G24=TRUE,IF(A66&lt;Career_History!D24,0,MIN(A66,Career_History!E24)-Career_History!D24+1),0))/365.2425</f>
        <v>28.835636597602964</v>
      </c>
      <c r="AA66" s="9">
        <f>SUM(IF(Career_History!I21=TRUE,IF(A66&lt;Career_History!D21,0,MIN(A66,Career_History!E21)-Career_History!D21+1),0),IF(Career_History!I22=TRUE,IF(A66&lt;Career_History!D22,0,MIN(A66,Career_History!E22)-Career_History!D22+1),0),IF(Career_History!I23=TRUE,IF(A66&lt;Career_History!D23,0,MIN(A66,Career_History!E23)-Career_History!D23+1),0),IF(Career_History!I24=TRUE,IF(A66&lt;Career_History!D24,0,MIN(A66,Career_History!E24)-Career_History!D24+1),0))/365.2425</f>
        <v>26.505677734655741</v>
      </c>
      <c r="AB66" s="9">
        <f>SUM(IF(Career_History!H21=TRUE,IF(A66&lt;Career_History!D21,0,MIN(A66,Career_History!E21)-Career_History!D21+1),0),IF(Career_History!H22=TRUE,IF(A66&lt;Career_History!D22,0,MIN(A66,Career_History!E22)-Career_History!D22+1),0),IF(Career_History!H23=TRUE,IF(A66&lt;Career_History!D23,0,MIN(A66,Career_History!E23)-Career_History!D23+1),0),IF(Career_History!H24=TRUE,IF(A66&lt;Career_History!D24,0,MIN(A66,Career_History!E24)-Career_History!D24+1),0))/365.2425</f>
        <v>19.751261148415093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</row>
    <row r="67" spans="1:67">
      <c r="A67" s="8">
        <v>36677</v>
      </c>
      <c r="B67" s="9">
        <f t="shared" ref="B67:B130" si="3">IFERROR(AVERAGE(E67,H67,K67,N67,Q67,T67,W67,Z67,AC67,AF67,AI67,AL67,AO67,AR67,AU67,AX67,BA67,BD67,BG67,BJ67,BM67),"")</f>
        <v>29.870565446244619</v>
      </c>
      <c r="C67" s="9">
        <f t="shared" ref="C67:C130" si="4">IFERROR(AVERAGE(F67,I67,L67,O67,R67,U67,X67,AA67,AD67,AG67,AJ67,AM67,AP67,AS67,AV67,AY67,BB67,BE67,BH67,BK67,BN67),"")</f>
        <v>9.6023874549100938</v>
      </c>
      <c r="D67" s="9">
        <f t="shared" ref="D67:D130" si="5">IFERROR(AVERAGE(G67,J67,M67,P67,S67,V67,Y67,AB67,AE67,AH67,AK67,AN67,AQ67,AT67,AW67,AZ67,BC67,BF67,BI67,BL67,BO67),"")</f>
        <v>17.437182146108405</v>
      </c>
      <c r="E67" s="9"/>
      <c r="F67" s="9"/>
      <c r="G67" s="9"/>
      <c r="H67" s="9"/>
      <c r="I67" s="9"/>
      <c r="J67" s="9"/>
      <c r="K67" s="9"/>
      <c r="L67" s="9"/>
      <c r="M67" s="9"/>
      <c r="N67" s="9">
        <f>SUM(IF(Career_History!G12=TRUE,IF(A67&lt;Career_History!D12,0,MIN(A67,Career_History!E12)-Career_History!D12+1),0),IF(Career_History!G13=TRUE,IF(A67&lt;Career_History!D13,0,MIN(A67,Career_History!E13)-Career_History!D13+1),0))/365.2425</f>
        <v>28.920511714819607</v>
      </c>
      <c r="O67" s="9">
        <f>SUM(IF(Career_History!I12=TRUE,IF(A67&lt;Career_History!D12,0,MIN(A67,Career_History!E12)-Career_History!D12+1),0),IF(Career_History!I13=TRUE,IF(A67&lt;Career_History!D13,0,MIN(A67,Career_History!E13)-Career_History!D13+1),0))/365.2425</f>
        <v>0</v>
      </c>
      <c r="P67" s="9">
        <f>SUM(IF(Career_History!H12=TRUE,IF(A67&lt;Career_History!D12,0,MIN(A67,Career_History!E12)-Career_History!D12+1),0),IF(Career_History!H13=TRUE,IF(A67&lt;Career_History!D13,0,MIN(A67,Career_History!E13)-Career_History!D13+1),0))/365.2425</f>
        <v>5.4155800598232684</v>
      </c>
      <c r="Q67" s="9">
        <f>SUM(IF(Career_History!G14=TRUE,IF(A67&lt;Career_History!D14,0,MIN(A67,Career_History!E14)-Career_History!D14+1),0),IF(Career_History!G15=TRUE,IF(A67&lt;Career_History!D15,0,MIN(A67,Career_History!E15)-Career_History!D15+1),0))/365.2425</f>
        <v>34.672854336502461</v>
      </c>
      <c r="R67" s="9">
        <f>SUM(IF(Career_History!I14=TRUE,IF(A67&lt;Career_History!D14,0,MIN(A67,Career_History!E14)-Career_History!D14+1),0),IF(Career_History!I15=TRUE,IF(A67&lt;Career_History!D15,0,MIN(A67,Career_History!E15)-Career_History!D15+1),0))/365.2425</f>
        <v>0</v>
      </c>
      <c r="S67" s="9">
        <f>SUM(IF(Career_History!H14=TRUE,IF(A67&lt;Career_History!D14,0,MIN(A67,Career_History!E14)-Career_History!D14+1),0),IF(Career_History!H15=TRUE,IF(A67&lt;Career_History!D15,0,MIN(A67,Career_History!E15)-Career_History!D15+1),0))/365.2425</f>
        <v>34.672854336502461</v>
      </c>
      <c r="T67" s="9">
        <f>SUM(IF(Career_History!G16=TRUE,IF(A67&lt;Career_History!D16,0,MIN(A67,Career_History!E16)-Career_History!D16+1),0),IF(Career_History!G17=TRUE,IF(A67&lt;Career_History!D17,0,MIN(A67,Career_History!E17)-Career_History!D17+1),0))/365.2425</f>
        <v>24.920429577609397</v>
      </c>
      <c r="U67" s="9">
        <f>SUM(IF(Career_History!I16=TRUE,IF(A67&lt;Career_History!D16,0,MIN(A67,Career_History!E16)-Career_History!D16+1),0),IF(Career_History!I17=TRUE,IF(A67&lt;Career_History!D17,0,MIN(A67,Career_History!E17)-Career_History!D17+1),0))/365.2425</f>
        <v>21.506259539894728</v>
      </c>
      <c r="V67" s="9">
        <f>SUM(IF(Career_History!H16=TRUE,IF(A67&lt;Career_History!D16,0,MIN(A67,Career_History!E16)-Career_History!D16+1),0),IF(Career_History!H17=TRUE,IF(A67&lt;Career_History!D17,0,MIN(A67,Career_History!E17)-Career_History!D17+1),0))/365.2425</f>
        <v>24.920429577609397</v>
      </c>
      <c r="W67" s="9">
        <f>SUM(IF(Career_History!G18=TRUE,IF(A67&lt;Career_History!D18,0,MIN(A67,Career_History!E18)-Career_History!D18+1),0),IF(Career_History!G19=TRUE,IF(A67&lt;Career_History!D19,0,MIN(A67,Career_History!E19)-Career_History!D19+1),0),IF(Career_History!G20=TRUE,IF(A67&lt;Career_History!D20,0,MIN(A67,Career_History!E20)-Career_History!D20+1),0))/365.2425</f>
        <v>31.918519887472023</v>
      </c>
      <c r="X67" s="9">
        <f>SUM(IF(Career_History!I18=TRUE,IF(A67&lt;Career_History!D18,0,MIN(A67,Career_History!E18)-Career_History!D18+1),0),IF(Career_History!I19=TRUE,IF(A67&lt;Career_History!D19,0,MIN(A67,Career_History!E19)-Career_History!D19+1),0),IF(Career_History!I20=TRUE,IF(A67&lt;Career_History!D20,0,MIN(A67,Career_History!E20)-Career_History!D20+1),0))/365.2425</f>
        <v>0</v>
      </c>
      <c r="Y67" s="9">
        <f>SUM(IF(Career_History!H18=TRUE,IF(A67&lt;Career_History!D18,0,MIN(A67,Career_History!E18)-Career_History!D18+1),0),IF(Career_History!H19=TRUE,IF(A67&lt;Career_History!D19,0,MIN(A67,Career_History!E19)-Career_History!D19+1),0),IF(Career_History!H20=TRUE,IF(A67&lt;Career_History!D20,0,MIN(A67,Career_History!E20)-Career_History!D20+1),0))/365.2425</f>
        <v>2.3409104909751739</v>
      </c>
      <c r="Z67" s="9">
        <f>SUM(IF(Career_History!G21=TRUE,IF(A67&lt;Career_History!D21,0,MIN(A67,Career_History!E21)-Career_History!D21+1),0),IF(Career_History!G22=TRUE,IF(A67&lt;Career_History!D22,0,MIN(A67,Career_History!E22)-Career_History!D22+1),0),IF(Career_History!G23=TRUE,IF(A67&lt;Career_History!D23,0,MIN(A67,Career_History!E23)-Career_History!D23+1),0),IF(Career_History!G24=TRUE,IF(A67&lt;Career_History!D24,0,MIN(A67,Career_History!E24)-Career_History!D24+1),0))/365.2425</f>
        <v>28.920511714819607</v>
      </c>
      <c r="AA67" s="9">
        <f>SUM(IF(Career_History!I21=TRUE,IF(A67&lt;Career_History!D21,0,MIN(A67,Career_History!E21)-Career_History!D21+1),0),IF(Career_History!I22=TRUE,IF(A67&lt;Career_History!D22,0,MIN(A67,Career_History!E22)-Career_History!D22+1),0),IF(Career_History!I23=TRUE,IF(A67&lt;Career_History!D23,0,MIN(A67,Career_History!E23)-Career_History!D23+1),0),IF(Career_History!I24=TRUE,IF(A67&lt;Career_History!D24,0,MIN(A67,Career_History!E24)-Career_History!D24+1),0))/365.2425</f>
        <v>26.505677734655741</v>
      </c>
      <c r="AB67" s="9">
        <f>SUM(IF(Career_History!H21=TRUE,IF(A67&lt;Career_History!D21,0,MIN(A67,Career_History!E21)-Career_History!D21+1),0),IF(Career_History!H22=TRUE,IF(A67&lt;Career_History!D22,0,MIN(A67,Career_History!E22)-Career_History!D22+1),0),IF(Career_History!H23=TRUE,IF(A67&lt;Career_History!D23,0,MIN(A67,Career_History!E23)-Career_History!D23+1),0),IF(Career_History!H24=TRUE,IF(A67&lt;Career_History!D24,0,MIN(A67,Career_History!E24)-Career_History!D24+1),0))/365.2425</f>
        <v>19.836136265631737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</row>
    <row r="68" spans="1:67">
      <c r="A68" s="8">
        <v>36707</v>
      </c>
      <c r="B68" s="9">
        <f t="shared" si="3"/>
        <v>29.952702656454271</v>
      </c>
      <c r="C68" s="9">
        <f t="shared" si="4"/>
        <v>9.6023874549100938</v>
      </c>
      <c r="D68" s="9">
        <f t="shared" si="5"/>
        <v>17.519319356318061</v>
      </c>
      <c r="E68" s="9"/>
      <c r="F68" s="9"/>
      <c r="G68" s="9"/>
      <c r="H68" s="9"/>
      <c r="I68" s="9"/>
      <c r="J68" s="9"/>
      <c r="K68" s="9"/>
      <c r="L68" s="9"/>
      <c r="M68" s="9"/>
      <c r="N68" s="9">
        <f>SUM(IF(Career_History!G12=TRUE,IF(A68&lt;Career_History!D12,0,MIN(A68,Career_History!E12)-Career_History!D12+1),0),IF(Career_History!G13=TRUE,IF(A68&lt;Career_History!D13,0,MIN(A68,Career_History!E13)-Career_History!D13+1),0))/365.2425</f>
        <v>29.002648925029259</v>
      </c>
      <c r="O68" s="9">
        <f>SUM(IF(Career_History!I12=TRUE,IF(A68&lt;Career_History!D12,0,MIN(A68,Career_History!E12)-Career_History!D12+1),0),IF(Career_History!I13=TRUE,IF(A68&lt;Career_History!D13,0,MIN(A68,Career_History!E13)-Career_History!D13+1),0))/365.2425</f>
        <v>0</v>
      </c>
      <c r="P68" s="9">
        <f>SUM(IF(Career_History!H12=TRUE,IF(A68&lt;Career_History!D12,0,MIN(A68,Career_History!E12)-Career_History!D12+1),0),IF(Career_History!H13=TRUE,IF(A68&lt;Career_History!D13,0,MIN(A68,Career_History!E13)-Career_History!D13+1),0))/365.2425</f>
        <v>5.4977172700329229</v>
      </c>
      <c r="Q68" s="9">
        <f>SUM(IF(Career_History!G14=TRUE,IF(A68&lt;Career_History!D14,0,MIN(A68,Career_History!E14)-Career_History!D14+1),0),IF(Career_History!G15=TRUE,IF(A68&lt;Career_History!D15,0,MIN(A68,Career_History!E15)-Career_History!D15+1),0))/365.2425</f>
        <v>34.754991546712112</v>
      </c>
      <c r="R68" s="9">
        <f>SUM(IF(Career_History!I14=TRUE,IF(A68&lt;Career_History!D14,0,MIN(A68,Career_History!E14)-Career_History!D14+1),0),IF(Career_History!I15=TRUE,IF(A68&lt;Career_History!D15,0,MIN(A68,Career_History!E15)-Career_History!D15+1),0))/365.2425</f>
        <v>0</v>
      </c>
      <c r="S68" s="9">
        <f>SUM(IF(Career_History!H14=TRUE,IF(A68&lt;Career_History!D14,0,MIN(A68,Career_History!E14)-Career_History!D14+1),0),IF(Career_History!H15=TRUE,IF(A68&lt;Career_History!D15,0,MIN(A68,Career_History!E15)-Career_History!D15+1),0))/365.2425</f>
        <v>34.754991546712112</v>
      </c>
      <c r="T68" s="9">
        <f>SUM(IF(Career_History!G16=TRUE,IF(A68&lt;Career_History!D16,0,MIN(A68,Career_History!E16)-Career_History!D16+1),0),IF(Career_History!G17=TRUE,IF(A68&lt;Career_History!D17,0,MIN(A68,Career_History!E17)-Career_History!D17+1),0))/365.2425</f>
        <v>25.002566787819053</v>
      </c>
      <c r="U68" s="9">
        <f>SUM(IF(Career_History!I16=TRUE,IF(A68&lt;Career_History!D16,0,MIN(A68,Career_History!E16)-Career_History!D16+1),0),IF(Career_History!I17=TRUE,IF(A68&lt;Career_History!D17,0,MIN(A68,Career_History!E17)-Career_History!D17+1),0))/365.2425</f>
        <v>21.506259539894728</v>
      </c>
      <c r="V68" s="9">
        <f>SUM(IF(Career_History!H16=TRUE,IF(A68&lt;Career_History!D16,0,MIN(A68,Career_History!E16)-Career_History!D16+1),0),IF(Career_History!H17=TRUE,IF(A68&lt;Career_History!D17,0,MIN(A68,Career_History!E17)-Career_History!D17+1),0))/365.2425</f>
        <v>25.002566787819053</v>
      </c>
      <c r="W68" s="9">
        <f>SUM(IF(Career_History!G18=TRUE,IF(A68&lt;Career_History!D18,0,MIN(A68,Career_History!E18)-Career_History!D18+1),0),IF(Career_History!G19=TRUE,IF(A68&lt;Career_History!D19,0,MIN(A68,Career_History!E19)-Career_History!D19+1),0),IF(Career_History!G20=TRUE,IF(A68&lt;Career_History!D20,0,MIN(A68,Career_History!E20)-Career_History!D20+1),0))/365.2425</f>
        <v>32.000657097681675</v>
      </c>
      <c r="X68" s="9">
        <f>SUM(IF(Career_History!I18=TRUE,IF(A68&lt;Career_History!D18,0,MIN(A68,Career_History!E18)-Career_History!D18+1),0),IF(Career_History!I19=TRUE,IF(A68&lt;Career_History!D19,0,MIN(A68,Career_History!E19)-Career_History!D19+1),0),IF(Career_History!I20=TRUE,IF(A68&lt;Career_History!D20,0,MIN(A68,Career_History!E20)-Career_History!D20+1),0))/365.2425</f>
        <v>0</v>
      </c>
      <c r="Y68" s="9">
        <f>SUM(IF(Career_History!H18=TRUE,IF(A68&lt;Career_History!D18,0,MIN(A68,Career_History!E18)-Career_History!D18+1),0),IF(Career_History!H19=TRUE,IF(A68&lt;Career_History!D19,0,MIN(A68,Career_History!E19)-Career_History!D19+1),0),IF(Career_History!H20=TRUE,IF(A68&lt;Career_History!D20,0,MIN(A68,Career_History!E20)-Career_History!D20+1),0))/365.2425</f>
        <v>2.4230477011848293</v>
      </c>
      <c r="Z68" s="9">
        <f>SUM(IF(Career_History!G21=TRUE,IF(A68&lt;Career_History!D21,0,MIN(A68,Career_History!E21)-Career_History!D21+1),0),IF(Career_History!G22=TRUE,IF(A68&lt;Career_History!D22,0,MIN(A68,Career_History!E22)-Career_History!D22+1),0),IF(Career_History!G23=TRUE,IF(A68&lt;Career_History!D23,0,MIN(A68,Career_History!E23)-Career_History!D23+1),0),IF(Career_History!G24=TRUE,IF(A68&lt;Career_History!D24,0,MIN(A68,Career_History!E24)-Career_History!D24+1),0))/365.2425</f>
        <v>29.002648925029259</v>
      </c>
      <c r="AA68" s="9">
        <f>SUM(IF(Career_History!I21=TRUE,IF(A68&lt;Career_History!D21,0,MIN(A68,Career_History!E21)-Career_History!D21+1),0),IF(Career_History!I22=TRUE,IF(A68&lt;Career_History!D22,0,MIN(A68,Career_History!E22)-Career_History!D22+1),0),IF(Career_History!I23=TRUE,IF(A68&lt;Career_History!D23,0,MIN(A68,Career_History!E23)-Career_History!D23+1),0),IF(Career_History!I24=TRUE,IF(A68&lt;Career_History!D24,0,MIN(A68,Career_History!E24)-Career_History!D24+1),0))/365.2425</f>
        <v>26.505677734655741</v>
      </c>
      <c r="AB68" s="9">
        <f>SUM(IF(Career_History!H21=TRUE,IF(A68&lt;Career_History!D21,0,MIN(A68,Career_History!E21)-Career_History!D21+1),0),IF(Career_History!H22=TRUE,IF(A68&lt;Career_History!D22,0,MIN(A68,Career_History!E22)-Career_History!D22+1),0),IF(Career_History!H23=TRUE,IF(A68&lt;Career_History!D23,0,MIN(A68,Career_History!E23)-Career_History!D23+1),0),IF(Career_History!H24=TRUE,IF(A68&lt;Career_History!D24,0,MIN(A68,Career_History!E24)-Career_History!D24+1),0))/365.2425</f>
        <v>19.918273475841392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</row>
    <row r="69" spans="1:67">
      <c r="A69" s="8">
        <v>36738</v>
      </c>
      <c r="B69" s="9">
        <f t="shared" si="3"/>
        <v>30.037577773670915</v>
      </c>
      <c r="C69" s="9">
        <f t="shared" si="4"/>
        <v>9.6023874549100938</v>
      </c>
      <c r="D69" s="9">
        <f t="shared" si="5"/>
        <v>17.604194473534704</v>
      </c>
      <c r="E69" s="9"/>
      <c r="F69" s="9"/>
      <c r="G69" s="9"/>
      <c r="H69" s="9"/>
      <c r="I69" s="9"/>
      <c r="J69" s="9"/>
      <c r="K69" s="9"/>
      <c r="L69" s="9"/>
      <c r="M69" s="9"/>
      <c r="N69" s="9">
        <f>SUM(IF(Career_History!G12=TRUE,IF(A69&lt;Career_History!D12,0,MIN(A69,Career_History!E12)-Career_History!D12+1),0),IF(Career_History!G13=TRUE,IF(A69&lt;Career_History!D13,0,MIN(A69,Career_History!E13)-Career_History!D13+1),0))/365.2425</f>
        <v>29.087524042245903</v>
      </c>
      <c r="O69" s="9">
        <f>SUM(IF(Career_History!I12=TRUE,IF(A69&lt;Career_History!D12,0,MIN(A69,Career_History!E12)-Career_History!D12+1),0),IF(Career_History!I13=TRUE,IF(A69&lt;Career_History!D13,0,MIN(A69,Career_History!E13)-Career_History!D13+1),0))/365.2425</f>
        <v>0</v>
      </c>
      <c r="P69" s="9">
        <f>SUM(IF(Career_History!H12=TRUE,IF(A69&lt;Career_History!D12,0,MIN(A69,Career_History!E12)-Career_History!D12+1),0),IF(Career_History!H13=TRUE,IF(A69&lt;Career_History!D13,0,MIN(A69,Career_History!E13)-Career_History!D13+1),0))/365.2425</f>
        <v>5.5825923872495666</v>
      </c>
      <c r="Q69" s="9">
        <f>SUM(IF(Career_History!G14=TRUE,IF(A69&lt;Career_History!D14,0,MIN(A69,Career_History!E14)-Career_History!D14+1),0),IF(Career_History!G15=TRUE,IF(A69&lt;Career_History!D15,0,MIN(A69,Career_History!E15)-Career_History!D15+1),0))/365.2425</f>
        <v>34.83986666392876</v>
      </c>
      <c r="R69" s="9">
        <f>SUM(IF(Career_History!I14=TRUE,IF(A69&lt;Career_History!D14,0,MIN(A69,Career_History!E14)-Career_History!D14+1),0),IF(Career_History!I15=TRUE,IF(A69&lt;Career_History!D15,0,MIN(A69,Career_History!E15)-Career_History!D15+1),0))/365.2425</f>
        <v>0</v>
      </c>
      <c r="S69" s="9">
        <f>SUM(IF(Career_History!H14=TRUE,IF(A69&lt;Career_History!D14,0,MIN(A69,Career_History!E14)-Career_History!D14+1),0),IF(Career_History!H15=TRUE,IF(A69&lt;Career_History!D15,0,MIN(A69,Career_History!E15)-Career_History!D15+1),0))/365.2425</f>
        <v>34.83986666392876</v>
      </c>
      <c r="T69" s="9">
        <f>SUM(IF(Career_History!G16=TRUE,IF(A69&lt;Career_History!D16,0,MIN(A69,Career_History!E16)-Career_History!D16+1),0),IF(Career_History!G17=TRUE,IF(A69&lt;Career_History!D17,0,MIN(A69,Career_History!E17)-Career_History!D17+1),0))/365.2425</f>
        <v>25.087441905035696</v>
      </c>
      <c r="U69" s="9">
        <f>SUM(IF(Career_History!I16=TRUE,IF(A69&lt;Career_History!D16,0,MIN(A69,Career_History!E16)-Career_History!D16+1),0),IF(Career_History!I17=TRUE,IF(A69&lt;Career_History!D17,0,MIN(A69,Career_History!E17)-Career_History!D17+1),0))/365.2425</f>
        <v>21.506259539894728</v>
      </c>
      <c r="V69" s="9">
        <f>SUM(IF(Career_History!H16=TRUE,IF(A69&lt;Career_History!D16,0,MIN(A69,Career_History!E16)-Career_History!D16+1),0),IF(Career_History!H17=TRUE,IF(A69&lt;Career_History!D17,0,MIN(A69,Career_History!E17)-Career_History!D17+1),0))/365.2425</f>
        <v>25.087441905035696</v>
      </c>
      <c r="W69" s="9">
        <f>SUM(IF(Career_History!G18=TRUE,IF(A69&lt;Career_History!D18,0,MIN(A69,Career_History!E18)-Career_History!D18+1),0),IF(Career_History!G19=TRUE,IF(A69&lt;Career_History!D19,0,MIN(A69,Career_History!E19)-Career_History!D19+1),0),IF(Career_History!G20=TRUE,IF(A69&lt;Career_History!D20,0,MIN(A69,Career_History!E20)-Career_History!D20+1),0))/365.2425</f>
        <v>32.085532214898322</v>
      </c>
      <c r="X69" s="9">
        <f>SUM(IF(Career_History!I18=TRUE,IF(A69&lt;Career_History!D18,0,MIN(A69,Career_History!E18)-Career_History!D18+1),0),IF(Career_History!I19=TRUE,IF(A69&lt;Career_History!D19,0,MIN(A69,Career_History!E19)-Career_History!D19+1),0),IF(Career_History!I20=TRUE,IF(A69&lt;Career_History!D20,0,MIN(A69,Career_History!E20)-Career_History!D20+1),0))/365.2425</f>
        <v>0</v>
      </c>
      <c r="Y69" s="9">
        <f>SUM(IF(Career_History!H18=TRUE,IF(A69&lt;Career_History!D18,0,MIN(A69,Career_History!E18)-Career_History!D18+1),0),IF(Career_History!H19=TRUE,IF(A69&lt;Career_History!D19,0,MIN(A69,Career_History!E19)-Career_History!D19+1),0),IF(Career_History!H20=TRUE,IF(A69&lt;Career_History!D20,0,MIN(A69,Career_History!E20)-Career_History!D20+1),0))/365.2425</f>
        <v>2.507922818401473</v>
      </c>
      <c r="Z69" s="9">
        <f>SUM(IF(Career_History!G21=TRUE,IF(A69&lt;Career_History!D21,0,MIN(A69,Career_History!E21)-Career_History!D21+1),0),IF(Career_History!G22=TRUE,IF(A69&lt;Career_History!D22,0,MIN(A69,Career_History!E22)-Career_History!D22+1),0),IF(Career_History!G23=TRUE,IF(A69&lt;Career_History!D23,0,MIN(A69,Career_History!E23)-Career_History!D23+1),0),IF(Career_History!G24=TRUE,IF(A69&lt;Career_History!D24,0,MIN(A69,Career_History!E24)-Career_History!D24+1),0))/365.2425</f>
        <v>29.087524042245903</v>
      </c>
      <c r="AA69" s="9">
        <f>SUM(IF(Career_History!I21=TRUE,IF(A69&lt;Career_History!D21,0,MIN(A69,Career_History!E21)-Career_History!D21+1),0),IF(Career_History!I22=TRUE,IF(A69&lt;Career_History!D22,0,MIN(A69,Career_History!E22)-Career_History!D22+1),0),IF(Career_History!I23=TRUE,IF(A69&lt;Career_History!D23,0,MIN(A69,Career_History!E23)-Career_History!D23+1),0),IF(Career_History!I24=TRUE,IF(A69&lt;Career_History!D24,0,MIN(A69,Career_History!E24)-Career_History!D24+1),0))/365.2425</f>
        <v>26.505677734655741</v>
      </c>
      <c r="AB69" s="9">
        <f>SUM(IF(Career_History!H21=TRUE,IF(A69&lt;Career_History!D21,0,MIN(A69,Career_History!E21)-Career_History!D21+1),0),IF(Career_History!H22=TRUE,IF(A69&lt;Career_History!D22,0,MIN(A69,Career_History!E22)-Career_History!D22+1),0),IF(Career_History!H23=TRUE,IF(A69&lt;Career_History!D23,0,MIN(A69,Career_History!E23)-Career_History!D23+1),0),IF(Career_History!H24=TRUE,IF(A69&lt;Career_History!D24,0,MIN(A69,Career_History!E24)-Career_History!D24+1),0))/365.2425</f>
        <v>20.003148593058036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</row>
    <row r="70" spans="1:67">
      <c r="A70" s="8">
        <v>36769</v>
      </c>
      <c r="B70" s="9">
        <f t="shared" si="3"/>
        <v>30.122452890887558</v>
      </c>
      <c r="C70" s="9">
        <f t="shared" si="4"/>
        <v>9.6023874549100938</v>
      </c>
      <c r="D70" s="9">
        <f t="shared" si="5"/>
        <v>17.689069590751352</v>
      </c>
      <c r="E70" s="9"/>
      <c r="F70" s="9"/>
      <c r="G70" s="9"/>
      <c r="H70" s="9"/>
      <c r="I70" s="9"/>
      <c r="J70" s="9"/>
      <c r="K70" s="9"/>
      <c r="L70" s="9"/>
      <c r="M70" s="9"/>
      <c r="N70" s="9">
        <f>SUM(IF(Career_History!G12=TRUE,IF(A70&lt;Career_History!D12,0,MIN(A70,Career_History!E12)-Career_History!D12+1),0),IF(Career_History!G13=TRUE,IF(A70&lt;Career_History!D13,0,MIN(A70,Career_History!E13)-Career_History!D13+1),0))/365.2425</f>
        <v>29.172399159462547</v>
      </c>
      <c r="O70" s="9">
        <f>SUM(IF(Career_History!I12=TRUE,IF(A70&lt;Career_History!D12,0,MIN(A70,Career_History!E12)-Career_History!D12+1),0),IF(Career_History!I13=TRUE,IF(A70&lt;Career_History!D13,0,MIN(A70,Career_History!E13)-Career_History!D13+1),0))/365.2425</f>
        <v>0</v>
      </c>
      <c r="P70" s="9">
        <f>SUM(IF(Career_History!H12=TRUE,IF(A70&lt;Career_History!D12,0,MIN(A70,Career_History!E12)-Career_History!D12+1),0),IF(Career_History!H13=TRUE,IF(A70&lt;Career_History!D13,0,MIN(A70,Career_History!E13)-Career_History!D13+1),0))/365.2425</f>
        <v>5.6674675044662104</v>
      </c>
      <c r="Q70" s="9">
        <f>SUM(IF(Career_History!G14=TRUE,IF(A70&lt;Career_History!D14,0,MIN(A70,Career_History!E14)-Career_History!D14+1),0),IF(Career_History!G15=TRUE,IF(A70&lt;Career_History!D15,0,MIN(A70,Career_History!E15)-Career_History!D15+1),0))/365.2425</f>
        <v>34.9247417811454</v>
      </c>
      <c r="R70" s="9">
        <f>SUM(IF(Career_History!I14=TRUE,IF(A70&lt;Career_History!D14,0,MIN(A70,Career_History!E14)-Career_History!D14+1),0),IF(Career_History!I15=TRUE,IF(A70&lt;Career_History!D15,0,MIN(A70,Career_History!E15)-Career_History!D15+1),0))/365.2425</f>
        <v>0</v>
      </c>
      <c r="S70" s="9">
        <f>SUM(IF(Career_History!H14=TRUE,IF(A70&lt;Career_History!D14,0,MIN(A70,Career_History!E14)-Career_History!D14+1),0),IF(Career_History!H15=TRUE,IF(A70&lt;Career_History!D15,0,MIN(A70,Career_History!E15)-Career_History!D15+1),0))/365.2425</f>
        <v>34.9247417811454</v>
      </c>
      <c r="T70" s="9">
        <f>SUM(IF(Career_History!G16=TRUE,IF(A70&lt;Career_History!D16,0,MIN(A70,Career_History!E16)-Career_History!D16+1),0),IF(Career_History!G17=TRUE,IF(A70&lt;Career_History!D17,0,MIN(A70,Career_History!E17)-Career_History!D17+1),0))/365.2425</f>
        <v>25.17231702225234</v>
      </c>
      <c r="U70" s="9">
        <f>SUM(IF(Career_History!I16=TRUE,IF(A70&lt;Career_History!D16,0,MIN(A70,Career_History!E16)-Career_History!D16+1),0),IF(Career_History!I17=TRUE,IF(A70&lt;Career_History!D17,0,MIN(A70,Career_History!E17)-Career_History!D17+1),0))/365.2425</f>
        <v>21.506259539894728</v>
      </c>
      <c r="V70" s="9">
        <f>SUM(IF(Career_History!H16=TRUE,IF(A70&lt;Career_History!D16,0,MIN(A70,Career_History!E16)-Career_History!D16+1),0),IF(Career_History!H17=TRUE,IF(A70&lt;Career_History!D17,0,MIN(A70,Career_History!E17)-Career_History!D17+1),0))/365.2425</f>
        <v>25.17231702225234</v>
      </c>
      <c r="W70" s="9">
        <f>SUM(IF(Career_History!G18=TRUE,IF(A70&lt;Career_History!D18,0,MIN(A70,Career_History!E18)-Career_History!D18+1),0),IF(Career_History!G19=TRUE,IF(A70&lt;Career_History!D19,0,MIN(A70,Career_History!E19)-Career_History!D19+1),0),IF(Career_History!G20=TRUE,IF(A70&lt;Career_History!D20,0,MIN(A70,Career_History!E20)-Career_History!D20+1),0))/365.2425</f>
        <v>32.170407332114962</v>
      </c>
      <c r="X70" s="9">
        <f>SUM(IF(Career_History!I18=TRUE,IF(A70&lt;Career_History!D18,0,MIN(A70,Career_History!E18)-Career_History!D18+1),0),IF(Career_History!I19=TRUE,IF(A70&lt;Career_History!D19,0,MIN(A70,Career_History!E19)-Career_History!D19+1),0),IF(Career_History!I20=TRUE,IF(A70&lt;Career_History!D20,0,MIN(A70,Career_History!E20)-Career_History!D20+1),0))/365.2425</f>
        <v>0</v>
      </c>
      <c r="Y70" s="9">
        <f>SUM(IF(Career_History!H18=TRUE,IF(A70&lt;Career_History!D18,0,MIN(A70,Career_History!E18)-Career_History!D18+1),0),IF(Career_History!H19=TRUE,IF(A70&lt;Career_History!D19,0,MIN(A70,Career_History!E19)-Career_History!D19+1),0),IF(Career_History!H20=TRUE,IF(A70&lt;Career_History!D20,0,MIN(A70,Career_History!E20)-Career_History!D20+1),0))/365.2425</f>
        <v>2.5927979356181168</v>
      </c>
      <c r="Z70" s="9">
        <f>SUM(IF(Career_History!G21=TRUE,IF(A70&lt;Career_History!D21,0,MIN(A70,Career_History!E21)-Career_History!D21+1),0),IF(Career_History!G22=TRUE,IF(A70&lt;Career_History!D22,0,MIN(A70,Career_History!E22)-Career_History!D22+1),0),IF(Career_History!G23=TRUE,IF(A70&lt;Career_History!D23,0,MIN(A70,Career_History!E23)-Career_History!D23+1),0),IF(Career_History!G24=TRUE,IF(A70&lt;Career_History!D24,0,MIN(A70,Career_History!E24)-Career_History!D24+1),0))/365.2425</f>
        <v>29.172399159462547</v>
      </c>
      <c r="AA70" s="9">
        <f>SUM(IF(Career_History!I21=TRUE,IF(A70&lt;Career_History!D21,0,MIN(A70,Career_History!E21)-Career_History!D21+1),0),IF(Career_History!I22=TRUE,IF(A70&lt;Career_History!D22,0,MIN(A70,Career_History!E22)-Career_History!D22+1),0),IF(Career_History!I23=TRUE,IF(A70&lt;Career_History!D23,0,MIN(A70,Career_History!E23)-Career_History!D23+1),0),IF(Career_History!I24=TRUE,IF(A70&lt;Career_History!D24,0,MIN(A70,Career_History!E24)-Career_History!D24+1),0))/365.2425</f>
        <v>26.505677734655741</v>
      </c>
      <c r="AB70" s="9">
        <f>SUM(IF(Career_History!H21=TRUE,IF(A70&lt;Career_History!D21,0,MIN(A70,Career_History!E21)-Career_History!D21+1),0),IF(Career_History!H22=TRUE,IF(A70&lt;Career_History!D22,0,MIN(A70,Career_History!E22)-Career_History!D22+1),0),IF(Career_History!H23=TRUE,IF(A70&lt;Career_History!D23,0,MIN(A70,Career_History!E23)-Career_History!D23+1),0),IF(Career_History!H24=TRUE,IF(A70&lt;Career_History!D24,0,MIN(A70,Career_History!E24)-Career_History!D24+1),0))/365.2425</f>
        <v>20.08802371027468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</row>
    <row r="71" spans="1:67">
      <c r="A71" s="8">
        <v>36799</v>
      </c>
      <c r="B71" s="9">
        <f t="shared" si="3"/>
        <v>30.204590101097217</v>
      </c>
      <c r="C71" s="9">
        <f t="shared" si="4"/>
        <v>9.6023874549100938</v>
      </c>
      <c r="D71" s="9">
        <f t="shared" si="5"/>
        <v>17.771206800961007</v>
      </c>
      <c r="E71" s="9"/>
      <c r="F71" s="9"/>
      <c r="G71" s="9"/>
      <c r="H71" s="9"/>
      <c r="I71" s="9"/>
      <c r="J71" s="9"/>
      <c r="K71" s="9"/>
      <c r="L71" s="9"/>
      <c r="M71" s="9"/>
      <c r="N71" s="9">
        <f>SUM(IF(Career_History!G12=TRUE,IF(A71&lt;Career_History!D12,0,MIN(A71,Career_History!E12)-Career_History!D12+1),0),IF(Career_History!G13=TRUE,IF(A71&lt;Career_History!D13,0,MIN(A71,Career_History!E13)-Career_History!D13+1),0))/365.2425</f>
        <v>29.254536369672202</v>
      </c>
      <c r="O71" s="9">
        <f>SUM(IF(Career_History!I12=TRUE,IF(A71&lt;Career_History!D12,0,MIN(A71,Career_History!E12)-Career_History!D12+1),0),IF(Career_History!I13=TRUE,IF(A71&lt;Career_History!D13,0,MIN(A71,Career_History!E13)-Career_History!D13+1),0))/365.2425</f>
        <v>0</v>
      </c>
      <c r="P71" s="9">
        <f>SUM(IF(Career_History!H12=TRUE,IF(A71&lt;Career_History!D12,0,MIN(A71,Career_History!E12)-Career_History!D12+1),0),IF(Career_History!H13=TRUE,IF(A71&lt;Career_History!D13,0,MIN(A71,Career_History!E13)-Career_History!D13+1),0))/365.2425</f>
        <v>5.7496047146758658</v>
      </c>
      <c r="Q71" s="9">
        <f>SUM(IF(Career_History!G14=TRUE,IF(A71&lt;Career_History!D14,0,MIN(A71,Career_History!E14)-Career_History!D14+1),0),IF(Career_History!G15=TRUE,IF(A71&lt;Career_History!D15,0,MIN(A71,Career_History!E15)-Career_History!D15+1),0))/365.2425</f>
        <v>35.006878991355059</v>
      </c>
      <c r="R71" s="9">
        <f>SUM(IF(Career_History!I14=TRUE,IF(A71&lt;Career_History!D14,0,MIN(A71,Career_History!E14)-Career_History!D14+1),0),IF(Career_History!I15=TRUE,IF(A71&lt;Career_History!D15,0,MIN(A71,Career_History!E15)-Career_History!D15+1),0))/365.2425</f>
        <v>0</v>
      </c>
      <c r="S71" s="9">
        <f>SUM(IF(Career_History!H14=TRUE,IF(A71&lt;Career_History!D14,0,MIN(A71,Career_History!E14)-Career_History!D14+1),0),IF(Career_History!H15=TRUE,IF(A71&lt;Career_History!D15,0,MIN(A71,Career_History!E15)-Career_History!D15+1),0))/365.2425</f>
        <v>35.006878991355059</v>
      </c>
      <c r="T71" s="9">
        <f>SUM(IF(Career_History!G16=TRUE,IF(A71&lt;Career_History!D16,0,MIN(A71,Career_History!E16)-Career_History!D16+1),0),IF(Career_History!G17=TRUE,IF(A71&lt;Career_History!D17,0,MIN(A71,Career_History!E17)-Career_History!D17+1),0))/365.2425</f>
        <v>25.254454232461995</v>
      </c>
      <c r="U71" s="9">
        <f>SUM(IF(Career_History!I16=TRUE,IF(A71&lt;Career_History!D16,0,MIN(A71,Career_History!E16)-Career_History!D16+1),0),IF(Career_History!I17=TRUE,IF(A71&lt;Career_History!D17,0,MIN(A71,Career_History!E17)-Career_History!D17+1),0))/365.2425</f>
        <v>21.506259539894728</v>
      </c>
      <c r="V71" s="9">
        <f>SUM(IF(Career_History!H16=TRUE,IF(A71&lt;Career_History!D16,0,MIN(A71,Career_History!E16)-Career_History!D16+1),0),IF(Career_History!H17=TRUE,IF(A71&lt;Career_History!D17,0,MIN(A71,Career_History!E17)-Career_History!D17+1),0))/365.2425</f>
        <v>25.254454232461995</v>
      </c>
      <c r="W71" s="9">
        <f>SUM(IF(Career_History!G18=TRUE,IF(A71&lt;Career_History!D18,0,MIN(A71,Career_History!E18)-Career_History!D18+1),0),IF(Career_History!G19=TRUE,IF(A71&lt;Career_History!D19,0,MIN(A71,Career_History!E19)-Career_History!D19+1),0),IF(Career_History!G20=TRUE,IF(A71&lt;Career_History!D20,0,MIN(A71,Career_History!E20)-Career_History!D20+1),0))/365.2425</f>
        <v>32.252544542324621</v>
      </c>
      <c r="X71" s="9">
        <f>SUM(IF(Career_History!I18=TRUE,IF(A71&lt;Career_History!D18,0,MIN(A71,Career_History!E18)-Career_History!D18+1),0),IF(Career_History!I19=TRUE,IF(A71&lt;Career_History!D19,0,MIN(A71,Career_History!E19)-Career_History!D19+1),0),IF(Career_History!I20=TRUE,IF(A71&lt;Career_History!D20,0,MIN(A71,Career_History!E20)-Career_History!D20+1),0))/365.2425</f>
        <v>0</v>
      </c>
      <c r="Y71" s="9">
        <f>SUM(IF(Career_History!H18=TRUE,IF(A71&lt;Career_History!D18,0,MIN(A71,Career_History!E18)-Career_History!D18+1),0),IF(Career_History!H19=TRUE,IF(A71&lt;Career_History!D19,0,MIN(A71,Career_History!E19)-Career_History!D19+1),0),IF(Career_History!H20=TRUE,IF(A71&lt;Career_History!D20,0,MIN(A71,Career_History!E20)-Career_History!D20+1),0))/365.2425</f>
        <v>2.6749351458277717</v>
      </c>
      <c r="Z71" s="9">
        <f>SUM(IF(Career_History!G21=TRUE,IF(A71&lt;Career_History!D21,0,MIN(A71,Career_History!E21)-Career_History!D21+1),0),IF(Career_History!G22=TRUE,IF(A71&lt;Career_History!D22,0,MIN(A71,Career_History!E22)-Career_History!D22+1),0),IF(Career_History!G23=TRUE,IF(A71&lt;Career_History!D23,0,MIN(A71,Career_History!E23)-Career_History!D23+1),0),IF(Career_History!G24=TRUE,IF(A71&lt;Career_History!D24,0,MIN(A71,Career_History!E24)-Career_History!D24+1),0))/365.2425</f>
        <v>29.254536369672202</v>
      </c>
      <c r="AA71" s="9">
        <f>SUM(IF(Career_History!I21=TRUE,IF(A71&lt;Career_History!D21,0,MIN(A71,Career_History!E21)-Career_History!D21+1),0),IF(Career_History!I22=TRUE,IF(A71&lt;Career_History!D22,0,MIN(A71,Career_History!E22)-Career_History!D22+1),0),IF(Career_History!I23=TRUE,IF(A71&lt;Career_History!D23,0,MIN(A71,Career_History!E23)-Career_History!D23+1),0),IF(Career_History!I24=TRUE,IF(A71&lt;Career_History!D24,0,MIN(A71,Career_History!E24)-Career_History!D24+1),0))/365.2425</f>
        <v>26.505677734655741</v>
      </c>
      <c r="AB71" s="9">
        <f>SUM(IF(Career_History!H21=TRUE,IF(A71&lt;Career_History!D21,0,MIN(A71,Career_History!E21)-Career_History!D21+1),0),IF(Career_History!H22=TRUE,IF(A71&lt;Career_History!D22,0,MIN(A71,Career_History!E22)-Career_History!D22+1),0),IF(Career_History!H23=TRUE,IF(A71&lt;Career_History!D23,0,MIN(A71,Career_History!E23)-Career_History!D23+1),0),IF(Career_History!H24=TRUE,IF(A71&lt;Career_History!D24,0,MIN(A71,Career_History!E24)-Career_History!D24+1),0))/365.2425</f>
        <v>20.170160920484335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</row>
    <row r="72" spans="1:67">
      <c r="A72" s="8">
        <v>36830</v>
      </c>
      <c r="B72" s="9">
        <f t="shared" si="3"/>
        <v>30.289465218313858</v>
      </c>
      <c r="C72" s="9">
        <f t="shared" si="4"/>
        <v>9.6023874549100938</v>
      </c>
      <c r="D72" s="9">
        <f t="shared" si="5"/>
        <v>17.856081918177647</v>
      </c>
      <c r="E72" s="9"/>
      <c r="F72" s="9"/>
      <c r="G72" s="9"/>
      <c r="H72" s="9"/>
      <c r="I72" s="9"/>
      <c r="J72" s="9"/>
      <c r="K72" s="9"/>
      <c r="L72" s="9"/>
      <c r="M72" s="9"/>
      <c r="N72" s="9">
        <f>SUM(IF(Career_History!G12=TRUE,IF(A72&lt;Career_History!D12,0,MIN(A72,Career_History!E12)-Career_History!D12+1),0),IF(Career_History!G13=TRUE,IF(A72&lt;Career_History!D13,0,MIN(A72,Career_History!E13)-Career_History!D13+1),0))/365.2425</f>
        <v>29.339411486888846</v>
      </c>
      <c r="O72" s="9">
        <f>SUM(IF(Career_History!I12=TRUE,IF(A72&lt;Career_History!D12,0,MIN(A72,Career_History!E12)-Career_History!D12+1),0),IF(Career_History!I13=TRUE,IF(A72&lt;Career_History!D13,0,MIN(A72,Career_History!E13)-Career_History!D13+1),0))/365.2425</f>
        <v>0</v>
      </c>
      <c r="P72" s="9">
        <f>SUM(IF(Career_History!H12=TRUE,IF(A72&lt;Career_History!D12,0,MIN(A72,Career_History!E12)-Career_History!D12+1),0),IF(Career_History!H13=TRUE,IF(A72&lt;Career_History!D13,0,MIN(A72,Career_History!E13)-Career_History!D13+1),0))/365.2425</f>
        <v>5.8344798318925095</v>
      </c>
      <c r="Q72" s="9">
        <f>SUM(IF(Career_History!G14=TRUE,IF(A72&lt;Career_History!D14,0,MIN(A72,Career_History!E14)-Career_History!D14+1),0),IF(Career_History!G15=TRUE,IF(A72&lt;Career_History!D15,0,MIN(A72,Career_History!E15)-Career_History!D15+1),0))/365.2425</f>
        <v>35.091754108571699</v>
      </c>
      <c r="R72" s="9">
        <f>SUM(IF(Career_History!I14=TRUE,IF(A72&lt;Career_History!D14,0,MIN(A72,Career_History!E14)-Career_History!D14+1),0),IF(Career_History!I15=TRUE,IF(A72&lt;Career_History!D15,0,MIN(A72,Career_History!E15)-Career_History!D15+1),0))/365.2425</f>
        <v>0</v>
      </c>
      <c r="S72" s="9">
        <f>SUM(IF(Career_History!H14=TRUE,IF(A72&lt;Career_History!D14,0,MIN(A72,Career_History!E14)-Career_History!D14+1),0),IF(Career_History!H15=TRUE,IF(A72&lt;Career_History!D15,0,MIN(A72,Career_History!E15)-Career_History!D15+1),0))/365.2425</f>
        <v>35.091754108571699</v>
      </c>
      <c r="T72" s="9">
        <f>SUM(IF(Career_History!G16=TRUE,IF(A72&lt;Career_History!D16,0,MIN(A72,Career_History!E16)-Career_History!D16+1),0),IF(Career_History!G17=TRUE,IF(A72&lt;Career_History!D17,0,MIN(A72,Career_History!E17)-Career_History!D17+1),0))/365.2425</f>
        <v>25.339329349678639</v>
      </c>
      <c r="U72" s="9">
        <f>SUM(IF(Career_History!I16=TRUE,IF(A72&lt;Career_History!D16,0,MIN(A72,Career_History!E16)-Career_History!D16+1),0),IF(Career_History!I17=TRUE,IF(A72&lt;Career_History!D17,0,MIN(A72,Career_History!E17)-Career_History!D17+1),0))/365.2425</f>
        <v>21.506259539894728</v>
      </c>
      <c r="V72" s="9">
        <f>SUM(IF(Career_History!H16=TRUE,IF(A72&lt;Career_History!D16,0,MIN(A72,Career_History!E16)-Career_History!D16+1),0),IF(Career_History!H17=TRUE,IF(A72&lt;Career_History!D17,0,MIN(A72,Career_History!E17)-Career_History!D17+1),0))/365.2425</f>
        <v>25.339329349678639</v>
      </c>
      <c r="W72" s="9">
        <f>SUM(IF(Career_History!G18=TRUE,IF(A72&lt;Career_History!D18,0,MIN(A72,Career_History!E18)-Career_History!D18+1),0),IF(Career_History!G19=TRUE,IF(A72&lt;Career_History!D19,0,MIN(A72,Career_History!E19)-Career_History!D19+1),0),IF(Career_History!G20=TRUE,IF(A72&lt;Career_History!D20,0,MIN(A72,Career_History!E20)-Career_History!D20+1),0))/365.2425</f>
        <v>32.337419659541261</v>
      </c>
      <c r="X72" s="9">
        <f>SUM(IF(Career_History!I18=TRUE,IF(A72&lt;Career_History!D18,0,MIN(A72,Career_History!E18)-Career_History!D18+1),0),IF(Career_History!I19=TRUE,IF(A72&lt;Career_History!D19,0,MIN(A72,Career_History!E19)-Career_History!D19+1),0),IF(Career_History!I20=TRUE,IF(A72&lt;Career_History!D20,0,MIN(A72,Career_History!E20)-Career_History!D20+1),0))/365.2425</f>
        <v>0</v>
      </c>
      <c r="Y72" s="9">
        <f>SUM(IF(Career_History!H18=TRUE,IF(A72&lt;Career_History!D18,0,MIN(A72,Career_History!E18)-Career_History!D18+1),0),IF(Career_History!H19=TRUE,IF(A72&lt;Career_History!D19,0,MIN(A72,Career_History!E19)-Career_History!D19+1),0),IF(Career_History!H20=TRUE,IF(A72&lt;Career_History!D20,0,MIN(A72,Career_History!E20)-Career_History!D20+1),0))/365.2425</f>
        <v>2.7598102630444155</v>
      </c>
      <c r="Z72" s="9">
        <f>SUM(IF(Career_History!G21=TRUE,IF(A72&lt;Career_History!D21,0,MIN(A72,Career_History!E21)-Career_History!D21+1),0),IF(Career_History!G22=TRUE,IF(A72&lt;Career_History!D22,0,MIN(A72,Career_History!E22)-Career_History!D22+1),0),IF(Career_History!G23=TRUE,IF(A72&lt;Career_History!D23,0,MIN(A72,Career_History!E23)-Career_History!D23+1),0),IF(Career_History!G24=TRUE,IF(A72&lt;Career_History!D24,0,MIN(A72,Career_History!E24)-Career_History!D24+1),0))/365.2425</f>
        <v>29.339411486888846</v>
      </c>
      <c r="AA72" s="9">
        <f>SUM(IF(Career_History!I21=TRUE,IF(A72&lt;Career_History!D21,0,MIN(A72,Career_History!E21)-Career_History!D21+1),0),IF(Career_History!I22=TRUE,IF(A72&lt;Career_History!D22,0,MIN(A72,Career_History!E22)-Career_History!D22+1),0),IF(Career_History!I23=TRUE,IF(A72&lt;Career_History!D23,0,MIN(A72,Career_History!E23)-Career_History!D23+1),0),IF(Career_History!I24=TRUE,IF(A72&lt;Career_History!D24,0,MIN(A72,Career_History!E24)-Career_History!D24+1),0))/365.2425</f>
        <v>26.505677734655741</v>
      </c>
      <c r="AB72" s="9">
        <f>SUM(IF(Career_History!H21=TRUE,IF(A72&lt;Career_History!D21,0,MIN(A72,Career_History!E21)-Career_History!D21+1),0),IF(Career_History!H22=TRUE,IF(A72&lt;Career_History!D22,0,MIN(A72,Career_History!E22)-Career_History!D22+1),0),IF(Career_History!H23=TRUE,IF(A72&lt;Career_History!D23,0,MIN(A72,Career_History!E23)-Career_History!D23+1),0),IF(Career_History!H24=TRUE,IF(A72&lt;Career_History!D24,0,MIN(A72,Career_History!E24)-Career_History!D24+1),0))/365.2425</f>
        <v>20.255036037700979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</row>
    <row r="73" spans="1:67">
      <c r="A73" s="8">
        <v>36860</v>
      </c>
      <c r="B73" s="9">
        <f t="shared" si="3"/>
        <v>30.371602428523516</v>
      </c>
      <c r="C73" s="9">
        <f t="shared" si="4"/>
        <v>9.6023874549100938</v>
      </c>
      <c r="D73" s="9">
        <f t="shared" si="5"/>
        <v>17.938219128387306</v>
      </c>
      <c r="E73" s="9"/>
      <c r="F73" s="9"/>
      <c r="G73" s="9"/>
      <c r="H73" s="9"/>
      <c r="I73" s="9"/>
      <c r="J73" s="9"/>
      <c r="K73" s="9"/>
      <c r="L73" s="9"/>
      <c r="M73" s="9"/>
      <c r="N73" s="9">
        <f>SUM(IF(Career_History!G12=TRUE,IF(A73&lt;Career_History!D12,0,MIN(A73,Career_History!E12)-Career_History!D12+1),0),IF(Career_History!G13=TRUE,IF(A73&lt;Career_History!D13,0,MIN(A73,Career_History!E13)-Career_History!D13+1),0))/365.2425</f>
        <v>29.421548697098501</v>
      </c>
      <c r="O73" s="9">
        <f>SUM(IF(Career_History!I12=TRUE,IF(A73&lt;Career_History!D12,0,MIN(A73,Career_History!E12)-Career_History!D12+1),0),IF(Career_History!I13=TRUE,IF(A73&lt;Career_History!D13,0,MIN(A73,Career_History!E13)-Career_History!D13+1),0))/365.2425</f>
        <v>0</v>
      </c>
      <c r="P73" s="9">
        <f>SUM(IF(Career_History!H12=TRUE,IF(A73&lt;Career_History!D12,0,MIN(A73,Career_History!E12)-Career_History!D12+1),0),IF(Career_History!H13=TRUE,IF(A73&lt;Career_History!D13,0,MIN(A73,Career_History!E13)-Career_History!D13+1),0))/365.2425</f>
        <v>5.9166170421021649</v>
      </c>
      <c r="Q73" s="9">
        <f>SUM(IF(Career_History!G14=TRUE,IF(A73&lt;Career_History!D14,0,MIN(A73,Career_History!E14)-Career_History!D14+1),0),IF(Career_History!G15=TRUE,IF(A73&lt;Career_History!D15,0,MIN(A73,Career_History!E15)-Career_History!D15+1),0))/365.2425</f>
        <v>35.173891318781358</v>
      </c>
      <c r="R73" s="9">
        <f>SUM(IF(Career_History!I14=TRUE,IF(A73&lt;Career_History!D14,0,MIN(A73,Career_History!E14)-Career_History!D14+1),0),IF(Career_History!I15=TRUE,IF(A73&lt;Career_History!D15,0,MIN(A73,Career_History!E15)-Career_History!D15+1),0))/365.2425</f>
        <v>0</v>
      </c>
      <c r="S73" s="9">
        <f>SUM(IF(Career_History!H14=TRUE,IF(A73&lt;Career_History!D14,0,MIN(A73,Career_History!E14)-Career_History!D14+1),0),IF(Career_History!H15=TRUE,IF(A73&lt;Career_History!D15,0,MIN(A73,Career_History!E15)-Career_History!D15+1),0))/365.2425</f>
        <v>35.173891318781358</v>
      </c>
      <c r="T73" s="9">
        <f>SUM(IF(Career_History!G16=TRUE,IF(A73&lt;Career_History!D16,0,MIN(A73,Career_History!E16)-Career_History!D16+1),0),IF(Career_History!G17=TRUE,IF(A73&lt;Career_History!D17,0,MIN(A73,Career_History!E17)-Career_History!D17+1),0))/365.2425</f>
        <v>25.421466559888295</v>
      </c>
      <c r="U73" s="9">
        <f>SUM(IF(Career_History!I16=TRUE,IF(A73&lt;Career_History!D16,0,MIN(A73,Career_History!E16)-Career_History!D16+1),0),IF(Career_History!I17=TRUE,IF(A73&lt;Career_History!D17,0,MIN(A73,Career_History!E17)-Career_History!D17+1),0))/365.2425</f>
        <v>21.506259539894728</v>
      </c>
      <c r="V73" s="9">
        <f>SUM(IF(Career_History!H16=TRUE,IF(A73&lt;Career_History!D16,0,MIN(A73,Career_History!E16)-Career_History!D16+1),0),IF(Career_History!H17=TRUE,IF(A73&lt;Career_History!D17,0,MIN(A73,Career_History!E17)-Career_History!D17+1),0))/365.2425</f>
        <v>25.421466559888295</v>
      </c>
      <c r="W73" s="9">
        <f>SUM(IF(Career_History!G18=TRUE,IF(A73&lt;Career_History!D18,0,MIN(A73,Career_History!E18)-Career_History!D18+1),0),IF(Career_History!G19=TRUE,IF(A73&lt;Career_History!D19,0,MIN(A73,Career_History!E19)-Career_History!D19+1),0),IF(Career_History!G20=TRUE,IF(A73&lt;Career_History!D20,0,MIN(A73,Career_History!E20)-Career_History!D20+1),0))/365.2425</f>
        <v>32.41955686975092</v>
      </c>
      <c r="X73" s="9">
        <f>SUM(IF(Career_History!I18=TRUE,IF(A73&lt;Career_History!D18,0,MIN(A73,Career_History!E18)-Career_History!D18+1),0),IF(Career_History!I19=TRUE,IF(A73&lt;Career_History!D19,0,MIN(A73,Career_History!E19)-Career_History!D19+1),0),IF(Career_History!I20=TRUE,IF(A73&lt;Career_History!D20,0,MIN(A73,Career_History!E20)-Career_History!D20+1),0))/365.2425</f>
        <v>0</v>
      </c>
      <c r="Y73" s="9">
        <f>SUM(IF(Career_History!H18=TRUE,IF(A73&lt;Career_History!D18,0,MIN(A73,Career_History!E18)-Career_History!D18+1),0),IF(Career_History!H19=TRUE,IF(A73&lt;Career_History!D19,0,MIN(A73,Career_History!E19)-Career_History!D19+1),0),IF(Career_History!H20=TRUE,IF(A73&lt;Career_History!D20,0,MIN(A73,Career_History!E20)-Career_History!D20+1),0))/365.2425</f>
        <v>2.8419474732540708</v>
      </c>
      <c r="Z73" s="9">
        <f>SUM(IF(Career_History!G21=TRUE,IF(A73&lt;Career_History!D21,0,MIN(A73,Career_History!E21)-Career_History!D21+1),0),IF(Career_History!G22=TRUE,IF(A73&lt;Career_History!D22,0,MIN(A73,Career_History!E22)-Career_History!D22+1),0),IF(Career_History!G23=TRUE,IF(A73&lt;Career_History!D23,0,MIN(A73,Career_History!E23)-Career_History!D23+1),0),IF(Career_History!G24=TRUE,IF(A73&lt;Career_History!D24,0,MIN(A73,Career_History!E24)-Career_History!D24+1),0))/365.2425</f>
        <v>29.421548697098501</v>
      </c>
      <c r="AA73" s="9">
        <f>SUM(IF(Career_History!I21=TRUE,IF(A73&lt;Career_History!D21,0,MIN(A73,Career_History!E21)-Career_History!D21+1),0),IF(Career_History!I22=TRUE,IF(A73&lt;Career_History!D22,0,MIN(A73,Career_History!E22)-Career_History!D22+1),0),IF(Career_History!I23=TRUE,IF(A73&lt;Career_History!D23,0,MIN(A73,Career_History!E23)-Career_History!D23+1),0),IF(Career_History!I24=TRUE,IF(A73&lt;Career_History!D24,0,MIN(A73,Career_History!E24)-Career_History!D24+1),0))/365.2425</f>
        <v>26.505677734655741</v>
      </c>
      <c r="AB73" s="9">
        <f>SUM(IF(Career_History!H21=TRUE,IF(A73&lt;Career_History!D21,0,MIN(A73,Career_History!E21)-Career_History!D21+1),0),IF(Career_History!H22=TRUE,IF(A73&lt;Career_History!D22,0,MIN(A73,Career_History!E22)-Career_History!D22+1),0),IF(Career_History!H23=TRUE,IF(A73&lt;Career_History!D23,0,MIN(A73,Career_History!E23)-Career_History!D23+1),0),IF(Career_History!H24=TRUE,IF(A73&lt;Career_History!D24,0,MIN(A73,Career_History!E24)-Career_History!D24+1),0))/365.2425</f>
        <v>20.337173247910634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</row>
    <row r="74" spans="1:67">
      <c r="A74" s="8">
        <v>36891</v>
      </c>
      <c r="B74" s="9">
        <f t="shared" si="3"/>
        <v>30.45647754574016</v>
      </c>
      <c r="C74" s="9">
        <f t="shared" si="4"/>
        <v>9.6023874549100938</v>
      </c>
      <c r="D74" s="9">
        <f t="shared" si="5"/>
        <v>18.02309424560395</v>
      </c>
      <c r="E74" s="9"/>
      <c r="F74" s="9"/>
      <c r="G74" s="9"/>
      <c r="H74" s="9"/>
      <c r="I74" s="9"/>
      <c r="J74" s="9"/>
      <c r="K74" s="9"/>
      <c r="L74" s="9"/>
      <c r="M74" s="9"/>
      <c r="N74" s="9">
        <f>SUM(IF(Career_History!G12=TRUE,IF(A74&lt;Career_History!D12,0,MIN(A74,Career_History!E12)-Career_History!D12+1),0),IF(Career_History!G13=TRUE,IF(A74&lt;Career_History!D13,0,MIN(A74,Career_History!E13)-Career_History!D13+1),0))/365.2425</f>
        <v>29.506423814315145</v>
      </c>
      <c r="O74" s="9">
        <f>SUM(IF(Career_History!I12=TRUE,IF(A74&lt;Career_History!D12,0,MIN(A74,Career_History!E12)-Career_History!D12+1),0),IF(Career_History!I13=TRUE,IF(A74&lt;Career_History!D13,0,MIN(A74,Career_History!E13)-Career_History!D13+1),0))/365.2425</f>
        <v>0</v>
      </c>
      <c r="P74" s="9">
        <f>SUM(IF(Career_History!H12=TRUE,IF(A74&lt;Career_History!D12,0,MIN(A74,Career_History!E12)-Career_History!D12+1),0),IF(Career_History!H13=TRUE,IF(A74&lt;Career_History!D13,0,MIN(A74,Career_History!E13)-Career_History!D13+1),0))/365.2425</f>
        <v>6.0014921593188086</v>
      </c>
      <c r="Q74" s="9">
        <f>SUM(IF(Career_History!G14=TRUE,IF(A74&lt;Career_History!D14,0,MIN(A74,Career_History!E14)-Career_History!D14+1),0),IF(Career_History!G15=TRUE,IF(A74&lt;Career_History!D15,0,MIN(A74,Career_History!E15)-Career_History!D15+1),0))/365.2425</f>
        <v>35.258766435997998</v>
      </c>
      <c r="R74" s="9">
        <f>SUM(IF(Career_History!I14=TRUE,IF(A74&lt;Career_History!D14,0,MIN(A74,Career_History!E14)-Career_History!D14+1),0),IF(Career_History!I15=TRUE,IF(A74&lt;Career_History!D15,0,MIN(A74,Career_History!E15)-Career_History!D15+1),0))/365.2425</f>
        <v>0</v>
      </c>
      <c r="S74" s="9">
        <f>SUM(IF(Career_History!H14=TRUE,IF(A74&lt;Career_History!D14,0,MIN(A74,Career_History!E14)-Career_History!D14+1),0),IF(Career_History!H15=TRUE,IF(A74&lt;Career_History!D15,0,MIN(A74,Career_History!E15)-Career_History!D15+1),0))/365.2425</f>
        <v>35.258766435997998</v>
      </c>
      <c r="T74" s="9">
        <f>SUM(IF(Career_History!G16=TRUE,IF(A74&lt;Career_History!D16,0,MIN(A74,Career_History!E16)-Career_History!D16+1),0),IF(Career_History!G17=TRUE,IF(A74&lt;Career_History!D17,0,MIN(A74,Career_History!E17)-Career_History!D17+1),0))/365.2425</f>
        <v>25.506341677104938</v>
      </c>
      <c r="U74" s="9">
        <f>SUM(IF(Career_History!I16=TRUE,IF(A74&lt;Career_History!D16,0,MIN(A74,Career_History!E16)-Career_History!D16+1),0),IF(Career_History!I17=TRUE,IF(A74&lt;Career_History!D17,0,MIN(A74,Career_History!E17)-Career_History!D17+1),0))/365.2425</f>
        <v>21.506259539894728</v>
      </c>
      <c r="V74" s="9">
        <f>SUM(IF(Career_History!H16=TRUE,IF(A74&lt;Career_History!D16,0,MIN(A74,Career_History!E16)-Career_History!D16+1),0),IF(Career_History!H17=TRUE,IF(A74&lt;Career_History!D17,0,MIN(A74,Career_History!E17)-Career_History!D17+1),0))/365.2425</f>
        <v>25.506341677104938</v>
      </c>
      <c r="W74" s="9">
        <f>SUM(IF(Career_History!G18=TRUE,IF(A74&lt;Career_History!D18,0,MIN(A74,Career_History!E18)-Career_History!D18+1),0),IF(Career_History!G19=TRUE,IF(A74&lt;Career_History!D19,0,MIN(A74,Career_History!E19)-Career_History!D19+1),0),IF(Career_History!G20=TRUE,IF(A74&lt;Career_History!D20,0,MIN(A74,Career_History!E20)-Career_History!D20+1),0))/365.2425</f>
        <v>32.50443198696756</v>
      </c>
      <c r="X74" s="9">
        <f>SUM(IF(Career_History!I18=TRUE,IF(A74&lt;Career_History!D18,0,MIN(A74,Career_History!E18)-Career_History!D18+1),0),IF(Career_History!I19=TRUE,IF(A74&lt;Career_History!D19,0,MIN(A74,Career_History!E19)-Career_History!D19+1),0),IF(Career_History!I20=TRUE,IF(A74&lt;Career_History!D20,0,MIN(A74,Career_History!E20)-Career_History!D20+1),0))/365.2425</f>
        <v>0</v>
      </c>
      <c r="Y74" s="9">
        <f>SUM(IF(Career_History!H18=TRUE,IF(A74&lt;Career_History!D18,0,MIN(A74,Career_History!E18)-Career_History!D18+1),0),IF(Career_History!H19=TRUE,IF(A74&lt;Career_History!D19,0,MIN(A74,Career_History!E19)-Career_History!D19+1),0),IF(Career_History!H20=TRUE,IF(A74&lt;Career_History!D20,0,MIN(A74,Career_History!E20)-Career_History!D20+1),0))/365.2425</f>
        <v>2.9268225904707146</v>
      </c>
      <c r="Z74" s="9">
        <f>SUM(IF(Career_History!G21=TRUE,IF(A74&lt;Career_History!D21,0,MIN(A74,Career_History!E21)-Career_History!D21+1),0),IF(Career_History!G22=TRUE,IF(A74&lt;Career_History!D22,0,MIN(A74,Career_History!E22)-Career_History!D22+1),0),IF(Career_History!G23=TRUE,IF(A74&lt;Career_History!D23,0,MIN(A74,Career_History!E23)-Career_History!D23+1),0),IF(Career_History!G24=TRUE,IF(A74&lt;Career_History!D24,0,MIN(A74,Career_History!E24)-Career_History!D24+1),0))/365.2425</f>
        <v>29.506423814315145</v>
      </c>
      <c r="AA74" s="9">
        <f>SUM(IF(Career_History!I21=TRUE,IF(A74&lt;Career_History!D21,0,MIN(A74,Career_History!E21)-Career_History!D21+1),0),IF(Career_History!I22=TRUE,IF(A74&lt;Career_History!D22,0,MIN(A74,Career_History!E22)-Career_History!D22+1),0),IF(Career_History!I23=TRUE,IF(A74&lt;Career_History!D23,0,MIN(A74,Career_History!E23)-Career_History!D23+1),0),IF(Career_History!I24=TRUE,IF(A74&lt;Career_History!D24,0,MIN(A74,Career_History!E24)-Career_History!D24+1),0))/365.2425</f>
        <v>26.505677734655741</v>
      </c>
      <c r="AB74" s="9">
        <f>SUM(IF(Career_History!H21=TRUE,IF(A74&lt;Career_History!D21,0,MIN(A74,Career_History!E21)-Career_History!D21+1),0),IF(Career_History!H22=TRUE,IF(A74&lt;Career_History!D22,0,MIN(A74,Career_History!E22)-Career_History!D22+1),0),IF(Career_History!H23=TRUE,IF(A74&lt;Career_History!D23,0,MIN(A74,Career_History!E23)-Career_History!D23+1),0),IF(Career_History!H24=TRUE,IF(A74&lt;Career_History!D24,0,MIN(A74,Career_History!E24)-Career_History!D24+1),0))/365.2425</f>
        <v>20.422048365127278</v>
      </c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</row>
    <row r="75" spans="1:67">
      <c r="A75" s="8">
        <v>36922</v>
      </c>
      <c r="B75" s="9">
        <f t="shared" si="3"/>
        <v>30.541352662956804</v>
      </c>
      <c r="C75" s="9">
        <f t="shared" si="4"/>
        <v>9.6023874549100938</v>
      </c>
      <c r="D75" s="9">
        <f t="shared" si="5"/>
        <v>18.107969362820594</v>
      </c>
      <c r="E75" s="9"/>
      <c r="F75" s="9"/>
      <c r="G75" s="9"/>
      <c r="H75" s="9"/>
      <c r="I75" s="9"/>
      <c r="J75" s="9"/>
      <c r="K75" s="9"/>
      <c r="L75" s="9"/>
      <c r="M75" s="9"/>
      <c r="N75" s="9">
        <f>SUM(IF(Career_History!G12=TRUE,IF(A75&lt;Career_History!D12,0,MIN(A75,Career_History!E12)-Career_History!D12+1),0),IF(Career_History!G13=TRUE,IF(A75&lt;Career_History!D13,0,MIN(A75,Career_History!E13)-Career_History!D13+1),0))/365.2425</f>
        <v>29.591298931531789</v>
      </c>
      <c r="O75" s="9">
        <f>SUM(IF(Career_History!I12=TRUE,IF(A75&lt;Career_History!D12,0,MIN(A75,Career_History!E12)-Career_History!D12+1),0),IF(Career_History!I13=TRUE,IF(A75&lt;Career_History!D13,0,MIN(A75,Career_History!E13)-Career_History!D13+1),0))/365.2425</f>
        <v>0</v>
      </c>
      <c r="P75" s="9">
        <f>SUM(IF(Career_History!H12=TRUE,IF(A75&lt;Career_History!D12,0,MIN(A75,Career_History!E12)-Career_History!D12+1),0),IF(Career_History!H13=TRUE,IF(A75&lt;Career_History!D13,0,MIN(A75,Career_History!E13)-Career_History!D13+1),0))/365.2425</f>
        <v>6.0863672765354524</v>
      </c>
      <c r="Q75" s="9">
        <f>SUM(IF(Career_History!G14=TRUE,IF(A75&lt;Career_History!D14,0,MIN(A75,Career_History!E14)-Career_History!D14+1),0),IF(Career_History!G15=TRUE,IF(A75&lt;Career_History!D15,0,MIN(A75,Career_History!E15)-Career_History!D15+1),0))/365.2425</f>
        <v>35.343641553214646</v>
      </c>
      <c r="R75" s="9">
        <f>SUM(IF(Career_History!I14=TRUE,IF(A75&lt;Career_History!D14,0,MIN(A75,Career_History!E14)-Career_History!D14+1),0),IF(Career_History!I15=TRUE,IF(A75&lt;Career_History!D15,0,MIN(A75,Career_History!E15)-Career_History!D15+1),0))/365.2425</f>
        <v>0</v>
      </c>
      <c r="S75" s="9">
        <f>SUM(IF(Career_History!H14=TRUE,IF(A75&lt;Career_History!D14,0,MIN(A75,Career_History!E14)-Career_History!D14+1),0),IF(Career_History!H15=TRUE,IF(A75&lt;Career_History!D15,0,MIN(A75,Career_History!E15)-Career_History!D15+1),0))/365.2425</f>
        <v>35.343641553214646</v>
      </c>
      <c r="T75" s="9">
        <f>SUM(IF(Career_History!G16=TRUE,IF(A75&lt;Career_History!D16,0,MIN(A75,Career_History!E16)-Career_History!D16+1),0),IF(Career_History!G17=TRUE,IF(A75&lt;Career_History!D17,0,MIN(A75,Career_History!E17)-Career_History!D17+1),0))/365.2425</f>
        <v>25.591216794321582</v>
      </c>
      <c r="U75" s="9">
        <f>SUM(IF(Career_History!I16=TRUE,IF(A75&lt;Career_History!D16,0,MIN(A75,Career_History!E16)-Career_History!D16+1),0),IF(Career_History!I17=TRUE,IF(A75&lt;Career_History!D17,0,MIN(A75,Career_History!E17)-Career_History!D17+1),0))/365.2425</f>
        <v>21.506259539894728</v>
      </c>
      <c r="V75" s="9">
        <f>SUM(IF(Career_History!H16=TRUE,IF(A75&lt;Career_History!D16,0,MIN(A75,Career_History!E16)-Career_History!D16+1),0),IF(Career_History!H17=TRUE,IF(A75&lt;Career_History!D17,0,MIN(A75,Career_History!E17)-Career_History!D17+1),0))/365.2425</f>
        <v>25.591216794321582</v>
      </c>
      <c r="W75" s="9">
        <f>SUM(IF(Career_History!G18=TRUE,IF(A75&lt;Career_History!D18,0,MIN(A75,Career_History!E18)-Career_History!D18+1),0),IF(Career_History!G19=TRUE,IF(A75&lt;Career_History!D19,0,MIN(A75,Career_History!E19)-Career_History!D19+1),0),IF(Career_History!G20=TRUE,IF(A75&lt;Career_History!D20,0,MIN(A75,Career_History!E20)-Career_History!D20+1),0))/365.2425</f>
        <v>32.589307104184208</v>
      </c>
      <c r="X75" s="9">
        <f>SUM(IF(Career_History!I18=TRUE,IF(A75&lt;Career_History!D18,0,MIN(A75,Career_History!E18)-Career_History!D18+1),0),IF(Career_History!I19=TRUE,IF(A75&lt;Career_History!D19,0,MIN(A75,Career_History!E19)-Career_History!D19+1),0),IF(Career_History!I20=TRUE,IF(A75&lt;Career_History!D20,0,MIN(A75,Career_History!E20)-Career_History!D20+1),0))/365.2425</f>
        <v>0</v>
      </c>
      <c r="Y75" s="9">
        <f>SUM(IF(Career_History!H18=TRUE,IF(A75&lt;Career_History!D18,0,MIN(A75,Career_History!E18)-Career_History!D18+1),0),IF(Career_History!H19=TRUE,IF(A75&lt;Career_History!D19,0,MIN(A75,Career_History!E19)-Career_History!D19+1),0),IF(Career_History!H20=TRUE,IF(A75&lt;Career_History!D20,0,MIN(A75,Career_History!E20)-Career_History!D20+1),0))/365.2425</f>
        <v>3.0116977076873583</v>
      </c>
      <c r="Z75" s="9">
        <f>SUM(IF(Career_History!G21=TRUE,IF(A75&lt;Career_History!D21,0,MIN(A75,Career_History!E21)-Career_History!D21+1),0),IF(Career_History!G22=TRUE,IF(A75&lt;Career_History!D22,0,MIN(A75,Career_History!E22)-Career_History!D22+1),0),IF(Career_History!G23=TRUE,IF(A75&lt;Career_History!D23,0,MIN(A75,Career_History!E23)-Career_History!D23+1),0),IF(Career_History!G24=TRUE,IF(A75&lt;Career_History!D24,0,MIN(A75,Career_History!E24)-Career_History!D24+1),0))/365.2425</f>
        <v>29.591298931531789</v>
      </c>
      <c r="AA75" s="9">
        <f>SUM(IF(Career_History!I21=TRUE,IF(A75&lt;Career_History!D21,0,MIN(A75,Career_History!E21)-Career_History!D21+1),0),IF(Career_History!I22=TRUE,IF(A75&lt;Career_History!D22,0,MIN(A75,Career_History!E22)-Career_History!D22+1),0),IF(Career_History!I23=TRUE,IF(A75&lt;Career_History!D23,0,MIN(A75,Career_History!E23)-Career_History!D23+1),0),IF(Career_History!I24=TRUE,IF(A75&lt;Career_History!D24,0,MIN(A75,Career_History!E24)-Career_History!D24+1),0))/365.2425</f>
        <v>26.505677734655741</v>
      </c>
      <c r="AB75" s="9">
        <f>SUM(IF(Career_History!H21=TRUE,IF(A75&lt;Career_History!D21,0,MIN(A75,Career_History!E21)-Career_History!D21+1),0),IF(Career_History!H22=TRUE,IF(A75&lt;Career_History!D22,0,MIN(A75,Career_History!E22)-Career_History!D22+1),0),IF(Career_History!H23=TRUE,IF(A75&lt;Career_History!D23,0,MIN(A75,Career_History!E23)-Career_History!D23+1),0),IF(Career_History!H24=TRUE,IF(A75&lt;Career_History!D24,0,MIN(A75,Career_History!E24)-Career_History!D24+1),0))/365.2425</f>
        <v>20.506923482343922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</row>
    <row r="76" spans="1:67">
      <c r="A76" s="8">
        <v>36950</v>
      </c>
      <c r="B76" s="9">
        <f t="shared" si="3"/>
        <v>30.618014059152479</v>
      </c>
      <c r="C76" s="9">
        <f t="shared" si="4"/>
        <v>9.6023874549100938</v>
      </c>
      <c r="D76" s="9">
        <f t="shared" si="5"/>
        <v>18.184630759016269</v>
      </c>
      <c r="E76" s="9"/>
      <c r="F76" s="9"/>
      <c r="G76" s="9"/>
      <c r="H76" s="9"/>
      <c r="I76" s="9"/>
      <c r="J76" s="9"/>
      <c r="K76" s="9"/>
      <c r="L76" s="9"/>
      <c r="M76" s="9"/>
      <c r="N76" s="9">
        <f>SUM(IF(Career_History!G12=TRUE,IF(A76&lt;Career_History!D12,0,MIN(A76,Career_History!E12)-Career_History!D12+1),0),IF(Career_History!G13=TRUE,IF(A76&lt;Career_History!D13,0,MIN(A76,Career_History!E13)-Career_History!D13+1),0))/365.2425</f>
        <v>29.667960327727467</v>
      </c>
      <c r="O76" s="9">
        <f>SUM(IF(Career_History!I12=TRUE,IF(A76&lt;Career_History!D12,0,MIN(A76,Career_History!E12)-Career_History!D12+1),0),IF(Career_History!I13=TRUE,IF(A76&lt;Career_History!D13,0,MIN(A76,Career_History!E13)-Career_History!D13+1),0))/365.2425</f>
        <v>0</v>
      </c>
      <c r="P76" s="9">
        <f>SUM(IF(Career_History!H12=TRUE,IF(A76&lt;Career_History!D12,0,MIN(A76,Career_History!E12)-Career_History!D12+1),0),IF(Career_History!H13=TRUE,IF(A76&lt;Career_History!D13,0,MIN(A76,Career_History!E13)-Career_History!D13+1),0))/365.2425</f>
        <v>6.163028672731131</v>
      </c>
      <c r="Q76" s="9">
        <f>SUM(IF(Career_History!G14=TRUE,IF(A76&lt;Career_History!D14,0,MIN(A76,Career_History!E14)-Career_History!D14+1),0),IF(Career_History!G15=TRUE,IF(A76&lt;Career_History!D15,0,MIN(A76,Career_History!E15)-Career_History!D15+1),0))/365.2425</f>
        <v>35.420302949410321</v>
      </c>
      <c r="R76" s="9">
        <f>SUM(IF(Career_History!I14=TRUE,IF(A76&lt;Career_History!D14,0,MIN(A76,Career_History!E14)-Career_History!D14+1),0),IF(Career_History!I15=TRUE,IF(A76&lt;Career_History!D15,0,MIN(A76,Career_History!E15)-Career_History!D15+1),0))/365.2425</f>
        <v>0</v>
      </c>
      <c r="S76" s="9">
        <f>SUM(IF(Career_History!H14=TRUE,IF(A76&lt;Career_History!D14,0,MIN(A76,Career_History!E14)-Career_History!D14+1),0),IF(Career_History!H15=TRUE,IF(A76&lt;Career_History!D15,0,MIN(A76,Career_History!E15)-Career_History!D15+1),0))/365.2425</f>
        <v>35.420302949410321</v>
      </c>
      <c r="T76" s="9">
        <f>SUM(IF(Career_History!G16=TRUE,IF(A76&lt;Career_History!D16,0,MIN(A76,Career_History!E16)-Career_History!D16+1),0),IF(Career_History!G17=TRUE,IF(A76&lt;Career_History!D17,0,MIN(A76,Career_History!E17)-Career_History!D17+1),0))/365.2425</f>
        <v>25.667878190517257</v>
      </c>
      <c r="U76" s="9">
        <f>SUM(IF(Career_History!I16=TRUE,IF(A76&lt;Career_History!D16,0,MIN(A76,Career_History!E16)-Career_History!D16+1),0),IF(Career_History!I17=TRUE,IF(A76&lt;Career_History!D17,0,MIN(A76,Career_History!E17)-Career_History!D17+1),0))/365.2425</f>
        <v>21.506259539894728</v>
      </c>
      <c r="V76" s="9">
        <f>SUM(IF(Career_History!H16=TRUE,IF(A76&lt;Career_History!D16,0,MIN(A76,Career_History!E16)-Career_History!D16+1),0),IF(Career_History!H17=TRUE,IF(A76&lt;Career_History!D17,0,MIN(A76,Career_History!E17)-Career_History!D17+1),0))/365.2425</f>
        <v>25.667878190517257</v>
      </c>
      <c r="W76" s="9">
        <f>SUM(IF(Career_History!G18=TRUE,IF(A76&lt;Career_History!D18,0,MIN(A76,Career_History!E18)-Career_History!D18+1),0),IF(Career_History!G19=TRUE,IF(A76&lt;Career_History!D19,0,MIN(A76,Career_History!E19)-Career_History!D19+1),0),IF(Career_History!G20=TRUE,IF(A76&lt;Career_History!D20,0,MIN(A76,Career_History!E20)-Career_History!D20+1),0))/365.2425</f>
        <v>32.665968500379883</v>
      </c>
      <c r="X76" s="9">
        <f>SUM(IF(Career_History!I18=TRUE,IF(A76&lt;Career_History!D18,0,MIN(A76,Career_History!E18)-Career_History!D18+1),0),IF(Career_History!I19=TRUE,IF(A76&lt;Career_History!D19,0,MIN(A76,Career_History!E19)-Career_History!D19+1),0),IF(Career_History!I20=TRUE,IF(A76&lt;Career_History!D20,0,MIN(A76,Career_History!E20)-Career_History!D20+1),0))/365.2425</f>
        <v>0</v>
      </c>
      <c r="Y76" s="9">
        <f>SUM(IF(Career_History!H18=TRUE,IF(A76&lt;Career_History!D18,0,MIN(A76,Career_History!E18)-Career_History!D18+1),0),IF(Career_History!H19=TRUE,IF(A76&lt;Career_History!D19,0,MIN(A76,Career_History!E19)-Career_History!D19+1),0),IF(Career_History!H20=TRUE,IF(A76&lt;Career_History!D20,0,MIN(A76,Career_History!E20)-Career_History!D20+1),0))/365.2425</f>
        <v>3.0883591038830365</v>
      </c>
      <c r="Z76" s="9">
        <f>SUM(IF(Career_History!G21=TRUE,IF(A76&lt;Career_History!D21,0,MIN(A76,Career_History!E21)-Career_History!D21+1),0),IF(Career_History!G22=TRUE,IF(A76&lt;Career_History!D22,0,MIN(A76,Career_History!E22)-Career_History!D22+1),0),IF(Career_History!G23=TRUE,IF(A76&lt;Career_History!D23,0,MIN(A76,Career_History!E23)-Career_History!D23+1),0),IF(Career_History!G24=TRUE,IF(A76&lt;Career_History!D24,0,MIN(A76,Career_History!E24)-Career_History!D24+1),0))/365.2425</f>
        <v>29.667960327727467</v>
      </c>
      <c r="AA76" s="9">
        <f>SUM(IF(Career_History!I21=TRUE,IF(A76&lt;Career_History!D21,0,MIN(A76,Career_History!E21)-Career_History!D21+1),0),IF(Career_History!I22=TRUE,IF(A76&lt;Career_History!D22,0,MIN(A76,Career_History!E22)-Career_History!D22+1),0),IF(Career_History!I23=TRUE,IF(A76&lt;Career_History!D23,0,MIN(A76,Career_History!E23)-Career_History!D23+1),0),IF(Career_History!I24=TRUE,IF(A76&lt;Career_History!D24,0,MIN(A76,Career_History!E24)-Career_History!D24+1),0))/365.2425</f>
        <v>26.505677734655741</v>
      </c>
      <c r="AB76" s="9">
        <f>SUM(IF(Career_History!H21=TRUE,IF(A76&lt;Career_History!D21,0,MIN(A76,Career_History!E21)-Career_History!D21+1),0),IF(Career_History!H22=TRUE,IF(A76&lt;Career_History!D22,0,MIN(A76,Career_History!E22)-Career_History!D22+1),0),IF(Career_History!H23=TRUE,IF(A76&lt;Career_History!D23,0,MIN(A76,Career_History!E23)-Career_History!D23+1),0),IF(Career_History!H24=TRUE,IF(A76&lt;Career_History!D24,0,MIN(A76,Career_History!E24)-Career_History!D24+1),0))/365.2425</f>
        <v>20.5835848785396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</row>
    <row r="77" spans="1:67">
      <c r="A77" s="8">
        <v>36981</v>
      </c>
      <c r="B77" s="9">
        <f t="shared" si="3"/>
        <v>30.702889176369126</v>
      </c>
      <c r="C77" s="9">
        <f t="shared" si="4"/>
        <v>9.6023874549100938</v>
      </c>
      <c r="D77" s="9">
        <f t="shared" si="5"/>
        <v>18.269505876232916</v>
      </c>
      <c r="E77" s="9"/>
      <c r="F77" s="9"/>
      <c r="G77" s="9"/>
      <c r="H77" s="9"/>
      <c r="I77" s="9"/>
      <c r="J77" s="9"/>
      <c r="K77" s="9"/>
      <c r="L77" s="9"/>
      <c r="M77" s="9"/>
      <c r="N77" s="9">
        <f>SUM(IF(Career_History!G12=TRUE,IF(A77&lt;Career_History!D12,0,MIN(A77,Career_History!E12)-Career_History!D12+1),0),IF(Career_History!G13=TRUE,IF(A77&lt;Career_History!D13,0,MIN(A77,Career_History!E13)-Career_History!D13+1),0))/365.2425</f>
        <v>29.752835444944111</v>
      </c>
      <c r="O77" s="9">
        <f>SUM(IF(Career_History!I12=TRUE,IF(A77&lt;Career_History!D12,0,MIN(A77,Career_History!E12)-Career_History!D12+1),0),IF(Career_History!I13=TRUE,IF(A77&lt;Career_History!D13,0,MIN(A77,Career_History!E13)-Career_History!D13+1),0))/365.2425</f>
        <v>0</v>
      </c>
      <c r="P77" s="9">
        <f>SUM(IF(Career_History!H12=TRUE,IF(A77&lt;Career_History!D12,0,MIN(A77,Career_History!E12)-Career_History!D12+1),0),IF(Career_History!H13=TRUE,IF(A77&lt;Career_History!D13,0,MIN(A77,Career_History!E13)-Career_History!D13+1),0))/365.2425</f>
        <v>6.2479037899477747</v>
      </c>
      <c r="Q77" s="9">
        <f>SUM(IF(Career_History!G14=TRUE,IF(A77&lt;Career_History!D14,0,MIN(A77,Career_History!E14)-Career_History!D14+1),0),IF(Career_History!G15=TRUE,IF(A77&lt;Career_History!D15,0,MIN(A77,Career_History!E15)-Career_History!D15+1),0))/365.2425</f>
        <v>35.505178066626968</v>
      </c>
      <c r="R77" s="9">
        <f>SUM(IF(Career_History!I14=TRUE,IF(A77&lt;Career_History!D14,0,MIN(A77,Career_History!E14)-Career_History!D14+1),0),IF(Career_History!I15=TRUE,IF(A77&lt;Career_History!D15,0,MIN(A77,Career_History!E15)-Career_History!D15+1),0))/365.2425</f>
        <v>0</v>
      </c>
      <c r="S77" s="9">
        <f>SUM(IF(Career_History!H14=TRUE,IF(A77&lt;Career_History!D14,0,MIN(A77,Career_History!E14)-Career_History!D14+1),0),IF(Career_History!H15=TRUE,IF(A77&lt;Career_History!D15,0,MIN(A77,Career_History!E15)-Career_History!D15+1),0))/365.2425</f>
        <v>35.505178066626968</v>
      </c>
      <c r="T77" s="9">
        <f>SUM(IF(Career_History!G16=TRUE,IF(A77&lt;Career_History!D16,0,MIN(A77,Career_History!E16)-Career_History!D16+1),0),IF(Career_History!G17=TRUE,IF(A77&lt;Career_History!D17,0,MIN(A77,Career_History!E17)-Career_History!D17+1),0))/365.2425</f>
        <v>25.752753307733901</v>
      </c>
      <c r="U77" s="9">
        <f>SUM(IF(Career_History!I16=TRUE,IF(A77&lt;Career_History!D16,0,MIN(A77,Career_History!E16)-Career_History!D16+1),0),IF(Career_History!I17=TRUE,IF(A77&lt;Career_History!D17,0,MIN(A77,Career_History!E17)-Career_History!D17+1),0))/365.2425</f>
        <v>21.506259539894728</v>
      </c>
      <c r="V77" s="9">
        <f>SUM(IF(Career_History!H16=TRUE,IF(A77&lt;Career_History!D16,0,MIN(A77,Career_History!E16)-Career_History!D16+1),0),IF(Career_History!H17=TRUE,IF(A77&lt;Career_History!D17,0,MIN(A77,Career_History!E17)-Career_History!D17+1),0))/365.2425</f>
        <v>25.752753307733901</v>
      </c>
      <c r="W77" s="9">
        <f>SUM(IF(Career_History!G18=TRUE,IF(A77&lt;Career_History!D18,0,MIN(A77,Career_History!E18)-Career_History!D18+1),0),IF(Career_History!G19=TRUE,IF(A77&lt;Career_History!D19,0,MIN(A77,Career_History!E19)-Career_History!D19+1),0),IF(Career_History!G20=TRUE,IF(A77&lt;Career_History!D20,0,MIN(A77,Career_History!E20)-Career_History!D20+1),0))/365.2425</f>
        <v>32.75084361759653</v>
      </c>
      <c r="X77" s="9">
        <f>SUM(IF(Career_History!I18=TRUE,IF(A77&lt;Career_History!D18,0,MIN(A77,Career_History!E18)-Career_History!D18+1),0),IF(Career_History!I19=TRUE,IF(A77&lt;Career_History!D19,0,MIN(A77,Career_History!E19)-Career_History!D19+1),0),IF(Career_History!I20=TRUE,IF(A77&lt;Career_History!D20,0,MIN(A77,Career_History!E20)-Career_History!D20+1),0))/365.2425</f>
        <v>0</v>
      </c>
      <c r="Y77" s="9">
        <f>SUM(IF(Career_History!H18=TRUE,IF(A77&lt;Career_History!D18,0,MIN(A77,Career_History!E18)-Career_History!D18+1),0),IF(Career_History!H19=TRUE,IF(A77&lt;Career_History!D19,0,MIN(A77,Career_History!E19)-Career_History!D19+1),0),IF(Career_History!H20=TRUE,IF(A77&lt;Career_History!D20,0,MIN(A77,Career_History!E20)-Career_History!D20+1),0))/365.2425</f>
        <v>3.1732342210996802</v>
      </c>
      <c r="Z77" s="9">
        <f>SUM(IF(Career_History!G21=TRUE,IF(A77&lt;Career_History!D21,0,MIN(A77,Career_History!E21)-Career_History!D21+1),0),IF(Career_History!G22=TRUE,IF(A77&lt;Career_History!D22,0,MIN(A77,Career_History!E22)-Career_History!D22+1),0),IF(Career_History!G23=TRUE,IF(A77&lt;Career_History!D23,0,MIN(A77,Career_History!E23)-Career_History!D23+1),0),IF(Career_History!G24=TRUE,IF(A77&lt;Career_History!D24,0,MIN(A77,Career_History!E24)-Career_History!D24+1),0))/365.2425</f>
        <v>29.752835444944111</v>
      </c>
      <c r="AA77" s="9">
        <f>SUM(IF(Career_History!I21=TRUE,IF(A77&lt;Career_History!D21,0,MIN(A77,Career_History!E21)-Career_History!D21+1),0),IF(Career_History!I22=TRUE,IF(A77&lt;Career_History!D22,0,MIN(A77,Career_History!E22)-Career_History!D22+1),0),IF(Career_History!I23=TRUE,IF(A77&lt;Career_History!D23,0,MIN(A77,Career_History!E23)-Career_History!D23+1),0),IF(Career_History!I24=TRUE,IF(A77&lt;Career_History!D24,0,MIN(A77,Career_History!E24)-Career_History!D24+1),0))/365.2425</f>
        <v>26.505677734655741</v>
      </c>
      <c r="AB77" s="9">
        <f>SUM(IF(Career_History!H21=TRUE,IF(A77&lt;Career_History!D21,0,MIN(A77,Career_History!E21)-Career_History!D21+1),0),IF(Career_History!H22=TRUE,IF(A77&lt;Career_History!D22,0,MIN(A77,Career_History!E22)-Career_History!D22+1),0),IF(Career_History!H23=TRUE,IF(A77&lt;Career_History!D23,0,MIN(A77,Career_History!E23)-Career_History!D23+1),0),IF(Career_History!H24=TRUE,IF(A77&lt;Career_History!D24,0,MIN(A77,Career_History!E24)-Career_History!D24+1),0))/365.2425</f>
        <v>20.668459995756244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</row>
    <row r="78" spans="1:67">
      <c r="A78" s="8">
        <v>37011</v>
      </c>
      <c r="B78" s="9">
        <f t="shared" si="3"/>
        <v>30.785026386578778</v>
      </c>
      <c r="C78" s="9">
        <f t="shared" si="4"/>
        <v>9.6023874549100938</v>
      </c>
      <c r="D78" s="9">
        <f t="shared" si="5"/>
        <v>18.351643086442571</v>
      </c>
      <c r="E78" s="9"/>
      <c r="F78" s="9"/>
      <c r="G78" s="9"/>
      <c r="H78" s="9"/>
      <c r="I78" s="9"/>
      <c r="J78" s="9"/>
      <c r="K78" s="9"/>
      <c r="L78" s="9"/>
      <c r="M78" s="9"/>
      <c r="N78" s="9">
        <f>SUM(IF(Career_History!G12=TRUE,IF(A78&lt;Career_History!D12,0,MIN(A78,Career_History!E12)-Career_History!D12+1),0),IF(Career_History!G13=TRUE,IF(A78&lt;Career_History!D13,0,MIN(A78,Career_History!E13)-Career_History!D13+1),0))/365.2425</f>
        <v>29.834972655153766</v>
      </c>
      <c r="O78" s="9">
        <f>SUM(IF(Career_History!I12=TRUE,IF(A78&lt;Career_History!D12,0,MIN(A78,Career_History!E12)-Career_History!D12+1),0),IF(Career_History!I13=TRUE,IF(A78&lt;Career_History!D13,0,MIN(A78,Career_History!E13)-Career_History!D13+1),0))/365.2425</f>
        <v>0</v>
      </c>
      <c r="P78" s="9">
        <f>SUM(IF(Career_History!H12=TRUE,IF(A78&lt;Career_History!D12,0,MIN(A78,Career_History!E12)-Career_History!D12+1),0),IF(Career_History!H13=TRUE,IF(A78&lt;Career_History!D13,0,MIN(A78,Career_History!E13)-Career_History!D13+1),0))/365.2425</f>
        <v>6.3300410001574292</v>
      </c>
      <c r="Q78" s="9">
        <f>SUM(IF(Career_History!G14=TRUE,IF(A78&lt;Career_History!D14,0,MIN(A78,Career_History!E14)-Career_History!D14+1),0),IF(Career_History!G15=TRUE,IF(A78&lt;Career_History!D15,0,MIN(A78,Career_History!E15)-Career_History!D15+1),0))/365.2425</f>
        <v>35.58731527683662</v>
      </c>
      <c r="R78" s="9">
        <f>SUM(IF(Career_History!I14=TRUE,IF(A78&lt;Career_History!D14,0,MIN(A78,Career_History!E14)-Career_History!D14+1),0),IF(Career_History!I15=TRUE,IF(A78&lt;Career_History!D15,0,MIN(A78,Career_History!E15)-Career_History!D15+1),0))/365.2425</f>
        <v>0</v>
      </c>
      <c r="S78" s="9">
        <f>SUM(IF(Career_History!H14=TRUE,IF(A78&lt;Career_History!D14,0,MIN(A78,Career_History!E14)-Career_History!D14+1),0),IF(Career_History!H15=TRUE,IF(A78&lt;Career_History!D15,0,MIN(A78,Career_History!E15)-Career_History!D15+1),0))/365.2425</f>
        <v>35.58731527683662</v>
      </c>
      <c r="T78" s="9">
        <f>SUM(IF(Career_History!G16=TRUE,IF(A78&lt;Career_History!D16,0,MIN(A78,Career_History!E16)-Career_History!D16+1),0),IF(Career_History!G17=TRUE,IF(A78&lt;Career_History!D17,0,MIN(A78,Career_History!E17)-Career_History!D17+1),0))/365.2425</f>
        <v>25.834890517943556</v>
      </c>
      <c r="U78" s="9">
        <f>SUM(IF(Career_History!I16=TRUE,IF(A78&lt;Career_History!D16,0,MIN(A78,Career_History!E16)-Career_History!D16+1),0),IF(Career_History!I17=TRUE,IF(A78&lt;Career_History!D17,0,MIN(A78,Career_History!E17)-Career_History!D17+1),0))/365.2425</f>
        <v>21.506259539894728</v>
      </c>
      <c r="V78" s="9">
        <f>SUM(IF(Career_History!H16=TRUE,IF(A78&lt;Career_History!D16,0,MIN(A78,Career_History!E16)-Career_History!D16+1),0),IF(Career_History!H17=TRUE,IF(A78&lt;Career_History!D17,0,MIN(A78,Career_History!E17)-Career_History!D17+1),0))/365.2425</f>
        <v>25.834890517943556</v>
      </c>
      <c r="W78" s="9">
        <f>SUM(IF(Career_History!G18=TRUE,IF(A78&lt;Career_History!D18,0,MIN(A78,Career_History!E18)-Career_History!D18+1),0),IF(Career_History!G19=TRUE,IF(A78&lt;Career_History!D19,0,MIN(A78,Career_History!E19)-Career_History!D19+1),0),IF(Career_History!G20=TRUE,IF(A78&lt;Career_History!D20,0,MIN(A78,Career_History!E20)-Career_History!D20+1),0))/365.2425</f>
        <v>32.832980827806182</v>
      </c>
      <c r="X78" s="9">
        <f>SUM(IF(Career_History!I18=TRUE,IF(A78&lt;Career_History!D18,0,MIN(A78,Career_History!E18)-Career_History!D18+1),0),IF(Career_History!I19=TRUE,IF(A78&lt;Career_History!D19,0,MIN(A78,Career_History!E19)-Career_History!D19+1),0),IF(Career_History!I20=TRUE,IF(A78&lt;Career_History!D20,0,MIN(A78,Career_History!E20)-Career_History!D20+1),0))/365.2425</f>
        <v>0</v>
      </c>
      <c r="Y78" s="9">
        <f>SUM(IF(Career_History!H18=TRUE,IF(A78&lt;Career_History!D18,0,MIN(A78,Career_History!E18)-Career_History!D18+1),0),IF(Career_History!H19=TRUE,IF(A78&lt;Career_History!D19,0,MIN(A78,Career_History!E19)-Career_History!D19+1),0),IF(Career_History!H20=TRUE,IF(A78&lt;Career_History!D20,0,MIN(A78,Career_History!E20)-Career_History!D20+1),0))/365.2425</f>
        <v>3.2553714313093356</v>
      </c>
      <c r="Z78" s="9">
        <f>SUM(IF(Career_History!G21=TRUE,IF(A78&lt;Career_History!D21,0,MIN(A78,Career_History!E21)-Career_History!D21+1),0),IF(Career_History!G22=TRUE,IF(A78&lt;Career_History!D22,0,MIN(A78,Career_History!E22)-Career_History!D22+1),0),IF(Career_History!G23=TRUE,IF(A78&lt;Career_History!D23,0,MIN(A78,Career_History!E23)-Career_History!D23+1),0),IF(Career_History!G24=TRUE,IF(A78&lt;Career_History!D24,0,MIN(A78,Career_History!E24)-Career_History!D24+1),0))/365.2425</f>
        <v>29.834972655153766</v>
      </c>
      <c r="AA78" s="9">
        <f>SUM(IF(Career_History!I21=TRUE,IF(A78&lt;Career_History!D21,0,MIN(A78,Career_History!E21)-Career_History!D21+1),0),IF(Career_History!I22=TRUE,IF(A78&lt;Career_History!D22,0,MIN(A78,Career_History!E22)-Career_History!D22+1),0),IF(Career_History!I23=TRUE,IF(A78&lt;Career_History!D23,0,MIN(A78,Career_History!E23)-Career_History!D23+1),0),IF(Career_History!I24=TRUE,IF(A78&lt;Career_History!D24,0,MIN(A78,Career_History!E24)-Career_History!D24+1),0))/365.2425</f>
        <v>26.505677734655741</v>
      </c>
      <c r="AB78" s="9">
        <f>SUM(IF(Career_History!H21=TRUE,IF(A78&lt;Career_History!D21,0,MIN(A78,Career_History!E21)-Career_History!D21+1),0),IF(Career_History!H22=TRUE,IF(A78&lt;Career_History!D22,0,MIN(A78,Career_History!E22)-Career_History!D22+1),0),IF(Career_History!H23=TRUE,IF(A78&lt;Career_History!D23,0,MIN(A78,Career_History!E23)-Career_History!D23+1),0),IF(Career_History!H24=TRUE,IF(A78&lt;Career_History!D24,0,MIN(A78,Career_History!E24)-Career_History!D24+1),0))/365.2425</f>
        <v>20.750597205965899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</row>
    <row r="79" spans="1:67">
      <c r="A79" s="8">
        <v>37042</v>
      </c>
      <c r="B79" s="9">
        <f t="shared" si="3"/>
        <v>30.869901503795425</v>
      </c>
      <c r="C79" s="9">
        <f t="shared" si="4"/>
        <v>9.6023874549100938</v>
      </c>
      <c r="D79" s="9">
        <f t="shared" si="5"/>
        <v>18.436518203659212</v>
      </c>
      <c r="E79" s="9"/>
      <c r="F79" s="9"/>
      <c r="G79" s="9"/>
      <c r="H79" s="9"/>
      <c r="I79" s="9"/>
      <c r="J79" s="9"/>
      <c r="K79" s="9"/>
      <c r="L79" s="9"/>
      <c r="M79" s="9"/>
      <c r="N79" s="9">
        <f>SUM(IF(Career_History!G12=TRUE,IF(A79&lt;Career_History!D12,0,MIN(A79,Career_History!E12)-Career_History!D12+1),0),IF(Career_History!G13=TRUE,IF(A79&lt;Career_History!D13,0,MIN(A79,Career_History!E13)-Career_History!D13+1),0))/365.2425</f>
        <v>29.91984777237041</v>
      </c>
      <c r="O79" s="9">
        <f>SUM(IF(Career_History!I12=TRUE,IF(A79&lt;Career_History!D12,0,MIN(A79,Career_History!E12)-Career_History!D12+1),0),IF(Career_History!I13=TRUE,IF(A79&lt;Career_History!D13,0,MIN(A79,Career_History!E13)-Career_History!D13+1),0))/365.2425</f>
        <v>0</v>
      </c>
      <c r="P79" s="9">
        <f>SUM(IF(Career_History!H12=TRUE,IF(A79&lt;Career_History!D12,0,MIN(A79,Career_History!E12)-Career_History!D12+1),0),IF(Career_History!H13=TRUE,IF(A79&lt;Career_History!D13,0,MIN(A79,Career_History!E13)-Career_History!D13+1),0))/365.2425</f>
        <v>6.414916117374073</v>
      </c>
      <c r="Q79" s="9">
        <f>SUM(IF(Career_History!G14=TRUE,IF(A79&lt;Career_History!D14,0,MIN(A79,Career_History!E14)-Career_History!D14+1),0),IF(Career_History!G15=TRUE,IF(A79&lt;Career_History!D15,0,MIN(A79,Career_History!E15)-Career_History!D15+1),0))/365.2425</f>
        <v>35.672190394053267</v>
      </c>
      <c r="R79" s="9">
        <f>SUM(IF(Career_History!I14=TRUE,IF(A79&lt;Career_History!D14,0,MIN(A79,Career_History!E14)-Career_History!D14+1),0),IF(Career_History!I15=TRUE,IF(A79&lt;Career_History!D15,0,MIN(A79,Career_History!E15)-Career_History!D15+1),0))/365.2425</f>
        <v>0</v>
      </c>
      <c r="S79" s="9">
        <f>SUM(IF(Career_History!H14=TRUE,IF(A79&lt;Career_History!D14,0,MIN(A79,Career_History!E14)-Career_History!D14+1),0),IF(Career_History!H15=TRUE,IF(A79&lt;Career_History!D15,0,MIN(A79,Career_History!E15)-Career_History!D15+1),0))/365.2425</f>
        <v>35.672190394053267</v>
      </c>
      <c r="T79" s="9">
        <f>SUM(IF(Career_History!G16=TRUE,IF(A79&lt;Career_History!D16,0,MIN(A79,Career_History!E16)-Career_History!D16+1),0),IF(Career_History!G17=TRUE,IF(A79&lt;Career_History!D17,0,MIN(A79,Career_History!E17)-Career_History!D17+1),0))/365.2425</f>
        <v>25.9197656351602</v>
      </c>
      <c r="U79" s="9">
        <f>SUM(IF(Career_History!I16=TRUE,IF(A79&lt;Career_History!D16,0,MIN(A79,Career_History!E16)-Career_History!D16+1),0),IF(Career_History!I17=TRUE,IF(A79&lt;Career_History!D17,0,MIN(A79,Career_History!E17)-Career_History!D17+1),0))/365.2425</f>
        <v>21.506259539894728</v>
      </c>
      <c r="V79" s="9">
        <f>SUM(IF(Career_History!H16=TRUE,IF(A79&lt;Career_History!D16,0,MIN(A79,Career_History!E16)-Career_History!D16+1),0),IF(Career_History!H17=TRUE,IF(A79&lt;Career_History!D17,0,MIN(A79,Career_History!E17)-Career_History!D17+1),0))/365.2425</f>
        <v>25.9197656351602</v>
      </c>
      <c r="W79" s="9">
        <f>SUM(IF(Career_History!G18=TRUE,IF(A79&lt;Career_History!D18,0,MIN(A79,Career_History!E18)-Career_History!D18+1),0),IF(Career_History!G19=TRUE,IF(A79&lt;Career_History!D19,0,MIN(A79,Career_History!E19)-Career_History!D19+1),0),IF(Career_History!G20=TRUE,IF(A79&lt;Career_History!D20,0,MIN(A79,Career_History!E20)-Career_History!D20+1),0))/365.2425</f>
        <v>32.917855945022829</v>
      </c>
      <c r="X79" s="9">
        <f>SUM(IF(Career_History!I18=TRUE,IF(A79&lt;Career_History!D18,0,MIN(A79,Career_History!E18)-Career_History!D18+1),0),IF(Career_History!I19=TRUE,IF(A79&lt;Career_History!D19,0,MIN(A79,Career_History!E19)-Career_History!D19+1),0),IF(Career_History!I20=TRUE,IF(A79&lt;Career_History!D20,0,MIN(A79,Career_History!E20)-Career_History!D20+1),0))/365.2425</f>
        <v>0</v>
      </c>
      <c r="Y79" s="9">
        <f>SUM(IF(Career_History!H18=TRUE,IF(A79&lt;Career_History!D18,0,MIN(A79,Career_History!E18)-Career_History!D18+1),0),IF(Career_History!H19=TRUE,IF(A79&lt;Career_History!D19,0,MIN(A79,Career_History!E19)-Career_History!D19+1),0),IF(Career_History!H20=TRUE,IF(A79&lt;Career_History!D20,0,MIN(A79,Career_History!E20)-Career_History!D20+1),0))/365.2425</f>
        <v>3.3402465485259794</v>
      </c>
      <c r="Z79" s="9">
        <f>SUM(IF(Career_History!G21=TRUE,IF(A79&lt;Career_History!D21,0,MIN(A79,Career_History!E21)-Career_History!D21+1),0),IF(Career_History!G22=TRUE,IF(A79&lt;Career_History!D22,0,MIN(A79,Career_History!E22)-Career_History!D22+1),0),IF(Career_History!G23=TRUE,IF(A79&lt;Career_History!D23,0,MIN(A79,Career_History!E23)-Career_History!D23+1),0),IF(Career_History!G24=TRUE,IF(A79&lt;Career_History!D24,0,MIN(A79,Career_History!E24)-Career_History!D24+1),0))/365.2425</f>
        <v>29.91984777237041</v>
      </c>
      <c r="AA79" s="9">
        <f>SUM(IF(Career_History!I21=TRUE,IF(A79&lt;Career_History!D21,0,MIN(A79,Career_History!E21)-Career_History!D21+1),0),IF(Career_History!I22=TRUE,IF(A79&lt;Career_History!D22,0,MIN(A79,Career_History!E22)-Career_History!D22+1),0),IF(Career_History!I23=TRUE,IF(A79&lt;Career_History!D23,0,MIN(A79,Career_History!E23)-Career_History!D23+1),0),IF(Career_History!I24=TRUE,IF(A79&lt;Career_History!D24,0,MIN(A79,Career_History!E24)-Career_History!D24+1),0))/365.2425</f>
        <v>26.505677734655741</v>
      </c>
      <c r="AB79" s="9">
        <f>SUM(IF(Career_History!H21=TRUE,IF(A79&lt;Career_History!D21,0,MIN(A79,Career_History!E21)-Career_History!D21+1),0),IF(Career_History!H22=TRUE,IF(A79&lt;Career_History!D22,0,MIN(A79,Career_History!E22)-Career_History!D22+1),0),IF(Career_History!H23=TRUE,IF(A79&lt;Career_History!D23,0,MIN(A79,Career_History!E23)-Career_History!D23+1),0),IF(Career_History!H24=TRUE,IF(A79&lt;Career_History!D24,0,MIN(A79,Career_History!E24)-Career_History!D24+1),0))/365.2425</f>
        <v>20.835472323182543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</row>
    <row r="80" spans="1:67">
      <c r="A80" s="8">
        <v>37072</v>
      </c>
      <c r="B80" s="9">
        <f t="shared" si="3"/>
        <v>30.952038714005077</v>
      </c>
      <c r="C80" s="9">
        <f t="shared" si="4"/>
        <v>9.6023874549100938</v>
      </c>
      <c r="D80" s="9">
        <f t="shared" si="5"/>
        <v>18.518655413868863</v>
      </c>
      <c r="E80" s="9"/>
      <c r="F80" s="9"/>
      <c r="G80" s="9"/>
      <c r="H80" s="9"/>
      <c r="I80" s="9"/>
      <c r="J80" s="9"/>
      <c r="K80" s="9"/>
      <c r="L80" s="9"/>
      <c r="M80" s="9"/>
      <c r="N80" s="9">
        <f>SUM(IF(Career_History!G12=TRUE,IF(A80&lt;Career_History!D12,0,MIN(A80,Career_History!E12)-Career_History!D12+1),0),IF(Career_History!G13=TRUE,IF(A80&lt;Career_History!D13,0,MIN(A80,Career_History!E13)-Career_History!D13+1),0))/365.2425</f>
        <v>30.001984982580066</v>
      </c>
      <c r="O80" s="9">
        <f>SUM(IF(Career_History!I12=TRUE,IF(A80&lt;Career_History!D12,0,MIN(A80,Career_History!E12)-Career_History!D12+1),0),IF(Career_History!I13=TRUE,IF(A80&lt;Career_History!D13,0,MIN(A80,Career_History!E13)-Career_History!D13+1),0))/365.2425</f>
        <v>0</v>
      </c>
      <c r="P80" s="9">
        <f>SUM(IF(Career_History!H12=TRUE,IF(A80&lt;Career_History!D12,0,MIN(A80,Career_History!E12)-Career_History!D12+1),0),IF(Career_History!H13=TRUE,IF(A80&lt;Career_History!D13,0,MIN(A80,Career_History!E13)-Career_History!D13+1),0))/365.2425</f>
        <v>6.4970533275837283</v>
      </c>
      <c r="Q80" s="9">
        <f>SUM(IF(Career_History!G14=TRUE,IF(A80&lt;Career_History!D14,0,MIN(A80,Career_History!E14)-Career_History!D14+1),0),IF(Career_History!G15=TRUE,IF(A80&lt;Career_History!D15,0,MIN(A80,Career_History!E15)-Career_History!D15+1),0))/365.2425</f>
        <v>35.754327604262919</v>
      </c>
      <c r="R80" s="9">
        <f>SUM(IF(Career_History!I14=TRUE,IF(A80&lt;Career_History!D14,0,MIN(A80,Career_History!E14)-Career_History!D14+1),0),IF(Career_History!I15=TRUE,IF(A80&lt;Career_History!D15,0,MIN(A80,Career_History!E15)-Career_History!D15+1),0))/365.2425</f>
        <v>0</v>
      </c>
      <c r="S80" s="9">
        <f>SUM(IF(Career_History!H14=TRUE,IF(A80&lt;Career_History!D14,0,MIN(A80,Career_History!E14)-Career_History!D14+1),0),IF(Career_History!H15=TRUE,IF(A80&lt;Career_History!D15,0,MIN(A80,Career_History!E15)-Career_History!D15+1),0))/365.2425</f>
        <v>35.754327604262919</v>
      </c>
      <c r="T80" s="9">
        <f>SUM(IF(Career_History!G16=TRUE,IF(A80&lt;Career_History!D16,0,MIN(A80,Career_History!E16)-Career_History!D16+1),0),IF(Career_History!G17=TRUE,IF(A80&lt;Career_History!D17,0,MIN(A80,Career_History!E17)-Career_History!D17+1),0))/365.2425</f>
        <v>26.001902845369855</v>
      </c>
      <c r="U80" s="9">
        <f>SUM(IF(Career_History!I16=TRUE,IF(A80&lt;Career_History!D16,0,MIN(A80,Career_History!E16)-Career_History!D16+1),0),IF(Career_History!I17=TRUE,IF(A80&lt;Career_History!D17,0,MIN(A80,Career_History!E17)-Career_History!D17+1),0))/365.2425</f>
        <v>21.506259539894728</v>
      </c>
      <c r="V80" s="9">
        <f>SUM(IF(Career_History!H16=TRUE,IF(A80&lt;Career_History!D16,0,MIN(A80,Career_History!E16)-Career_History!D16+1),0),IF(Career_History!H17=TRUE,IF(A80&lt;Career_History!D17,0,MIN(A80,Career_History!E17)-Career_History!D17+1),0))/365.2425</f>
        <v>26.001902845369855</v>
      </c>
      <c r="W80" s="9">
        <f>SUM(IF(Career_History!G18=TRUE,IF(A80&lt;Career_History!D18,0,MIN(A80,Career_History!E18)-Career_History!D18+1),0),IF(Career_History!G19=TRUE,IF(A80&lt;Career_History!D19,0,MIN(A80,Career_History!E19)-Career_History!D19+1),0),IF(Career_History!G20=TRUE,IF(A80&lt;Career_History!D20,0,MIN(A80,Career_History!E20)-Career_History!D20+1),0))/365.2425</f>
        <v>32.999993155232481</v>
      </c>
      <c r="X80" s="9">
        <f>SUM(IF(Career_History!I18=TRUE,IF(A80&lt;Career_History!D18,0,MIN(A80,Career_History!E18)-Career_History!D18+1),0),IF(Career_History!I19=TRUE,IF(A80&lt;Career_History!D19,0,MIN(A80,Career_History!E19)-Career_History!D19+1),0),IF(Career_History!I20=TRUE,IF(A80&lt;Career_History!D20,0,MIN(A80,Career_History!E20)-Career_History!D20+1),0))/365.2425</f>
        <v>0</v>
      </c>
      <c r="Y80" s="9">
        <f>SUM(IF(Career_History!H18=TRUE,IF(A80&lt;Career_History!D18,0,MIN(A80,Career_History!E18)-Career_History!D18+1),0),IF(Career_History!H19=TRUE,IF(A80&lt;Career_History!D19,0,MIN(A80,Career_History!E19)-Career_History!D19+1),0),IF(Career_History!H20=TRUE,IF(A80&lt;Career_History!D20,0,MIN(A80,Career_History!E20)-Career_History!D20+1),0))/365.2425</f>
        <v>3.4223837587356343</v>
      </c>
      <c r="Z80" s="9">
        <f>SUM(IF(Career_History!G21=TRUE,IF(A80&lt;Career_History!D21,0,MIN(A80,Career_History!E21)-Career_History!D21+1),0),IF(Career_History!G22=TRUE,IF(A80&lt;Career_History!D22,0,MIN(A80,Career_History!E22)-Career_History!D22+1),0),IF(Career_History!G23=TRUE,IF(A80&lt;Career_History!D23,0,MIN(A80,Career_History!E23)-Career_History!D23+1),0),IF(Career_History!G24=TRUE,IF(A80&lt;Career_History!D24,0,MIN(A80,Career_History!E24)-Career_History!D24+1),0))/365.2425</f>
        <v>30.001984982580066</v>
      </c>
      <c r="AA80" s="9">
        <f>SUM(IF(Career_History!I21=TRUE,IF(A80&lt;Career_History!D21,0,MIN(A80,Career_History!E21)-Career_History!D21+1),0),IF(Career_History!I22=TRUE,IF(A80&lt;Career_History!D22,0,MIN(A80,Career_History!E22)-Career_History!D22+1),0),IF(Career_History!I23=TRUE,IF(A80&lt;Career_History!D23,0,MIN(A80,Career_History!E23)-Career_History!D23+1),0),IF(Career_History!I24=TRUE,IF(A80&lt;Career_History!D24,0,MIN(A80,Career_History!E24)-Career_History!D24+1),0))/365.2425</f>
        <v>26.505677734655741</v>
      </c>
      <c r="AB80" s="9">
        <f>SUM(IF(Career_History!H21=TRUE,IF(A80&lt;Career_History!D21,0,MIN(A80,Career_History!E21)-Career_History!D21+1),0),IF(Career_History!H22=TRUE,IF(A80&lt;Career_History!D22,0,MIN(A80,Career_History!E22)-Career_History!D22+1),0),IF(Career_History!H23=TRUE,IF(A80&lt;Career_History!D23,0,MIN(A80,Career_History!E23)-Career_History!D23+1),0),IF(Career_History!H24=TRUE,IF(A80&lt;Career_History!D24,0,MIN(A80,Career_History!E24)-Career_History!D24+1),0))/365.2425</f>
        <v>20.917609533392199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</row>
    <row r="81" spans="1:67">
      <c r="A81" s="8">
        <v>37103</v>
      </c>
      <c r="B81" s="9">
        <f t="shared" si="3"/>
        <v>31.036913831221721</v>
      </c>
      <c r="C81" s="9">
        <f t="shared" si="4"/>
        <v>9.6023874549100938</v>
      </c>
      <c r="D81" s="9">
        <f t="shared" si="5"/>
        <v>18.603530531085511</v>
      </c>
      <c r="E81" s="9"/>
      <c r="F81" s="9"/>
      <c r="G81" s="9"/>
      <c r="H81" s="9"/>
      <c r="I81" s="9"/>
      <c r="J81" s="9"/>
      <c r="K81" s="9"/>
      <c r="L81" s="9"/>
      <c r="M81" s="9"/>
      <c r="N81" s="9">
        <f>SUM(IF(Career_History!G12=TRUE,IF(A81&lt;Career_History!D12,0,MIN(A81,Career_History!E12)-Career_History!D12+1),0),IF(Career_History!G13=TRUE,IF(A81&lt;Career_History!D13,0,MIN(A81,Career_History!E13)-Career_History!D13+1),0))/365.2425</f>
        <v>30.086860099796709</v>
      </c>
      <c r="O81" s="9">
        <f>SUM(IF(Career_History!I12=TRUE,IF(A81&lt;Career_History!D12,0,MIN(A81,Career_History!E12)-Career_History!D12+1),0),IF(Career_History!I13=TRUE,IF(A81&lt;Career_History!D13,0,MIN(A81,Career_History!E13)-Career_History!D13+1),0))/365.2425</f>
        <v>0</v>
      </c>
      <c r="P81" s="9">
        <f>SUM(IF(Career_History!H12=TRUE,IF(A81&lt;Career_History!D12,0,MIN(A81,Career_History!E12)-Career_History!D12+1),0),IF(Career_History!H13=TRUE,IF(A81&lt;Career_History!D13,0,MIN(A81,Career_History!E13)-Career_History!D13+1),0))/365.2425</f>
        <v>6.5819284448003721</v>
      </c>
      <c r="Q81" s="9">
        <f>SUM(IF(Career_History!G14=TRUE,IF(A81&lt;Career_History!D14,0,MIN(A81,Career_History!E14)-Career_History!D14+1),0),IF(Career_History!G15=TRUE,IF(A81&lt;Career_History!D15,0,MIN(A81,Career_History!E15)-Career_History!D15+1),0))/365.2425</f>
        <v>35.839202721479566</v>
      </c>
      <c r="R81" s="9">
        <f>SUM(IF(Career_History!I14=TRUE,IF(A81&lt;Career_History!D14,0,MIN(A81,Career_History!E14)-Career_History!D14+1),0),IF(Career_History!I15=TRUE,IF(A81&lt;Career_History!D15,0,MIN(A81,Career_History!E15)-Career_History!D15+1),0))/365.2425</f>
        <v>0</v>
      </c>
      <c r="S81" s="9">
        <f>SUM(IF(Career_History!H14=TRUE,IF(A81&lt;Career_History!D14,0,MIN(A81,Career_History!E14)-Career_History!D14+1),0),IF(Career_History!H15=TRUE,IF(A81&lt;Career_History!D15,0,MIN(A81,Career_History!E15)-Career_History!D15+1),0))/365.2425</f>
        <v>35.839202721479566</v>
      </c>
      <c r="T81" s="9">
        <f>SUM(IF(Career_History!G16=TRUE,IF(A81&lt;Career_History!D16,0,MIN(A81,Career_History!E16)-Career_History!D16+1),0),IF(Career_History!G17=TRUE,IF(A81&lt;Career_History!D17,0,MIN(A81,Career_History!E17)-Career_History!D17+1),0))/365.2425</f>
        <v>26.086777962586499</v>
      </c>
      <c r="U81" s="9">
        <f>SUM(IF(Career_History!I16=TRUE,IF(A81&lt;Career_History!D16,0,MIN(A81,Career_History!E16)-Career_History!D16+1),0),IF(Career_History!I17=TRUE,IF(A81&lt;Career_History!D17,0,MIN(A81,Career_History!E17)-Career_History!D17+1),0))/365.2425</f>
        <v>21.506259539894728</v>
      </c>
      <c r="V81" s="9">
        <f>SUM(IF(Career_History!H16=TRUE,IF(A81&lt;Career_History!D16,0,MIN(A81,Career_History!E16)-Career_History!D16+1),0),IF(Career_History!H17=TRUE,IF(A81&lt;Career_History!D17,0,MIN(A81,Career_History!E17)-Career_History!D17+1),0))/365.2425</f>
        <v>26.086777962586499</v>
      </c>
      <c r="W81" s="9">
        <f>SUM(IF(Career_History!G18=TRUE,IF(A81&lt;Career_History!D18,0,MIN(A81,Career_History!E18)-Career_History!D18+1),0),IF(Career_History!G19=TRUE,IF(A81&lt;Career_History!D19,0,MIN(A81,Career_History!E19)-Career_History!D19+1),0),IF(Career_History!G20=TRUE,IF(A81&lt;Career_History!D20,0,MIN(A81,Career_History!E20)-Career_History!D20+1),0))/365.2425</f>
        <v>33.084868272449128</v>
      </c>
      <c r="X81" s="9">
        <f>SUM(IF(Career_History!I18=TRUE,IF(A81&lt;Career_History!D18,0,MIN(A81,Career_History!E18)-Career_History!D18+1),0),IF(Career_History!I19=TRUE,IF(A81&lt;Career_History!D19,0,MIN(A81,Career_History!E19)-Career_History!D19+1),0),IF(Career_History!I20=TRUE,IF(A81&lt;Career_History!D20,0,MIN(A81,Career_History!E20)-Career_History!D20+1),0))/365.2425</f>
        <v>0</v>
      </c>
      <c r="Y81" s="9">
        <f>SUM(IF(Career_History!H18=TRUE,IF(A81&lt;Career_History!D18,0,MIN(A81,Career_History!E18)-Career_History!D18+1),0),IF(Career_History!H19=TRUE,IF(A81&lt;Career_History!D19,0,MIN(A81,Career_History!E19)-Career_History!D19+1),0),IF(Career_History!H20=TRUE,IF(A81&lt;Career_History!D20,0,MIN(A81,Career_History!E20)-Career_History!D20+1),0))/365.2425</f>
        <v>3.507258875952278</v>
      </c>
      <c r="Z81" s="9">
        <f>SUM(IF(Career_History!G21=TRUE,IF(A81&lt;Career_History!D21,0,MIN(A81,Career_History!E21)-Career_History!D21+1),0),IF(Career_History!G22=TRUE,IF(A81&lt;Career_History!D22,0,MIN(A81,Career_History!E22)-Career_History!D22+1),0),IF(Career_History!G23=TRUE,IF(A81&lt;Career_History!D23,0,MIN(A81,Career_History!E23)-Career_History!D23+1),0),IF(Career_History!G24=TRUE,IF(A81&lt;Career_History!D24,0,MIN(A81,Career_History!E24)-Career_History!D24+1),0))/365.2425</f>
        <v>30.086860099796709</v>
      </c>
      <c r="AA81" s="9">
        <f>SUM(IF(Career_History!I21=TRUE,IF(A81&lt;Career_History!D21,0,MIN(A81,Career_History!E21)-Career_History!D21+1),0),IF(Career_History!I22=TRUE,IF(A81&lt;Career_History!D22,0,MIN(A81,Career_History!E22)-Career_History!D22+1),0),IF(Career_History!I23=TRUE,IF(A81&lt;Career_History!D23,0,MIN(A81,Career_History!E23)-Career_History!D23+1),0),IF(Career_History!I24=TRUE,IF(A81&lt;Career_History!D24,0,MIN(A81,Career_History!E24)-Career_History!D24+1),0))/365.2425</f>
        <v>26.505677734655741</v>
      </c>
      <c r="AB81" s="9">
        <f>SUM(IF(Career_History!H21=TRUE,IF(A81&lt;Career_History!D21,0,MIN(A81,Career_History!E21)-Career_History!D21+1),0),IF(Career_History!H22=TRUE,IF(A81&lt;Career_History!D22,0,MIN(A81,Career_History!E22)-Career_History!D22+1),0),IF(Career_History!H23=TRUE,IF(A81&lt;Career_History!D23,0,MIN(A81,Career_History!E23)-Career_History!D23+1),0),IF(Career_History!H24=TRUE,IF(A81&lt;Career_History!D24,0,MIN(A81,Career_History!E24)-Career_History!D24+1),0))/365.2425</f>
        <v>21.002484650608842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</row>
    <row r="82" spans="1:67">
      <c r="A82" s="8">
        <v>37134</v>
      </c>
      <c r="B82" s="9">
        <f t="shared" si="3"/>
        <v>31.121788948438365</v>
      </c>
      <c r="C82" s="9">
        <f t="shared" si="4"/>
        <v>9.6023874549100938</v>
      </c>
      <c r="D82" s="9">
        <f t="shared" si="5"/>
        <v>18.688405648302155</v>
      </c>
      <c r="E82" s="9"/>
      <c r="F82" s="9"/>
      <c r="G82" s="9"/>
      <c r="H82" s="9"/>
      <c r="I82" s="9"/>
      <c r="J82" s="9"/>
      <c r="K82" s="9"/>
      <c r="L82" s="9"/>
      <c r="M82" s="9"/>
      <c r="N82" s="9">
        <f>SUM(IF(Career_History!G12=TRUE,IF(A82&lt;Career_History!D12,0,MIN(A82,Career_History!E12)-Career_History!D12+1),0),IF(Career_History!G13=TRUE,IF(A82&lt;Career_History!D13,0,MIN(A82,Career_History!E13)-Career_History!D13+1),0))/365.2425</f>
        <v>30.171735217013353</v>
      </c>
      <c r="O82" s="9">
        <f>SUM(IF(Career_History!I12=TRUE,IF(A82&lt;Career_History!D12,0,MIN(A82,Career_History!E12)-Career_History!D12+1),0),IF(Career_History!I13=TRUE,IF(A82&lt;Career_History!D13,0,MIN(A82,Career_History!E13)-Career_History!D13+1),0))/365.2425</f>
        <v>0</v>
      </c>
      <c r="P82" s="9">
        <f>SUM(IF(Career_History!H12=TRUE,IF(A82&lt;Career_History!D12,0,MIN(A82,Career_History!E12)-Career_History!D12+1),0),IF(Career_History!H13=TRUE,IF(A82&lt;Career_History!D13,0,MIN(A82,Career_History!E13)-Career_History!D13+1),0))/365.2425</f>
        <v>6.6668035620170158</v>
      </c>
      <c r="Q82" s="9">
        <f>SUM(IF(Career_History!G14=TRUE,IF(A82&lt;Career_History!D14,0,MIN(A82,Career_History!E14)-Career_History!D14+1),0),IF(Career_History!G15=TRUE,IF(A82&lt;Career_History!D15,0,MIN(A82,Career_History!E15)-Career_History!D15+1),0))/365.2425</f>
        <v>35.924077838696206</v>
      </c>
      <c r="R82" s="9">
        <f>SUM(IF(Career_History!I14=TRUE,IF(A82&lt;Career_History!D14,0,MIN(A82,Career_History!E14)-Career_History!D14+1),0),IF(Career_History!I15=TRUE,IF(A82&lt;Career_History!D15,0,MIN(A82,Career_History!E15)-Career_History!D15+1),0))/365.2425</f>
        <v>0</v>
      </c>
      <c r="S82" s="9">
        <f>SUM(IF(Career_History!H14=TRUE,IF(A82&lt;Career_History!D14,0,MIN(A82,Career_History!E14)-Career_History!D14+1),0),IF(Career_History!H15=TRUE,IF(A82&lt;Career_History!D15,0,MIN(A82,Career_History!E15)-Career_History!D15+1),0))/365.2425</f>
        <v>35.924077838696206</v>
      </c>
      <c r="T82" s="9">
        <f>SUM(IF(Career_History!G16=TRUE,IF(A82&lt;Career_History!D16,0,MIN(A82,Career_History!E16)-Career_History!D16+1),0),IF(Career_History!G17=TRUE,IF(A82&lt;Career_History!D17,0,MIN(A82,Career_History!E17)-Career_History!D17+1),0))/365.2425</f>
        <v>26.171653079803143</v>
      </c>
      <c r="U82" s="9">
        <f>SUM(IF(Career_History!I16=TRUE,IF(A82&lt;Career_History!D16,0,MIN(A82,Career_History!E16)-Career_History!D16+1),0),IF(Career_History!I17=TRUE,IF(A82&lt;Career_History!D17,0,MIN(A82,Career_History!E17)-Career_History!D17+1),0))/365.2425</f>
        <v>21.506259539894728</v>
      </c>
      <c r="V82" s="9">
        <f>SUM(IF(Career_History!H16=TRUE,IF(A82&lt;Career_History!D16,0,MIN(A82,Career_History!E16)-Career_History!D16+1),0),IF(Career_History!H17=TRUE,IF(A82&lt;Career_History!D17,0,MIN(A82,Career_History!E17)-Career_History!D17+1),0))/365.2425</f>
        <v>26.171653079803143</v>
      </c>
      <c r="W82" s="9">
        <f>SUM(IF(Career_History!G18=TRUE,IF(A82&lt;Career_History!D18,0,MIN(A82,Career_History!E18)-Career_History!D18+1),0),IF(Career_History!G19=TRUE,IF(A82&lt;Career_History!D19,0,MIN(A82,Career_History!E19)-Career_History!D19+1),0),IF(Career_History!G20=TRUE,IF(A82&lt;Career_History!D20,0,MIN(A82,Career_History!E20)-Career_History!D20+1),0))/365.2425</f>
        <v>33.169743389665769</v>
      </c>
      <c r="X82" s="9">
        <f>SUM(IF(Career_History!I18=TRUE,IF(A82&lt;Career_History!D18,0,MIN(A82,Career_History!E18)-Career_History!D18+1),0),IF(Career_History!I19=TRUE,IF(A82&lt;Career_History!D19,0,MIN(A82,Career_History!E19)-Career_History!D19+1),0),IF(Career_History!I20=TRUE,IF(A82&lt;Career_History!D20,0,MIN(A82,Career_History!E20)-Career_History!D20+1),0))/365.2425</f>
        <v>0</v>
      </c>
      <c r="Y82" s="9">
        <f>SUM(IF(Career_History!H18=TRUE,IF(A82&lt;Career_History!D18,0,MIN(A82,Career_History!E18)-Career_History!D18+1),0),IF(Career_History!H19=TRUE,IF(A82&lt;Career_History!D19,0,MIN(A82,Career_History!E19)-Career_History!D19+1),0),IF(Career_History!H20=TRUE,IF(A82&lt;Career_History!D20,0,MIN(A82,Career_History!E20)-Career_History!D20+1),0))/365.2425</f>
        <v>3.5921339931689218</v>
      </c>
      <c r="Z82" s="9">
        <f>SUM(IF(Career_History!G21=TRUE,IF(A82&lt;Career_History!D21,0,MIN(A82,Career_History!E21)-Career_History!D21+1),0),IF(Career_History!G22=TRUE,IF(A82&lt;Career_History!D22,0,MIN(A82,Career_History!E22)-Career_History!D22+1),0),IF(Career_History!G23=TRUE,IF(A82&lt;Career_History!D23,0,MIN(A82,Career_History!E23)-Career_History!D23+1),0),IF(Career_History!G24=TRUE,IF(A82&lt;Career_History!D24,0,MIN(A82,Career_History!E24)-Career_History!D24+1),0))/365.2425</f>
        <v>30.171735217013353</v>
      </c>
      <c r="AA82" s="9">
        <f>SUM(IF(Career_History!I21=TRUE,IF(A82&lt;Career_History!D21,0,MIN(A82,Career_History!E21)-Career_History!D21+1),0),IF(Career_History!I22=TRUE,IF(A82&lt;Career_History!D22,0,MIN(A82,Career_History!E22)-Career_History!D22+1),0),IF(Career_History!I23=TRUE,IF(A82&lt;Career_History!D23,0,MIN(A82,Career_History!E23)-Career_History!D23+1),0),IF(Career_History!I24=TRUE,IF(A82&lt;Career_History!D24,0,MIN(A82,Career_History!E24)-Career_History!D24+1),0))/365.2425</f>
        <v>26.505677734655741</v>
      </c>
      <c r="AB82" s="9">
        <f>SUM(IF(Career_History!H21=TRUE,IF(A82&lt;Career_History!D21,0,MIN(A82,Career_History!E21)-Career_History!D21+1),0),IF(Career_History!H22=TRUE,IF(A82&lt;Career_History!D22,0,MIN(A82,Career_History!E22)-Career_History!D22+1),0),IF(Career_History!H23=TRUE,IF(A82&lt;Career_History!D23,0,MIN(A82,Career_History!E23)-Career_History!D23+1),0),IF(Career_History!H24=TRUE,IF(A82&lt;Career_History!D24,0,MIN(A82,Career_History!E24)-Career_History!D24+1),0))/365.2425</f>
        <v>21.087359767825486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</row>
    <row r="83" spans="1:67">
      <c r="A83" s="8">
        <v>37164</v>
      </c>
      <c r="B83" s="9">
        <f t="shared" si="3"/>
        <v>31.203926158648024</v>
      </c>
      <c r="C83" s="9">
        <f t="shared" si="4"/>
        <v>9.6023874549100938</v>
      </c>
      <c r="D83" s="9">
        <f t="shared" si="5"/>
        <v>18.77054285851181</v>
      </c>
      <c r="E83" s="9"/>
      <c r="F83" s="9"/>
      <c r="G83" s="9"/>
      <c r="H83" s="9"/>
      <c r="I83" s="9"/>
      <c r="J83" s="9"/>
      <c r="K83" s="9"/>
      <c r="L83" s="9"/>
      <c r="M83" s="9"/>
      <c r="N83" s="9">
        <f>SUM(IF(Career_History!G12=TRUE,IF(A83&lt;Career_History!D12,0,MIN(A83,Career_History!E12)-Career_History!D12+1),0),IF(Career_History!G13=TRUE,IF(A83&lt;Career_History!D13,0,MIN(A83,Career_History!E13)-Career_History!D13+1),0))/365.2425</f>
        <v>30.253872427223008</v>
      </c>
      <c r="O83" s="9">
        <f>SUM(IF(Career_History!I12=TRUE,IF(A83&lt;Career_History!D12,0,MIN(A83,Career_History!E12)-Career_History!D12+1),0),IF(Career_History!I13=TRUE,IF(A83&lt;Career_History!D13,0,MIN(A83,Career_History!E13)-Career_History!D13+1),0))/365.2425</f>
        <v>0</v>
      </c>
      <c r="P83" s="9">
        <f>SUM(IF(Career_History!H12=TRUE,IF(A83&lt;Career_History!D12,0,MIN(A83,Career_History!E12)-Career_History!D12+1),0),IF(Career_History!H13=TRUE,IF(A83&lt;Career_History!D13,0,MIN(A83,Career_History!E13)-Career_History!D13+1),0))/365.2425</f>
        <v>6.7489407722266712</v>
      </c>
      <c r="Q83" s="9">
        <f>SUM(IF(Career_History!G14=TRUE,IF(A83&lt;Career_History!D14,0,MIN(A83,Career_History!E14)-Career_History!D14+1),0),IF(Career_History!G15=TRUE,IF(A83&lt;Career_History!D15,0,MIN(A83,Career_History!E15)-Career_History!D15+1),0))/365.2425</f>
        <v>36.006215048905865</v>
      </c>
      <c r="R83" s="9">
        <f>SUM(IF(Career_History!I14=TRUE,IF(A83&lt;Career_History!D14,0,MIN(A83,Career_History!E14)-Career_History!D14+1),0),IF(Career_History!I15=TRUE,IF(A83&lt;Career_History!D15,0,MIN(A83,Career_History!E15)-Career_History!D15+1),0))/365.2425</f>
        <v>0</v>
      </c>
      <c r="S83" s="9">
        <f>SUM(IF(Career_History!H14=TRUE,IF(A83&lt;Career_History!D14,0,MIN(A83,Career_History!E14)-Career_History!D14+1),0),IF(Career_History!H15=TRUE,IF(A83&lt;Career_History!D15,0,MIN(A83,Career_History!E15)-Career_History!D15+1),0))/365.2425</f>
        <v>36.006215048905865</v>
      </c>
      <c r="T83" s="9">
        <f>SUM(IF(Career_History!G16=TRUE,IF(A83&lt;Career_History!D16,0,MIN(A83,Career_History!E16)-Career_History!D16+1),0),IF(Career_History!G17=TRUE,IF(A83&lt;Career_History!D17,0,MIN(A83,Career_History!E17)-Career_History!D17+1),0))/365.2425</f>
        <v>26.253790290012798</v>
      </c>
      <c r="U83" s="9">
        <f>SUM(IF(Career_History!I16=TRUE,IF(A83&lt;Career_History!D16,0,MIN(A83,Career_History!E16)-Career_History!D16+1),0),IF(Career_History!I17=TRUE,IF(A83&lt;Career_History!D17,0,MIN(A83,Career_History!E17)-Career_History!D17+1),0))/365.2425</f>
        <v>21.506259539894728</v>
      </c>
      <c r="V83" s="9">
        <f>SUM(IF(Career_History!H16=TRUE,IF(A83&lt;Career_History!D16,0,MIN(A83,Career_History!E16)-Career_History!D16+1),0),IF(Career_History!H17=TRUE,IF(A83&lt;Career_History!D17,0,MIN(A83,Career_History!E17)-Career_History!D17+1),0))/365.2425</f>
        <v>26.253790290012798</v>
      </c>
      <c r="W83" s="9">
        <f>SUM(IF(Career_History!G18=TRUE,IF(A83&lt;Career_History!D18,0,MIN(A83,Career_History!E18)-Career_History!D18+1),0),IF(Career_History!G19=TRUE,IF(A83&lt;Career_History!D19,0,MIN(A83,Career_History!E19)-Career_History!D19+1),0),IF(Career_History!G20=TRUE,IF(A83&lt;Career_History!D20,0,MIN(A83,Career_History!E20)-Career_History!D20+1),0))/365.2425</f>
        <v>33.251880599875427</v>
      </c>
      <c r="X83" s="9">
        <f>SUM(IF(Career_History!I18=TRUE,IF(A83&lt;Career_History!D18,0,MIN(A83,Career_History!E18)-Career_History!D18+1),0),IF(Career_History!I19=TRUE,IF(A83&lt;Career_History!D19,0,MIN(A83,Career_History!E19)-Career_History!D19+1),0),IF(Career_History!I20=TRUE,IF(A83&lt;Career_History!D20,0,MIN(A83,Career_History!E20)-Career_History!D20+1),0))/365.2425</f>
        <v>0</v>
      </c>
      <c r="Y83" s="9">
        <f>SUM(IF(Career_History!H18=TRUE,IF(A83&lt;Career_History!D18,0,MIN(A83,Career_History!E18)-Career_History!D18+1),0),IF(Career_History!H19=TRUE,IF(A83&lt;Career_History!D19,0,MIN(A83,Career_History!E19)-Career_History!D19+1),0),IF(Career_History!H20=TRUE,IF(A83&lt;Career_History!D20,0,MIN(A83,Career_History!E20)-Career_History!D20+1),0))/365.2425</f>
        <v>3.6742712033785772</v>
      </c>
      <c r="Z83" s="9">
        <f>SUM(IF(Career_History!G21=TRUE,IF(A83&lt;Career_History!D21,0,MIN(A83,Career_History!E21)-Career_History!D21+1),0),IF(Career_History!G22=TRUE,IF(A83&lt;Career_History!D22,0,MIN(A83,Career_History!E22)-Career_History!D22+1),0),IF(Career_History!G23=TRUE,IF(A83&lt;Career_History!D23,0,MIN(A83,Career_History!E23)-Career_History!D23+1),0),IF(Career_History!G24=TRUE,IF(A83&lt;Career_History!D24,0,MIN(A83,Career_History!E24)-Career_History!D24+1),0))/365.2425</f>
        <v>30.253872427223008</v>
      </c>
      <c r="AA83" s="9">
        <f>SUM(IF(Career_History!I21=TRUE,IF(A83&lt;Career_History!D21,0,MIN(A83,Career_History!E21)-Career_History!D21+1),0),IF(Career_History!I22=TRUE,IF(A83&lt;Career_History!D22,0,MIN(A83,Career_History!E22)-Career_History!D22+1),0),IF(Career_History!I23=TRUE,IF(A83&lt;Career_History!D23,0,MIN(A83,Career_History!E23)-Career_History!D23+1),0),IF(Career_History!I24=TRUE,IF(A83&lt;Career_History!D24,0,MIN(A83,Career_History!E24)-Career_History!D24+1),0))/365.2425</f>
        <v>26.505677734655741</v>
      </c>
      <c r="AB83" s="9">
        <f>SUM(IF(Career_History!H21=TRUE,IF(A83&lt;Career_History!D21,0,MIN(A83,Career_History!E21)-Career_History!D21+1),0),IF(Career_History!H22=TRUE,IF(A83&lt;Career_History!D22,0,MIN(A83,Career_History!E22)-Career_History!D22+1),0),IF(Career_History!H23=TRUE,IF(A83&lt;Career_History!D23,0,MIN(A83,Career_History!E23)-Career_History!D23+1),0),IF(Career_History!H24=TRUE,IF(A83&lt;Career_History!D24,0,MIN(A83,Career_History!E24)-Career_History!D24+1),0))/365.2425</f>
        <v>21.169496978035141</v>
      </c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</row>
    <row r="84" spans="1:67">
      <c r="A84" s="8">
        <v>37195</v>
      </c>
      <c r="B84" s="9">
        <f t="shared" si="3"/>
        <v>31.288801275864664</v>
      </c>
      <c r="C84" s="9">
        <f t="shared" si="4"/>
        <v>9.6023874549100938</v>
      </c>
      <c r="D84" s="9">
        <f t="shared" si="5"/>
        <v>18.85541797572845</v>
      </c>
      <c r="E84" s="9"/>
      <c r="F84" s="9"/>
      <c r="G84" s="9"/>
      <c r="H84" s="9"/>
      <c r="I84" s="9"/>
      <c r="J84" s="9"/>
      <c r="K84" s="9"/>
      <c r="L84" s="9"/>
      <c r="M84" s="9"/>
      <c r="N84" s="9">
        <f>SUM(IF(Career_History!G12=TRUE,IF(A84&lt;Career_History!D12,0,MIN(A84,Career_History!E12)-Career_History!D12+1),0),IF(Career_History!G13=TRUE,IF(A84&lt;Career_History!D13,0,MIN(A84,Career_History!E13)-Career_History!D13+1),0))/365.2425</f>
        <v>30.338747544439652</v>
      </c>
      <c r="O84" s="9">
        <f>SUM(IF(Career_History!I12=TRUE,IF(A84&lt;Career_History!D12,0,MIN(A84,Career_History!E12)-Career_History!D12+1),0),IF(Career_History!I13=TRUE,IF(A84&lt;Career_History!D13,0,MIN(A84,Career_History!E13)-Career_History!D13+1),0))/365.2425</f>
        <v>0</v>
      </c>
      <c r="P84" s="9">
        <f>SUM(IF(Career_History!H12=TRUE,IF(A84&lt;Career_History!D12,0,MIN(A84,Career_History!E12)-Career_History!D12+1),0),IF(Career_History!H13=TRUE,IF(A84&lt;Career_History!D13,0,MIN(A84,Career_History!E13)-Career_History!D13+1),0))/365.2425</f>
        <v>6.833815889443315</v>
      </c>
      <c r="Q84" s="9">
        <f>SUM(IF(Career_History!G14=TRUE,IF(A84&lt;Career_History!D14,0,MIN(A84,Career_History!E14)-Career_History!D14+1),0),IF(Career_History!G15=TRUE,IF(A84&lt;Career_History!D15,0,MIN(A84,Career_History!E15)-Career_History!D15+1),0))/365.2425</f>
        <v>36.091090166122505</v>
      </c>
      <c r="R84" s="9">
        <f>SUM(IF(Career_History!I14=TRUE,IF(A84&lt;Career_History!D14,0,MIN(A84,Career_History!E14)-Career_History!D14+1),0),IF(Career_History!I15=TRUE,IF(A84&lt;Career_History!D15,0,MIN(A84,Career_History!E15)-Career_History!D15+1),0))/365.2425</f>
        <v>0</v>
      </c>
      <c r="S84" s="9">
        <f>SUM(IF(Career_History!H14=TRUE,IF(A84&lt;Career_History!D14,0,MIN(A84,Career_History!E14)-Career_History!D14+1),0),IF(Career_History!H15=TRUE,IF(A84&lt;Career_History!D15,0,MIN(A84,Career_History!E15)-Career_History!D15+1),0))/365.2425</f>
        <v>36.091090166122505</v>
      </c>
      <c r="T84" s="9">
        <f>SUM(IF(Career_History!G16=TRUE,IF(A84&lt;Career_History!D16,0,MIN(A84,Career_History!E16)-Career_History!D16+1),0),IF(Career_History!G17=TRUE,IF(A84&lt;Career_History!D17,0,MIN(A84,Career_History!E17)-Career_History!D17+1),0))/365.2425</f>
        <v>26.338665407229442</v>
      </c>
      <c r="U84" s="9">
        <f>SUM(IF(Career_History!I16=TRUE,IF(A84&lt;Career_History!D16,0,MIN(A84,Career_History!E16)-Career_History!D16+1),0),IF(Career_History!I17=TRUE,IF(A84&lt;Career_History!D17,0,MIN(A84,Career_History!E17)-Career_History!D17+1),0))/365.2425</f>
        <v>21.506259539894728</v>
      </c>
      <c r="V84" s="9">
        <f>SUM(IF(Career_History!H16=TRUE,IF(A84&lt;Career_History!D16,0,MIN(A84,Career_History!E16)-Career_History!D16+1),0),IF(Career_History!H17=TRUE,IF(A84&lt;Career_History!D17,0,MIN(A84,Career_History!E17)-Career_History!D17+1),0))/365.2425</f>
        <v>26.338665407229442</v>
      </c>
      <c r="W84" s="9">
        <f>SUM(IF(Career_History!G18=TRUE,IF(A84&lt;Career_History!D18,0,MIN(A84,Career_History!E18)-Career_History!D18+1),0),IF(Career_History!G19=TRUE,IF(A84&lt;Career_History!D19,0,MIN(A84,Career_History!E19)-Career_History!D19+1),0),IF(Career_History!G20=TRUE,IF(A84&lt;Career_History!D20,0,MIN(A84,Career_History!E20)-Career_History!D20+1),0))/365.2425</f>
        <v>33.336755717092068</v>
      </c>
      <c r="X84" s="9">
        <f>SUM(IF(Career_History!I18=TRUE,IF(A84&lt;Career_History!D18,0,MIN(A84,Career_History!E18)-Career_History!D18+1),0),IF(Career_History!I19=TRUE,IF(A84&lt;Career_History!D19,0,MIN(A84,Career_History!E19)-Career_History!D19+1),0),IF(Career_History!I20=TRUE,IF(A84&lt;Career_History!D20,0,MIN(A84,Career_History!E20)-Career_History!D20+1),0))/365.2425</f>
        <v>0</v>
      </c>
      <c r="Y84" s="9">
        <f>SUM(IF(Career_History!H18=TRUE,IF(A84&lt;Career_History!D18,0,MIN(A84,Career_History!E18)-Career_History!D18+1),0),IF(Career_History!H19=TRUE,IF(A84&lt;Career_History!D19,0,MIN(A84,Career_History!E19)-Career_History!D19+1),0),IF(Career_History!H20=TRUE,IF(A84&lt;Career_History!D20,0,MIN(A84,Career_History!E20)-Career_History!D20+1),0))/365.2425</f>
        <v>3.7591463205952209</v>
      </c>
      <c r="Z84" s="9">
        <f>SUM(IF(Career_History!G21=TRUE,IF(A84&lt;Career_History!D21,0,MIN(A84,Career_History!E21)-Career_History!D21+1),0),IF(Career_History!G22=TRUE,IF(A84&lt;Career_History!D22,0,MIN(A84,Career_History!E22)-Career_History!D22+1),0),IF(Career_History!G23=TRUE,IF(A84&lt;Career_History!D23,0,MIN(A84,Career_History!E23)-Career_History!D23+1),0),IF(Career_History!G24=TRUE,IF(A84&lt;Career_History!D24,0,MIN(A84,Career_History!E24)-Career_History!D24+1),0))/365.2425</f>
        <v>30.338747544439652</v>
      </c>
      <c r="AA84" s="9">
        <f>SUM(IF(Career_History!I21=TRUE,IF(A84&lt;Career_History!D21,0,MIN(A84,Career_History!E21)-Career_History!D21+1),0),IF(Career_History!I22=TRUE,IF(A84&lt;Career_History!D22,0,MIN(A84,Career_History!E22)-Career_History!D22+1),0),IF(Career_History!I23=TRUE,IF(A84&lt;Career_History!D23,0,MIN(A84,Career_History!E23)-Career_History!D23+1),0),IF(Career_History!I24=TRUE,IF(A84&lt;Career_History!D24,0,MIN(A84,Career_History!E24)-Career_History!D24+1),0))/365.2425</f>
        <v>26.505677734655741</v>
      </c>
      <c r="AB84" s="9">
        <f>SUM(IF(Career_History!H21=TRUE,IF(A84&lt;Career_History!D21,0,MIN(A84,Career_History!E21)-Career_History!D21+1),0),IF(Career_History!H22=TRUE,IF(A84&lt;Career_History!D22,0,MIN(A84,Career_History!E22)-Career_History!D22+1),0),IF(Career_History!H23=TRUE,IF(A84&lt;Career_History!D23,0,MIN(A84,Career_History!E23)-Career_History!D23+1),0),IF(Career_History!H24=TRUE,IF(A84&lt;Career_History!D24,0,MIN(A84,Career_History!E24)-Career_History!D24+1),0))/365.2425</f>
        <v>21.254372095251785</v>
      </c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</row>
    <row r="85" spans="1:67">
      <c r="A85" s="8">
        <v>37225</v>
      </c>
      <c r="B85" s="9">
        <f t="shared" si="3"/>
        <v>31.370938486074316</v>
      </c>
      <c r="C85" s="9">
        <f t="shared" si="4"/>
        <v>9.6023874549100938</v>
      </c>
      <c r="D85" s="9">
        <f t="shared" si="5"/>
        <v>18.937555185938105</v>
      </c>
      <c r="E85" s="9"/>
      <c r="F85" s="9"/>
      <c r="G85" s="9"/>
      <c r="H85" s="9"/>
      <c r="I85" s="9"/>
      <c r="J85" s="9"/>
      <c r="K85" s="9"/>
      <c r="L85" s="9"/>
      <c r="M85" s="9"/>
      <c r="N85" s="9">
        <f>SUM(IF(Career_History!G12=TRUE,IF(A85&lt;Career_History!D12,0,MIN(A85,Career_History!E12)-Career_History!D12+1),0),IF(Career_History!G13=TRUE,IF(A85&lt;Career_History!D13,0,MIN(A85,Career_History!E13)-Career_History!D13+1),0))/365.2425</f>
        <v>30.420884754649308</v>
      </c>
      <c r="O85" s="9">
        <f>SUM(IF(Career_History!I12=TRUE,IF(A85&lt;Career_History!D12,0,MIN(A85,Career_History!E12)-Career_History!D12+1),0),IF(Career_History!I13=TRUE,IF(A85&lt;Career_History!D13,0,MIN(A85,Career_History!E13)-Career_History!D13+1),0))/365.2425</f>
        <v>0</v>
      </c>
      <c r="P85" s="9">
        <f>SUM(IF(Career_History!H12=TRUE,IF(A85&lt;Career_History!D12,0,MIN(A85,Career_History!E12)-Career_History!D12+1),0),IF(Career_History!H13=TRUE,IF(A85&lt;Career_History!D13,0,MIN(A85,Career_History!E13)-Career_History!D13+1),0))/365.2425</f>
        <v>6.9159530996529703</v>
      </c>
      <c r="Q85" s="9">
        <f>SUM(IF(Career_History!G14=TRUE,IF(A85&lt;Career_History!D14,0,MIN(A85,Career_History!E14)-Career_History!D14+1),0),IF(Career_History!G15=TRUE,IF(A85&lt;Career_History!D15,0,MIN(A85,Career_History!E15)-Career_History!D15+1),0))/365.2425</f>
        <v>36.173227376332164</v>
      </c>
      <c r="R85" s="9">
        <f>SUM(IF(Career_History!I14=TRUE,IF(A85&lt;Career_History!D14,0,MIN(A85,Career_History!E14)-Career_History!D14+1),0),IF(Career_History!I15=TRUE,IF(A85&lt;Career_History!D15,0,MIN(A85,Career_History!E15)-Career_History!D15+1),0))/365.2425</f>
        <v>0</v>
      </c>
      <c r="S85" s="9">
        <f>SUM(IF(Career_History!H14=TRUE,IF(A85&lt;Career_History!D14,0,MIN(A85,Career_History!E14)-Career_History!D14+1),0),IF(Career_History!H15=TRUE,IF(A85&lt;Career_History!D15,0,MIN(A85,Career_History!E15)-Career_History!D15+1),0))/365.2425</f>
        <v>36.173227376332164</v>
      </c>
      <c r="T85" s="9">
        <f>SUM(IF(Career_History!G16=TRUE,IF(A85&lt;Career_History!D16,0,MIN(A85,Career_History!E16)-Career_History!D16+1),0),IF(Career_History!G17=TRUE,IF(A85&lt;Career_History!D17,0,MIN(A85,Career_History!E17)-Career_History!D17+1),0))/365.2425</f>
        <v>26.420802617439097</v>
      </c>
      <c r="U85" s="9">
        <f>SUM(IF(Career_History!I16=TRUE,IF(A85&lt;Career_History!D16,0,MIN(A85,Career_History!E16)-Career_History!D16+1),0),IF(Career_History!I17=TRUE,IF(A85&lt;Career_History!D17,0,MIN(A85,Career_History!E17)-Career_History!D17+1),0))/365.2425</f>
        <v>21.506259539894728</v>
      </c>
      <c r="V85" s="9">
        <f>SUM(IF(Career_History!H16=TRUE,IF(A85&lt;Career_History!D16,0,MIN(A85,Career_History!E16)-Career_History!D16+1),0),IF(Career_History!H17=TRUE,IF(A85&lt;Career_History!D17,0,MIN(A85,Career_History!E17)-Career_History!D17+1),0))/365.2425</f>
        <v>26.420802617439097</v>
      </c>
      <c r="W85" s="9">
        <f>SUM(IF(Career_History!G18=TRUE,IF(A85&lt;Career_History!D18,0,MIN(A85,Career_History!E18)-Career_History!D18+1),0),IF(Career_History!G19=TRUE,IF(A85&lt;Career_History!D19,0,MIN(A85,Career_History!E19)-Career_History!D19+1),0),IF(Career_History!G20=TRUE,IF(A85&lt;Career_History!D20,0,MIN(A85,Career_History!E20)-Career_History!D20+1),0))/365.2425</f>
        <v>33.418892927301727</v>
      </c>
      <c r="X85" s="9">
        <f>SUM(IF(Career_History!I18=TRUE,IF(A85&lt;Career_History!D18,0,MIN(A85,Career_History!E18)-Career_History!D18+1),0),IF(Career_History!I19=TRUE,IF(A85&lt;Career_History!D19,0,MIN(A85,Career_History!E19)-Career_History!D19+1),0),IF(Career_History!I20=TRUE,IF(A85&lt;Career_History!D20,0,MIN(A85,Career_History!E20)-Career_History!D20+1),0))/365.2425</f>
        <v>0</v>
      </c>
      <c r="Y85" s="9">
        <f>SUM(IF(Career_History!H18=TRUE,IF(A85&lt;Career_History!D18,0,MIN(A85,Career_History!E18)-Career_History!D18+1),0),IF(Career_History!H19=TRUE,IF(A85&lt;Career_History!D19,0,MIN(A85,Career_History!E19)-Career_History!D19+1),0),IF(Career_History!H20=TRUE,IF(A85&lt;Career_History!D20,0,MIN(A85,Career_History!E20)-Career_History!D20+1),0))/365.2425</f>
        <v>3.8412835308048763</v>
      </c>
      <c r="Z85" s="9">
        <f>SUM(IF(Career_History!G21=TRUE,IF(A85&lt;Career_History!D21,0,MIN(A85,Career_History!E21)-Career_History!D21+1),0),IF(Career_History!G22=TRUE,IF(A85&lt;Career_History!D22,0,MIN(A85,Career_History!E22)-Career_History!D22+1),0),IF(Career_History!G23=TRUE,IF(A85&lt;Career_History!D23,0,MIN(A85,Career_History!E23)-Career_History!D23+1),0),IF(Career_History!G24=TRUE,IF(A85&lt;Career_History!D24,0,MIN(A85,Career_History!E24)-Career_History!D24+1),0))/365.2425</f>
        <v>30.420884754649308</v>
      </c>
      <c r="AA85" s="9">
        <f>SUM(IF(Career_History!I21=TRUE,IF(A85&lt;Career_History!D21,0,MIN(A85,Career_History!E21)-Career_History!D21+1),0),IF(Career_History!I22=TRUE,IF(A85&lt;Career_History!D22,0,MIN(A85,Career_History!E22)-Career_History!D22+1),0),IF(Career_History!I23=TRUE,IF(A85&lt;Career_History!D23,0,MIN(A85,Career_History!E23)-Career_History!D23+1),0),IF(Career_History!I24=TRUE,IF(A85&lt;Career_History!D24,0,MIN(A85,Career_History!E24)-Career_History!D24+1),0))/365.2425</f>
        <v>26.505677734655741</v>
      </c>
      <c r="AB85" s="9">
        <f>SUM(IF(Career_History!H21=TRUE,IF(A85&lt;Career_History!D21,0,MIN(A85,Career_History!E21)-Career_History!D21+1),0),IF(Career_History!H22=TRUE,IF(A85&lt;Career_History!D22,0,MIN(A85,Career_History!E22)-Career_History!D22+1),0),IF(Career_History!H23=TRUE,IF(A85&lt;Career_History!D23,0,MIN(A85,Career_History!E23)-Career_History!D23+1),0),IF(Career_History!H24=TRUE,IF(A85&lt;Career_History!D24,0,MIN(A85,Career_History!E24)-Career_History!D24+1),0))/365.2425</f>
        <v>21.336509305461441</v>
      </c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</row>
    <row r="86" spans="1:67">
      <c r="A86" s="8">
        <v>37256</v>
      </c>
      <c r="B86" s="9">
        <f t="shared" si="3"/>
        <v>31.455813603290959</v>
      </c>
      <c r="C86" s="9">
        <f t="shared" si="4"/>
        <v>9.6023874549100938</v>
      </c>
      <c r="D86" s="9">
        <f t="shared" si="5"/>
        <v>19.022430303154753</v>
      </c>
      <c r="E86" s="9"/>
      <c r="F86" s="9"/>
      <c r="G86" s="9"/>
      <c r="H86" s="9"/>
      <c r="I86" s="9"/>
      <c r="J86" s="9"/>
      <c r="K86" s="9"/>
      <c r="L86" s="9"/>
      <c r="M86" s="9"/>
      <c r="N86" s="9">
        <f>SUM(IF(Career_History!G12=TRUE,IF(A86&lt;Career_History!D12,0,MIN(A86,Career_History!E12)-Career_History!D12+1),0),IF(Career_History!G13=TRUE,IF(A86&lt;Career_History!D13,0,MIN(A86,Career_History!E13)-Career_History!D13+1),0))/365.2425</f>
        <v>30.505759871865951</v>
      </c>
      <c r="O86" s="9">
        <f>SUM(IF(Career_History!I12=TRUE,IF(A86&lt;Career_History!D12,0,MIN(A86,Career_History!E12)-Career_History!D12+1),0),IF(Career_History!I13=TRUE,IF(A86&lt;Career_History!D13,0,MIN(A86,Career_History!E13)-Career_History!D13+1),0))/365.2425</f>
        <v>0</v>
      </c>
      <c r="P86" s="9">
        <f>SUM(IF(Career_History!H12=TRUE,IF(A86&lt;Career_History!D12,0,MIN(A86,Career_History!E12)-Career_History!D12+1),0),IF(Career_History!H13=TRUE,IF(A86&lt;Career_History!D13,0,MIN(A86,Career_History!E13)-Career_History!D13+1),0))/365.2425</f>
        <v>7.0008282168696141</v>
      </c>
      <c r="Q86" s="9">
        <f>SUM(IF(Career_History!G14=TRUE,IF(A86&lt;Career_History!D14,0,MIN(A86,Career_History!E14)-Career_History!D14+1),0),IF(Career_History!G15=TRUE,IF(A86&lt;Career_History!D15,0,MIN(A86,Career_History!E15)-Career_History!D15+1),0))/365.2425</f>
        <v>36.258102493548805</v>
      </c>
      <c r="R86" s="9">
        <f>SUM(IF(Career_History!I14=TRUE,IF(A86&lt;Career_History!D14,0,MIN(A86,Career_History!E14)-Career_History!D14+1),0),IF(Career_History!I15=TRUE,IF(A86&lt;Career_History!D15,0,MIN(A86,Career_History!E15)-Career_History!D15+1),0))/365.2425</f>
        <v>0</v>
      </c>
      <c r="S86" s="9">
        <f>SUM(IF(Career_History!H14=TRUE,IF(A86&lt;Career_History!D14,0,MIN(A86,Career_History!E14)-Career_History!D14+1),0),IF(Career_History!H15=TRUE,IF(A86&lt;Career_History!D15,0,MIN(A86,Career_History!E15)-Career_History!D15+1),0))/365.2425</f>
        <v>36.258102493548805</v>
      </c>
      <c r="T86" s="9">
        <f>SUM(IF(Career_History!G16=TRUE,IF(A86&lt;Career_History!D16,0,MIN(A86,Career_History!E16)-Career_History!D16+1),0),IF(Career_History!G17=TRUE,IF(A86&lt;Career_History!D17,0,MIN(A86,Career_History!E17)-Career_History!D17+1),0))/365.2425</f>
        <v>26.505677734655741</v>
      </c>
      <c r="U86" s="9">
        <f>SUM(IF(Career_History!I16=TRUE,IF(A86&lt;Career_History!D16,0,MIN(A86,Career_History!E16)-Career_History!D16+1),0),IF(Career_History!I17=TRUE,IF(A86&lt;Career_History!D17,0,MIN(A86,Career_History!E17)-Career_History!D17+1),0))/365.2425</f>
        <v>21.506259539894728</v>
      </c>
      <c r="V86" s="9">
        <f>SUM(IF(Career_History!H16=TRUE,IF(A86&lt;Career_History!D16,0,MIN(A86,Career_History!E16)-Career_History!D16+1),0),IF(Career_History!H17=TRUE,IF(A86&lt;Career_History!D17,0,MIN(A86,Career_History!E17)-Career_History!D17+1),0))/365.2425</f>
        <v>26.505677734655741</v>
      </c>
      <c r="W86" s="9">
        <f>SUM(IF(Career_History!G18=TRUE,IF(A86&lt;Career_History!D18,0,MIN(A86,Career_History!E18)-Career_History!D18+1),0),IF(Career_History!G19=TRUE,IF(A86&lt;Career_History!D19,0,MIN(A86,Career_History!E19)-Career_History!D19+1),0),IF(Career_History!G20=TRUE,IF(A86&lt;Career_History!D20,0,MIN(A86,Career_History!E20)-Career_History!D20+1),0))/365.2425</f>
        <v>33.503768044518367</v>
      </c>
      <c r="X86" s="9">
        <f>SUM(IF(Career_History!I18=TRUE,IF(A86&lt;Career_History!D18,0,MIN(A86,Career_History!E18)-Career_History!D18+1),0),IF(Career_History!I19=TRUE,IF(A86&lt;Career_History!D19,0,MIN(A86,Career_History!E19)-Career_History!D19+1),0),IF(Career_History!I20=TRUE,IF(A86&lt;Career_History!D20,0,MIN(A86,Career_History!E20)-Career_History!D20+1),0))/365.2425</f>
        <v>0</v>
      </c>
      <c r="Y86" s="9">
        <f>SUM(IF(Career_History!H18=TRUE,IF(A86&lt;Career_History!D18,0,MIN(A86,Career_History!E18)-Career_History!D18+1),0),IF(Career_History!H19=TRUE,IF(A86&lt;Career_History!D19,0,MIN(A86,Career_History!E19)-Career_History!D19+1),0),IF(Career_History!H20=TRUE,IF(A86&lt;Career_History!D20,0,MIN(A86,Career_History!E20)-Career_History!D20+1),0))/365.2425</f>
        <v>3.92615864802152</v>
      </c>
      <c r="Z86" s="9">
        <f>SUM(IF(Career_History!G21=TRUE,IF(A86&lt;Career_History!D21,0,MIN(A86,Career_History!E21)-Career_History!D21+1),0),IF(Career_History!G22=TRUE,IF(A86&lt;Career_History!D22,0,MIN(A86,Career_History!E22)-Career_History!D22+1),0),IF(Career_History!G23=TRUE,IF(A86&lt;Career_History!D23,0,MIN(A86,Career_History!E23)-Career_History!D23+1),0),IF(Career_History!G24=TRUE,IF(A86&lt;Career_History!D24,0,MIN(A86,Career_History!E24)-Career_History!D24+1),0))/365.2425</f>
        <v>30.505759871865951</v>
      </c>
      <c r="AA86" s="9">
        <f>SUM(IF(Career_History!I21=TRUE,IF(A86&lt;Career_History!D21,0,MIN(A86,Career_History!E21)-Career_History!D21+1),0),IF(Career_History!I22=TRUE,IF(A86&lt;Career_History!D22,0,MIN(A86,Career_History!E22)-Career_History!D22+1),0),IF(Career_History!I23=TRUE,IF(A86&lt;Career_History!D23,0,MIN(A86,Career_History!E23)-Career_History!D23+1),0),IF(Career_History!I24=TRUE,IF(A86&lt;Career_History!D24,0,MIN(A86,Career_History!E24)-Career_History!D24+1),0))/365.2425</f>
        <v>26.505677734655741</v>
      </c>
      <c r="AB86" s="9">
        <f>SUM(IF(Career_History!H21=TRUE,IF(A86&lt;Career_History!D21,0,MIN(A86,Career_History!E21)-Career_History!D21+1),0),IF(Career_History!H22=TRUE,IF(A86&lt;Career_History!D22,0,MIN(A86,Career_History!E22)-Career_History!D22+1),0),IF(Career_History!H23=TRUE,IF(A86&lt;Career_History!D23,0,MIN(A86,Career_History!E23)-Career_History!D23+1),0),IF(Career_History!H24=TRUE,IF(A86&lt;Career_History!D24,0,MIN(A86,Career_History!E24)-Career_History!D24+1),0))/365.2425</f>
        <v>21.421384422678084</v>
      </c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</row>
    <row r="87" spans="1:67">
      <c r="A87" s="8">
        <v>37287</v>
      </c>
      <c r="B87" s="9">
        <f t="shared" si="3"/>
        <v>31.54068872050761</v>
      </c>
      <c r="C87" s="9">
        <f t="shared" si="4"/>
        <v>9.6023874549100938</v>
      </c>
      <c r="D87" s="9">
        <f t="shared" si="5"/>
        <v>19.107305420371397</v>
      </c>
      <c r="E87" s="9"/>
      <c r="F87" s="9"/>
      <c r="G87" s="9"/>
      <c r="H87" s="9"/>
      <c r="I87" s="9"/>
      <c r="J87" s="9"/>
      <c r="K87" s="9"/>
      <c r="L87" s="9"/>
      <c r="M87" s="9"/>
      <c r="N87" s="9">
        <f>SUM(IF(Career_History!G12=TRUE,IF(A87&lt;Career_History!D12,0,MIN(A87,Career_History!E12)-Career_History!D12+1),0),IF(Career_History!G13=TRUE,IF(A87&lt;Career_History!D13,0,MIN(A87,Career_History!E13)-Career_History!D13+1),0))/365.2425</f>
        <v>30.590634989082595</v>
      </c>
      <c r="O87" s="9">
        <f>SUM(IF(Career_History!I12=TRUE,IF(A87&lt;Career_History!D12,0,MIN(A87,Career_History!E12)-Career_History!D12+1),0),IF(Career_History!I13=TRUE,IF(A87&lt;Career_History!D13,0,MIN(A87,Career_History!E13)-Career_History!D13+1),0))/365.2425</f>
        <v>0</v>
      </c>
      <c r="P87" s="9">
        <f>SUM(IF(Career_History!H12=TRUE,IF(A87&lt;Career_History!D12,0,MIN(A87,Career_History!E12)-Career_History!D12+1),0),IF(Career_History!H13=TRUE,IF(A87&lt;Career_History!D13,0,MIN(A87,Career_History!E13)-Career_History!D13+1),0))/365.2425</f>
        <v>7.0857033340862579</v>
      </c>
      <c r="Q87" s="9">
        <f>SUM(IF(Career_History!G14=TRUE,IF(A87&lt;Career_History!D14,0,MIN(A87,Career_History!E14)-Career_History!D14+1),0),IF(Career_History!G15=TRUE,IF(A87&lt;Career_History!D15,0,MIN(A87,Career_History!E15)-Career_History!D15+1),0))/365.2425</f>
        <v>36.342977610765452</v>
      </c>
      <c r="R87" s="9">
        <f>SUM(IF(Career_History!I14=TRUE,IF(A87&lt;Career_History!D14,0,MIN(A87,Career_History!E14)-Career_History!D14+1),0),IF(Career_History!I15=TRUE,IF(A87&lt;Career_History!D15,0,MIN(A87,Career_History!E15)-Career_History!D15+1),0))/365.2425</f>
        <v>0</v>
      </c>
      <c r="S87" s="9">
        <f>SUM(IF(Career_History!H14=TRUE,IF(A87&lt;Career_History!D14,0,MIN(A87,Career_History!E14)-Career_History!D14+1),0),IF(Career_History!H15=TRUE,IF(A87&lt;Career_History!D15,0,MIN(A87,Career_History!E15)-Career_History!D15+1),0))/365.2425</f>
        <v>36.342977610765452</v>
      </c>
      <c r="T87" s="9">
        <f>SUM(IF(Career_History!G16=TRUE,IF(A87&lt;Career_History!D16,0,MIN(A87,Career_History!E16)-Career_History!D16+1),0),IF(Career_History!G17=TRUE,IF(A87&lt;Career_History!D17,0,MIN(A87,Career_History!E17)-Career_History!D17+1),0))/365.2425</f>
        <v>26.590552851872385</v>
      </c>
      <c r="U87" s="9">
        <f>SUM(IF(Career_History!I16=TRUE,IF(A87&lt;Career_History!D16,0,MIN(A87,Career_History!E16)-Career_History!D16+1),0),IF(Career_History!I17=TRUE,IF(A87&lt;Career_History!D17,0,MIN(A87,Career_History!E17)-Career_History!D17+1),0))/365.2425</f>
        <v>21.506259539894728</v>
      </c>
      <c r="V87" s="9">
        <f>SUM(IF(Career_History!H16=TRUE,IF(A87&lt;Career_History!D16,0,MIN(A87,Career_History!E16)-Career_History!D16+1),0),IF(Career_History!H17=TRUE,IF(A87&lt;Career_History!D17,0,MIN(A87,Career_History!E17)-Career_History!D17+1),0))/365.2425</f>
        <v>26.590552851872385</v>
      </c>
      <c r="W87" s="9">
        <f>SUM(IF(Career_History!G18=TRUE,IF(A87&lt;Career_History!D18,0,MIN(A87,Career_History!E18)-Career_History!D18+1),0),IF(Career_History!G19=TRUE,IF(A87&lt;Career_History!D19,0,MIN(A87,Career_History!E19)-Career_History!D19+1),0),IF(Career_History!G20=TRUE,IF(A87&lt;Career_History!D20,0,MIN(A87,Career_History!E20)-Career_History!D20+1),0))/365.2425</f>
        <v>33.588643161735014</v>
      </c>
      <c r="X87" s="9">
        <f>SUM(IF(Career_History!I18=TRUE,IF(A87&lt;Career_History!D18,0,MIN(A87,Career_History!E18)-Career_History!D18+1),0),IF(Career_History!I19=TRUE,IF(A87&lt;Career_History!D19,0,MIN(A87,Career_History!E19)-Career_History!D19+1),0),IF(Career_History!I20=TRUE,IF(A87&lt;Career_History!D20,0,MIN(A87,Career_History!E20)-Career_History!D20+1),0))/365.2425</f>
        <v>0</v>
      </c>
      <c r="Y87" s="9">
        <f>SUM(IF(Career_History!H18=TRUE,IF(A87&lt;Career_History!D18,0,MIN(A87,Career_History!E18)-Career_History!D18+1),0),IF(Career_History!H19=TRUE,IF(A87&lt;Career_History!D19,0,MIN(A87,Career_History!E19)-Career_History!D19+1),0),IF(Career_History!H20=TRUE,IF(A87&lt;Career_History!D20,0,MIN(A87,Career_History!E20)-Career_History!D20+1),0))/365.2425</f>
        <v>4.0110337652381638</v>
      </c>
      <c r="Z87" s="9">
        <f>SUM(IF(Career_History!G21=TRUE,IF(A87&lt;Career_History!D21,0,MIN(A87,Career_History!E21)-Career_History!D21+1),0),IF(Career_History!G22=TRUE,IF(A87&lt;Career_History!D22,0,MIN(A87,Career_History!E22)-Career_History!D22+1),0),IF(Career_History!G23=TRUE,IF(A87&lt;Career_History!D23,0,MIN(A87,Career_History!E23)-Career_History!D23+1),0),IF(Career_History!G24=TRUE,IF(A87&lt;Career_History!D24,0,MIN(A87,Career_History!E24)-Career_History!D24+1),0))/365.2425</f>
        <v>30.590634989082595</v>
      </c>
      <c r="AA87" s="9">
        <f>SUM(IF(Career_History!I21=TRUE,IF(A87&lt;Career_History!D21,0,MIN(A87,Career_History!E21)-Career_History!D21+1),0),IF(Career_History!I22=TRUE,IF(A87&lt;Career_History!D22,0,MIN(A87,Career_History!E22)-Career_History!D22+1),0),IF(Career_History!I23=TRUE,IF(A87&lt;Career_History!D23,0,MIN(A87,Career_History!E23)-Career_History!D23+1),0),IF(Career_History!I24=TRUE,IF(A87&lt;Career_History!D24,0,MIN(A87,Career_History!E24)-Career_History!D24+1),0))/365.2425</f>
        <v>26.505677734655741</v>
      </c>
      <c r="AB87" s="9">
        <f>SUM(IF(Career_History!H21=TRUE,IF(A87&lt;Career_History!D21,0,MIN(A87,Career_History!E21)-Career_History!D21+1),0),IF(Career_History!H22=TRUE,IF(A87&lt;Career_History!D22,0,MIN(A87,Career_History!E22)-Career_History!D22+1),0),IF(Career_History!H23=TRUE,IF(A87&lt;Career_History!D23,0,MIN(A87,Career_History!E23)-Career_History!D23+1),0),IF(Career_History!H24=TRUE,IF(A87&lt;Career_History!D24,0,MIN(A87,Career_History!E24)-Career_History!D24+1),0))/365.2425</f>
        <v>21.506259539894728</v>
      </c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</row>
    <row r="88" spans="1:67">
      <c r="A88" s="8">
        <v>37315</v>
      </c>
      <c r="B88" s="9">
        <f t="shared" si="3"/>
        <v>31.617350116703285</v>
      </c>
      <c r="C88" s="9">
        <f t="shared" si="4"/>
        <v>9.6023874549100938</v>
      </c>
      <c r="D88" s="9">
        <f t="shared" si="5"/>
        <v>19.183966816567075</v>
      </c>
      <c r="E88" s="9"/>
      <c r="F88" s="9"/>
      <c r="G88" s="9"/>
      <c r="H88" s="9"/>
      <c r="I88" s="9"/>
      <c r="J88" s="9"/>
      <c r="K88" s="9"/>
      <c r="L88" s="9"/>
      <c r="M88" s="9"/>
      <c r="N88" s="9">
        <f>SUM(IF(Career_History!G12=TRUE,IF(A88&lt;Career_History!D12,0,MIN(A88,Career_History!E12)-Career_History!D12+1),0),IF(Career_History!G13=TRUE,IF(A88&lt;Career_History!D13,0,MIN(A88,Career_History!E13)-Career_History!D13+1),0))/365.2425</f>
        <v>30.667296385278274</v>
      </c>
      <c r="O88" s="9">
        <f>SUM(IF(Career_History!I12=TRUE,IF(A88&lt;Career_History!D12,0,MIN(A88,Career_History!E12)-Career_History!D12+1),0),IF(Career_History!I13=TRUE,IF(A88&lt;Career_History!D13,0,MIN(A88,Career_History!E13)-Career_History!D13+1),0))/365.2425</f>
        <v>0</v>
      </c>
      <c r="P88" s="9">
        <f>SUM(IF(Career_History!H12=TRUE,IF(A88&lt;Career_History!D12,0,MIN(A88,Career_History!E12)-Career_History!D12+1),0),IF(Career_History!H13=TRUE,IF(A88&lt;Career_History!D13,0,MIN(A88,Career_History!E13)-Career_History!D13+1),0))/365.2425</f>
        <v>7.1623647302819355</v>
      </c>
      <c r="Q88" s="9">
        <f>SUM(IF(Career_History!G14=TRUE,IF(A88&lt;Career_History!D14,0,MIN(A88,Career_History!E14)-Career_History!D14+1),0),IF(Career_History!G15=TRUE,IF(A88&lt;Career_History!D15,0,MIN(A88,Career_History!E15)-Career_History!D15+1),0))/365.2425</f>
        <v>36.419639006961127</v>
      </c>
      <c r="R88" s="9">
        <f>SUM(IF(Career_History!I14=TRUE,IF(A88&lt;Career_History!D14,0,MIN(A88,Career_History!E14)-Career_History!D14+1),0),IF(Career_History!I15=TRUE,IF(A88&lt;Career_History!D15,0,MIN(A88,Career_History!E15)-Career_History!D15+1),0))/365.2425</f>
        <v>0</v>
      </c>
      <c r="S88" s="9">
        <f>SUM(IF(Career_History!H14=TRUE,IF(A88&lt;Career_History!D14,0,MIN(A88,Career_History!E14)-Career_History!D14+1),0),IF(Career_History!H15=TRUE,IF(A88&lt;Career_History!D15,0,MIN(A88,Career_History!E15)-Career_History!D15+1),0))/365.2425</f>
        <v>36.419639006961127</v>
      </c>
      <c r="T88" s="9">
        <f>SUM(IF(Career_History!G16=TRUE,IF(A88&lt;Career_History!D16,0,MIN(A88,Career_History!E16)-Career_History!D16+1),0),IF(Career_History!G17=TRUE,IF(A88&lt;Career_History!D17,0,MIN(A88,Career_History!E17)-Career_History!D17+1),0))/365.2425</f>
        <v>26.667214248068063</v>
      </c>
      <c r="U88" s="9">
        <f>SUM(IF(Career_History!I16=TRUE,IF(A88&lt;Career_History!D16,0,MIN(A88,Career_History!E16)-Career_History!D16+1),0),IF(Career_History!I17=TRUE,IF(A88&lt;Career_History!D17,0,MIN(A88,Career_History!E17)-Career_History!D17+1),0))/365.2425</f>
        <v>21.506259539894728</v>
      </c>
      <c r="V88" s="9">
        <f>SUM(IF(Career_History!H16=TRUE,IF(A88&lt;Career_History!D16,0,MIN(A88,Career_History!E16)-Career_History!D16+1),0),IF(Career_History!H17=TRUE,IF(A88&lt;Career_History!D17,0,MIN(A88,Career_History!E17)-Career_History!D17+1),0))/365.2425</f>
        <v>26.667214248068063</v>
      </c>
      <c r="W88" s="9">
        <f>SUM(IF(Career_History!G18=TRUE,IF(A88&lt;Career_History!D18,0,MIN(A88,Career_History!E18)-Career_History!D18+1),0),IF(Career_History!G19=TRUE,IF(A88&lt;Career_History!D19,0,MIN(A88,Career_History!E19)-Career_History!D19+1),0),IF(Career_History!G20=TRUE,IF(A88&lt;Career_History!D20,0,MIN(A88,Career_History!E20)-Career_History!D20+1),0))/365.2425</f>
        <v>33.665304557930689</v>
      </c>
      <c r="X88" s="9">
        <f>SUM(IF(Career_History!I18=TRUE,IF(A88&lt;Career_History!D18,0,MIN(A88,Career_History!E18)-Career_History!D18+1),0),IF(Career_History!I19=TRUE,IF(A88&lt;Career_History!D19,0,MIN(A88,Career_History!E19)-Career_History!D19+1),0),IF(Career_History!I20=TRUE,IF(A88&lt;Career_History!D20,0,MIN(A88,Career_History!E20)-Career_History!D20+1),0))/365.2425</f>
        <v>0</v>
      </c>
      <c r="Y88" s="9">
        <f>SUM(IF(Career_History!H18=TRUE,IF(A88&lt;Career_History!D18,0,MIN(A88,Career_History!E18)-Career_History!D18+1),0),IF(Career_History!H19=TRUE,IF(A88&lt;Career_History!D19,0,MIN(A88,Career_History!E19)-Career_History!D19+1),0),IF(Career_History!H20=TRUE,IF(A88&lt;Career_History!D20,0,MIN(A88,Career_History!E20)-Career_History!D20+1),0))/365.2425</f>
        <v>4.0876951614338415</v>
      </c>
      <c r="Z88" s="9">
        <f>SUM(IF(Career_History!G21=TRUE,IF(A88&lt;Career_History!D21,0,MIN(A88,Career_History!E21)-Career_History!D21+1),0),IF(Career_History!G22=TRUE,IF(A88&lt;Career_History!D22,0,MIN(A88,Career_History!E22)-Career_History!D22+1),0),IF(Career_History!G23=TRUE,IF(A88&lt;Career_History!D23,0,MIN(A88,Career_History!E23)-Career_History!D23+1),0),IF(Career_History!G24=TRUE,IF(A88&lt;Career_History!D24,0,MIN(A88,Career_History!E24)-Career_History!D24+1),0))/365.2425</f>
        <v>30.667296385278274</v>
      </c>
      <c r="AA88" s="9">
        <f>SUM(IF(Career_History!I21=TRUE,IF(A88&lt;Career_History!D21,0,MIN(A88,Career_History!E21)-Career_History!D21+1),0),IF(Career_History!I22=TRUE,IF(A88&lt;Career_History!D22,0,MIN(A88,Career_History!E22)-Career_History!D22+1),0),IF(Career_History!I23=TRUE,IF(A88&lt;Career_History!D23,0,MIN(A88,Career_History!E23)-Career_History!D23+1),0),IF(Career_History!I24=TRUE,IF(A88&lt;Career_History!D24,0,MIN(A88,Career_History!E24)-Career_History!D24+1),0))/365.2425</f>
        <v>26.505677734655741</v>
      </c>
      <c r="AB88" s="9">
        <f>SUM(IF(Career_History!H21=TRUE,IF(A88&lt;Career_History!D21,0,MIN(A88,Career_History!E21)-Career_History!D21+1),0),IF(Career_History!H22=TRUE,IF(A88&lt;Career_History!D22,0,MIN(A88,Career_History!E22)-Career_History!D22+1),0),IF(Career_History!H23=TRUE,IF(A88&lt;Career_History!D23,0,MIN(A88,Career_History!E23)-Career_History!D23+1),0),IF(Career_History!H24=TRUE,IF(A88&lt;Career_History!D24,0,MIN(A88,Career_History!E24)-Career_History!D24+1),0))/365.2425</f>
        <v>21.582920936090407</v>
      </c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</row>
    <row r="89" spans="1:67">
      <c r="A89" s="8">
        <v>37346</v>
      </c>
      <c r="B89" s="9">
        <f t="shared" si="3"/>
        <v>31.702225233919933</v>
      </c>
      <c r="C89" s="9">
        <f t="shared" si="4"/>
        <v>9.6023874549100938</v>
      </c>
      <c r="D89" s="9">
        <f t="shared" si="5"/>
        <v>19.268841933783715</v>
      </c>
      <c r="E89" s="9"/>
      <c r="F89" s="9"/>
      <c r="G89" s="9"/>
      <c r="H89" s="9"/>
      <c r="I89" s="9"/>
      <c r="J89" s="9"/>
      <c r="K89" s="9"/>
      <c r="L89" s="9"/>
      <c r="M89" s="9"/>
      <c r="N89" s="9">
        <f>SUM(IF(Career_History!G12=TRUE,IF(A89&lt;Career_History!D12,0,MIN(A89,Career_History!E12)-Career_History!D12+1),0),IF(Career_History!G13=TRUE,IF(A89&lt;Career_History!D13,0,MIN(A89,Career_History!E13)-Career_History!D13+1),0))/365.2425</f>
        <v>30.752171502494917</v>
      </c>
      <c r="O89" s="9">
        <f>SUM(IF(Career_History!I12=TRUE,IF(A89&lt;Career_History!D12,0,MIN(A89,Career_History!E12)-Career_History!D12+1),0),IF(Career_History!I13=TRUE,IF(A89&lt;Career_History!D13,0,MIN(A89,Career_History!E13)-Career_History!D13+1),0))/365.2425</f>
        <v>0</v>
      </c>
      <c r="P89" s="9">
        <f>SUM(IF(Career_History!H12=TRUE,IF(A89&lt;Career_History!D12,0,MIN(A89,Career_History!E12)-Career_History!D12+1),0),IF(Career_History!H13=TRUE,IF(A89&lt;Career_History!D13,0,MIN(A89,Career_History!E13)-Career_History!D13+1),0))/365.2425</f>
        <v>7.2472398474985793</v>
      </c>
      <c r="Q89" s="9">
        <f>SUM(IF(Career_History!G14=TRUE,IF(A89&lt;Career_History!D14,0,MIN(A89,Career_History!E14)-Career_History!D14+1),0),IF(Career_History!G15=TRUE,IF(A89&lt;Career_History!D15,0,MIN(A89,Career_History!E15)-Career_History!D15+1),0))/365.2425</f>
        <v>36.504514124177774</v>
      </c>
      <c r="R89" s="9">
        <f>SUM(IF(Career_History!I14=TRUE,IF(A89&lt;Career_History!D14,0,MIN(A89,Career_History!E14)-Career_History!D14+1),0),IF(Career_History!I15=TRUE,IF(A89&lt;Career_History!D15,0,MIN(A89,Career_History!E15)-Career_History!D15+1),0))/365.2425</f>
        <v>0</v>
      </c>
      <c r="S89" s="9">
        <f>SUM(IF(Career_History!H14=TRUE,IF(A89&lt;Career_History!D14,0,MIN(A89,Career_History!E14)-Career_History!D14+1),0),IF(Career_History!H15=TRUE,IF(A89&lt;Career_History!D15,0,MIN(A89,Career_History!E15)-Career_History!D15+1),0))/365.2425</f>
        <v>36.504514124177774</v>
      </c>
      <c r="T89" s="9">
        <f>SUM(IF(Career_History!G16=TRUE,IF(A89&lt;Career_History!D16,0,MIN(A89,Career_History!E16)-Career_History!D16+1),0),IF(Career_History!G17=TRUE,IF(A89&lt;Career_History!D17,0,MIN(A89,Career_History!E17)-Career_History!D17+1),0))/365.2425</f>
        <v>26.752089365284707</v>
      </c>
      <c r="U89" s="9">
        <f>SUM(IF(Career_History!I16=TRUE,IF(A89&lt;Career_History!D16,0,MIN(A89,Career_History!E16)-Career_History!D16+1),0),IF(Career_History!I17=TRUE,IF(A89&lt;Career_History!D17,0,MIN(A89,Career_History!E17)-Career_History!D17+1),0))/365.2425</f>
        <v>21.506259539894728</v>
      </c>
      <c r="V89" s="9">
        <f>SUM(IF(Career_History!H16=TRUE,IF(A89&lt;Career_History!D16,0,MIN(A89,Career_History!E16)-Career_History!D16+1),0),IF(Career_History!H17=TRUE,IF(A89&lt;Career_History!D17,0,MIN(A89,Career_History!E17)-Career_History!D17+1),0))/365.2425</f>
        <v>26.752089365284707</v>
      </c>
      <c r="W89" s="9">
        <f>SUM(IF(Career_History!G18=TRUE,IF(A89&lt;Career_History!D18,0,MIN(A89,Career_History!E18)-Career_History!D18+1),0),IF(Career_History!G19=TRUE,IF(A89&lt;Career_History!D19,0,MIN(A89,Career_History!E19)-Career_History!D19+1),0),IF(Career_History!G20=TRUE,IF(A89&lt;Career_History!D20,0,MIN(A89,Career_History!E20)-Career_History!D20+1),0))/365.2425</f>
        <v>33.750179675147336</v>
      </c>
      <c r="X89" s="9">
        <f>SUM(IF(Career_History!I18=TRUE,IF(A89&lt;Career_History!D18,0,MIN(A89,Career_History!E18)-Career_History!D18+1),0),IF(Career_History!I19=TRUE,IF(A89&lt;Career_History!D19,0,MIN(A89,Career_History!E19)-Career_History!D19+1),0),IF(Career_History!I20=TRUE,IF(A89&lt;Career_History!D20,0,MIN(A89,Career_History!E20)-Career_History!D20+1),0))/365.2425</f>
        <v>0</v>
      </c>
      <c r="Y89" s="9">
        <f>SUM(IF(Career_History!H18=TRUE,IF(A89&lt;Career_History!D18,0,MIN(A89,Career_History!E18)-Career_History!D18+1),0),IF(Career_History!H19=TRUE,IF(A89&lt;Career_History!D19,0,MIN(A89,Career_History!E19)-Career_History!D19+1),0),IF(Career_History!H20=TRUE,IF(A89&lt;Career_History!D20,0,MIN(A89,Career_History!E20)-Career_History!D20+1),0))/365.2425</f>
        <v>4.1725702786504852</v>
      </c>
      <c r="Z89" s="9">
        <f>SUM(IF(Career_History!G21=TRUE,IF(A89&lt;Career_History!D21,0,MIN(A89,Career_History!E21)-Career_History!D21+1),0),IF(Career_History!G22=TRUE,IF(A89&lt;Career_History!D22,0,MIN(A89,Career_History!E22)-Career_History!D22+1),0),IF(Career_History!G23=TRUE,IF(A89&lt;Career_History!D23,0,MIN(A89,Career_History!E23)-Career_History!D23+1),0),IF(Career_History!G24=TRUE,IF(A89&lt;Career_History!D24,0,MIN(A89,Career_History!E24)-Career_History!D24+1),0))/365.2425</f>
        <v>30.752171502494917</v>
      </c>
      <c r="AA89" s="9">
        <f>SUM(IF(Career_History!I21=TRUE,IF(A89&lt;Career_History!D21,0,MIN(A89,Career_History!E21)-Career_History!D21+1),0),IF(Career_History!I22=TRUE,IF(A89&lt;Career_History!D22,0,MIN(A89,Career_History!E22)-Career_History!D22+1),0),IF(Career_History!I23=TRUE,IF(A89&lt;Career_History!D23,0,MIN(A89,Career_History!E23)-Career_History!D23+1),0),IF(Career_History!I24=TRUE,IF(A89&lt;Career_History!D24,0,MIN(A89,Career_History!E24)-Career_History!D24+1),0))/365.2425</f>
        <v>26.505677734655741</v>
      </c>
      <c r="AB89" s="9">
        <f>SUM(IF(Career_History!H21=TRUE,IF(A89&lt;Career_History!D21,0,MIN(A89,Career_History!E21)-Career_History!D21+1),0),IF(Career_History!H22=TRUE,IF(A89&lt;Career_History!D22,0,MIN(A89,Career_History!E22)-Career_History!D22+1),0),IF(Career_History!H23=TRUE,IF(A89&lt;Career_History!D23,0,MIN(A89,Career_History!E23)-Career_History!D23+1),0),IF(Career_History!H24=TRUE,IF(A89&lt;Career_History!D24,0,MIN(A89,Career_History!E24)-Career_History!D24+1),0))/365.2425</f>
        <v>21.66779605330705</v>
      </c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</row>
    <row r="90" spans="1:67">
      <c r="A90" s="8">
        <v>37376</v>
      </c>
      <c r="B90" s="9">
        <f t="shared" si="3"/>
        <v>31.784362444129584</v>
      </c>
      <c r="C90" s="9">
        <f t="shared" si="4"/>
        <v>9.6023874549100938</v>
      </c>
      <c r="D90" s="9">
        <f t="shared" si="5"/>
        <v>19.350979143993374</v>
      </c>
      <c r="E90" s="9"/>
      <c r="F90" s="9"/>
      <c r="G90" s="9"/>
      <c r="H90" s="9"/>
      <c r="I90" s="9"/>
      <c r="J90" s="9"/>
      <c r="K90" s="9"/>
      <c r="L90" s="9"/>
      <c r="M90" s="9"/>
      <c r="N90" s="9">
        <f>SUM(IF(Career_History!G12=TRUE,IF(A90&lt;Career_History!D12,0,MIN(A90,Career_History!E12)-Career_History!D12+1),0),IF(Career_History!G13=TRUE,IF(A90&lt;Career_History!D13,0,MIN(A90,Career_History!E13)-Career_History!D13+1),0))/365.2425</f>
        <v>30.834308712704573</v>
      </c>
      <c r="O90" s="9">
        <f>SUM(IF(Career_History!I12=TRUE,IF(A90&lt;Career_History!D12,0,MIN(A90,Career_History!E12)-Career_History!D12+1),0),IF(Career_History!I13=TRUE,IF(A90&lt;Career_History!D13,0,MIN(A90,Career_History!E13)-Career_History!D13+1),0))/365.2425</f>
        <v>0</v>
      </c>
      <c r="P90" s="9">
        <f>SUM(IF(Career_History!H12=TRUE,IF(A90&lt;Career_History!D12,0,MIN(A90,Career_History!E12)-Career_History!D12+1),0),IF(Career_History!H13=TRUE,IF(A90&lt;Career_History!D13,0,MIN(A90,Career_History!E13)-Career_History!D13+1),0))/365.2425</f>
        <v>7.3293770577082347</v>
      </c>
      <c r="Q90" s="9">
        <f>SUM(IF(Career_History!G14=TRUE,IF(A90&lt;Career_History!D14,0,MIN(A90,Career_History!E14)-Career_History!D14+1),0),IF(Career_History!G15=TRUE,IF(A90&lt;Career_History!D15,0,MIN(A90,Career_History!E15)-Career_History!D15+1),0))/365.2425</f>
        <v>36.586651334387426</v>
      </c>
      <c r="R90" s="9">
        <f>SUM(IF(Career_History!I14=TRUE,IF(A90&lt;Career_History!D14,0,MIN(A90,Career_History!E14)-Career_History!D14+1),0),IF(Career_History!I15=TRUE,IF(A90&lt;Career_History!D15,0,MIN(A90,Career_History!E15)-Career_History!D15+1),0))/365.2425</f>
        <v>0</v>
      </c>
      <c r="S90" s="9">
        <f>SUM(IF(Career_History!H14=TRUE,IF(A90&lt;Career_History!D14,0,MIN(A90,Career_History!E14)-Career_History!D14+1),0),IF(Career_History!H15=TRUE,IF(A90&lt;Career_History!D15,0,MIN(A90,Career_History!E15)-Career_History!D15+1),0))/365.2425</f>
        <v>36.586651334387426</v>
      </c>
      <c r="T90" s="9">
        <f>SUM(IF(Career_History!G16=TRUE,IF(A90&lt;Career_History!D16,0,MIN(A90,Career_History!E16)-Career_History!D16+1),0),IF(Career_History!G17=TRUE,IF(A90&lt;Career_History!D17,0,MIN(A90,Career_History!E17)-Career_History!D17+1),0))/365.2425</f>
        <v>26.834226575494363</v>
      </c>
      <c r="U90" s="9">
        <f>SUM(IF(Career_History!I16=TRUE,IF(A90&lt;Career_History!D16,0,MIN(A90,Career_History!E16)-Career_History!D16+1),0),IF(Career_History!I17=TRUE,IF(A90&lt;Career_History!D17,0,MIN(A90,Career_History!E17)-Career_History!D17+1),0))/365.2425</f>
        <v>21.506259539894728</v>
      </c>
      <c r="V90" s="9">
        <f>SUM(IF(Career_History!H16=TRUE,IF(A90&lt;Career_History!D16,0,MIN(A90,Career_History!E16)-Career_History!D16+1),0),IF(Career_History!H17=TRUE,IF(A90&lt;Career_History!D17,0,MIN(A90,Career_History!E17)-Career_History!D17+1),0))/365.2425</f>
        <v>26.834226575494363</v>
      </c>
      <c r="W90" s="9">
        <f>SUM(IF(Career_History!G18=TRUE,IF(A90&lt;Career_History!D18,0,MIN(A90,Career_History!E18)-Career_History!D18+1),0),IF(Career_History!G19=TRUE,IF(A90&lt;Career_History!D19,0,MIN(A90,Career_History!E19)-Career_History!D19+1),0),IF(Career_History!G20=TRUE,IF(A90&lt;Career_History!D20,0,MIN(A90,Career_History!E20)-Career_History!D20+1),0))/365.2425</f>
        <v>33.832316885356988</v>
      </c>
      <c r="X90" s="9">
        <f>SUM(IF(Career_History!I18=TRUE,IF(A90&lt;Career_History!D18,0,MIN(A90,Career_History!E18)-Career_History!D18+1),0),IF(Career_History!I19=TRUE,IF(A90&lt;Career_History!D19,0,MIN(A90,Career_History!E19)-Career_History!D19+1),0),IF(Career_History!I20=TRUE,IF(A90&lt;Career_History!D20,0,MIN(A90,Career_History!E20)-Career_History!D20+1),0))/365.2425</f>
        <v>0</v>
      </c>
      <c r="Y90" s="9">
        <f>SUM(IF(Career_History!H18=TRUE,IF(A90&lt;Career_History!D18,0,MIN(A90,Career_History!E18)-Career_History!D18+1),0),IF(Career_History!H19=TRUE,IF(A90&lt;Career_History!D19,0,MIN(A90,Career_History!E19)-Career_History!D19+1),0),IF(Career_History!H20=TRUE,IF(A90&lt;Career_History!D20,0,MIN(A90,Career_History!E20)-Career_History!D20+1),0))/365.2425</f>
        <v>4.2547074888601406</v>
      </c>
      <c r="Z90" s="9">
        <f>SUM(IF(Career_History!G21=TRUE,IF(A90&lt;Career_History!D21,0,MIN(A90,Career_History!E21)-Career_History!D21+1),0),IF(Career_History!G22=TRUE,IF(A90&lt;Career_History!D22,0,MIN(A90,Career_History!E22)-Career_History!D22+1),0),IF(Career_History!G23=TRUE,IF(A90&lt;Career_History!D23,0,MIN(A90,Career_History!E23)-Career_History!D23+1),0),IF(Career_History!G24=TRUE,IF(A90&lt;Career_History!D24,0,MIN(A90,Career_History!E24)-Career_History!D24+1),0))/365.2425</f>
        <v>30.834308712704573</v>
      </c>
      <c r="AA90" s="9">
        <f>SUM(IF(Career_History!I21=TRUE,IF(A90&lt;Career_History!D21,0,MIN(A90,Career_History!E21)-Career_History!D21+1),0),IF(Career_History!I22=TRUE,IF(A90&lt;Career_History!D22,0,MIN(A90,Career_History!E22)-Career_History!D22+1),0),IF(Career_History!I23=TRUE,IF(A90&lt;Career_History!D23,0,MIN(A90,Career_History!E23)-Career_History!D23+1),0),IF(Career_History!I24=TRUE,IF(A90&lt;Career_History!D24,0,MIN(A90,Career_History!E24)-Career_History!D24+1),0))/365.2425</f>
        <v>26.505677734655741</v>
      </c>
      <c r="AB90" s="9">
        <f>SUM(IF(Career_History!H21=TRUE,IF(A90&lt;Career_History!D21,0,MIN(A90,Career_History!E21)-Career_History!D21+1),0),IF(Career_History!H22=TRUE,IF(A90&lt;Career_History!D22,0,MIN(A90,Career_History!E22)-Career_History!D22+1),0),IF(Career_History!H23=TRUE,IF(A90&lt;Career_History!D23,0,MIN(A90,Career_History!E23)-Career_History!D23+1),0),IF(Career_History!H24=TRUE,IF(A90&lt;Career_History!D24,0,MIN(A90,Career_History!E24)-Career_History!D24+1),0))/365.2425</f>
        <v>21.749933263516706</v>
      </c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</row>
    <row r="91" spans="1:67">
      <c r="A91" s="8">
        <v>37407</v>
      </c>
      <c r="B91" s="9">
        <f t="shared" si="3"/>
        <v>31.869237561346232</v>
      </c>
      <c r="C91" s="9">
        <f t="shared" si="4"/>
        <v>9.6023874549100938</v>
      </c>
      <c r="D91" s="9">
        <f t="shared" si="5"/>
        <v>19.435854261210018</v>
      </c>
      <c r="E91" s="9"/>
      <c r="F91" s="9"/>
      <c r="G91" s="9"/>
      <c r="H91" s="9"/>
      <c r="I91" s="9"/>
      <c r="J91" s="9"/>
      <c r="K91" s="9"/>
      <c r="L91" s="9"/>
      <c r="M91" s="9"/>
      <c r="N91" s="9">
        <f>SUM(IF(Career_History!G12=TRUE,IF(A91&lt;Career_History!D12,0,MIN(A91,Career_History!E12)-Career_History!D12+1),0),IF(Career_History!G13=TRUE,IF(A91&lt;Career_History!D13,0,MIN(A91,Career_History!E13)-Career_History!D13+1),0))/365.2425</f>
        <v>30.919183829921216</v>
      </c>
      <c r="O91" s="9">
        <f>SUM(IF(Career_History!I12=TRUE,IF(A91&lt;Career_History!D12,0,MIN(A91,Career_History!E12)-Career_History!D12+1),0),IF(Career_History!I13=TRUE,IF(A91&lt;Career_History!D13,0,MIN(A91,Career_History!E13)-Career_History!D13+1),0))/365.2425</f>
        <v>0</v>
      </c>
      <c r="P91" s="9">
        <f>SUM(IF(Career_History!H12=TRUE,IF(A91&lt;Career_History!D12,0,MIN(A91,Career_History!E12)-Career_History!D12+1),0),IF(Career_History!H13=TRUE,IF(A91&lt;Career_History!D13,0,MIN(A91,Career_History!E13)-Career_History!D13+1),0))/365.2425</f>
        <v>7.4142521749248784</v>
      </c>
      <c r="Q91" s="9">
        <f>SUM(IF(Career_History!G14=TRUE,IF(A91&lt;Career_History!D14,0,MIN(A91,Career_History!E14)-Career_History!D14+1),0),IF(Career_History!G15=TRUE,IF(A91&lt;Career_History!D15,0,MIN(A91,Career_History!E15)-Career_History!D15+1),0))/365.2425</f>
        <v>36.671526451604073</v>
      </c>
      <c r="R91" s="9">
        <f>SUM(IF(Career_History!I14=TRUE,IF(A91&lt;Career_History!D14,0,MIN(A91,Career_History!E14)-Career_History!D14+1),0),IF(Career_History!I15=TRUE,IF(A91&lt;Career_History!D15,0,MIN(A91,Career_History!E15)-Career_History!D15+1),0))/365.2425</f>
        <v>0</v>
      </c>
      <c r="S91" s="9">
        <f>SUM(IF(Career_History!H14=TRUE,IF(A91&lt;Career_History!D14,0,MIN(A91,Career_History!E14)-Career_History!D14+1),0),IF(Career_History!H15=TRUE,IF(A91&lt;Career_History!D15,0,MIN(A91,Career_History!E15)-Career_History!D15+1),0))/365.2425</f>
        <v>36.671526451604073</v>
      </c>
      <c r="T91" s="9">
        <f>SUM(IF(Career_History!G16=TRUE,IF(A91&lt;Career_History!D16,0,MIN(A91,Career_History!E16)-Career_History!D16+1),0),IF(Career_History!G17=TRUE,IF(A91&lt;Career_History!D17,0,MIN(A91,Career_History!E17)-Career_History!D17+1),0))/365.2425</f>
        <v>26.919101692711006</v>
      </c>
      <c r="U91" s="9">
        <f>SUM(IF(Career_History!I16=TRUE,IF(A91&lt;Career_History!D16,0,MIN(A91,Career_History!E16)-Career_History!D16+1),0),IF(Career_History!I17=TRUE,IF(A91&lt;Career_History!D17,0,MIN(A91,Career_History!E17)-Career_History!D17+1),0))/365.2425</f>
        <v>21.506259539894728</v>
      </c>
      <c r="V91" s="9">
        <f>SUM(IF(Career_History!H16=TRUE,IF(A91&lt;Career_History!D16,0,MIN(A91,Career_History!E16)-Career_History!D16+1),0),IF(Career_History!H17=TRUE,IF(A91&lt;Career_History!D17,0,MIN(A91,Career_History!E17)-Career_History!D17+1),0))/365.2425</f>
        <v>26.919101692711006</v>
      </c>
      <c r="W91" s="9">
        <f>SUM(IF(Career_History!G18=TRUE,IF(A91&lt;Career_History!D18,0,MIN(A91,Career_History!E18)-Career_History!D18+1),0),IF(Career_History!G19=TRUE,IF(A91&lt;Career_History!D19,0,MIN(A91,Career_History!E19)-Career_History!D19+1),0),IF(Career_History!G20=TRUE,IF(A91&lt;Career_History!D20,0,MIN(A91,Career_History!E20)-Career_History!D20+1),0))/365.2425</f>
        <v>33.917192002573628</v>
      </c>
      <c r="X91" s="9">
        <f>SUM(IF(Career_History!I18=TRUE,IF(A91&lt;Career_History!D18,0,MIN(A91,Career_History!E18)-Career_History!D18+1),0),IF(Career_History!I19=TRUE,IF(A91&lt;Career_History!D19,0,MIN(A91,Career_History!E19)-Career_History!D19+1),0),IF(Career_History!I20=TRUE,IF(A91&lt;Career_History!D20,0,MIN(A91,Career_History!E20)-Career_History!D20+1),0))/365.2425</f>
        <v>0</v>
      </c>
      <c r="Y91" s="9">
        <f>SUM(IF(Career_History!H18=TRUE,IF(A91&lt;Career_History!D18,0,MIN(A91,Career_History!E18)-Career_History!D18+1),0),IF(Career_History!H19=TRUE,IF(A91&lt;Career_History!D19,0,MIN(A91,Career_History!E19)-Career_History!D19+1),0),IF(Career_History!H20=TRUE,IF(A91&lt;Career_History!D20,0,MIN(A91,Career_History!E20)-Career_History!D20+1),0))/365.2425</f>
        <v>4.3395826060767844</v>
      </c>
      <c r="Z91" s="9">
        <f>SUM(IF(Career_History!G21=TRUE,IF(A91&lt;Career_History!D21,0,MIN(A91,Career_History!E21)-Career_History!D21+1),0),IF(Career_History!G22=TRUE,IF(A91&lt;Career_History!D22,0,MIN(A91,Career_History!E22)-Career_History!D22+1),0),IF(Career_History!G23=TRUE,IF(A91&lt;Career_History!D23,0,MIN(A91,Career_History!E23)-Career_History!D23+1),0),IF(Career_History!G24=TRUE,IF(A91&lt;Career_History!D24,0,MIN(A91,Career_History!E24)-Career_History!D24+1),0))/365.2425</f>
        <v>30.919183829921216</v>
      </c>
      <c r="AA91" s="9">
        <f>SUM(IF(Career_History!I21=TRUE,IF(A91&lt;Career_History!D21,0,MIN(A91,Career_History!E21)-Career_History!D21+1),0),IF(Career_History!I22=TRUE,IF(A91&lt;Career_History!D22,0,MIN(A91,Career_History!E22)-Career_History!D22+1),0),IF(Career_History!I23=TRUE,IF(A91&lt;Career_History!D23,0,MIN(A91,Career_History!E23)-Career_History!D23+1),0),IF(Career_History!I24=TRUE,IF(A91&lt;Career_History!D24,0,MIN(A91,Career_History!E24)-Career_History!D24+1),0))/365.2425</f>
        <v>26.505677734655741</v>
      </c>
      <c r="AB91" s="9">
        <f>SUM(IF(Career_History!H21=TRUE,IF(A91&lt;Career_History!D21,0,MIN(A91,Career_History!E21)-Career_History!D21+1),0),IF(Career_History!H22=TRUE,IF(A91&lt;Career_History!D22,0,MIN(A91,Career_History!E22)-Career_History!D22+1),0),IF(Career_History!H23=TRUE,IF(A91&lt;Career_History!D23,0,MIN(A91,Career_History!E23)-Career_History!D23+1),0),IF(Career_History!H24=TRUE,IF(A91&lt;Career_History!D24,0,MIN(A91,Career_History!E24)-Career_History!D24+1),0))/365.2425</f>
        <v>21.83480838073335</v>
      </c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</row>
    <row r="92" spans="1:67">
      <c r="A92" s="8">
        <v>37437</v>
      </c>
      <c r="B92" s="9">
        <f t="shared" si="3"/>
        <v>31.951374771555884</v>
      </c>
      <c r="C92" s="9">
        <f t="shared" si="4"/>
        <v>9.6023874549100938</v>
      </c>
      <c r="D92" s="9">
        <f t="shared" si="5"/>
        <v>19.51799147141967</v>
      </c>
      <c r="E92" s="9"/>
      <c r="F92" s="9"/>
      <c r="G92" s="9"/>
      <c r="H92" s="9"/>
      <c r="I92" s="9"/>
      <c r="J92" s="9"/>
      <c r="K92" s="9"/>
      <c r="L92" s="9"/>
      <c r="M92" s="9"/>
      <c r="N92" s="9">
        <f>SUM(IF(Career_History!G12=TRUE,IF(A92&lt;Career_History!D12,0,MIN(A92,Career_History!E12)-Career_History!D12+1),0),IF(Career_History!G13=TRUE,IF(A92&lt;Career_History!D13,0,MIN(A92,Career_History!E13)-Career_History!D13+1),0))/365.2425</f>
        <v>31.001321040130872</v>
      </c>
      <c r="O92" s="9">
        <f>SUM(IF(Career_History!I12=TRUE,IF(A92&lt;Career_History!D12,0,MIN(A92,Career_History!E12)-Career_History!D12+1),0),IF(Career_History!I13=TRUE,IF(A92&lt;Career_History!D13,0,MIN(A92,Career_History!E13)-Career_History!D13+1),0))/365.2425</f>
        <v>0</v>
      </c>
      <c r="P92" s="9">
        <f>SUM(IF(Career_History!H12=TRUE,IF(A92&lt;Career_History!D12,0,MIN(A92,Career_History!E12)-Career_History!D12+1),0),IF(Career_History!H13=TRUE,IF(A92&lt;Career_History!D13,0,MIN(A92,Career_History!E13)-Career_History!D13+1),0))/365.2425</f>
        <v>7.4963893851345338</v>
      </c>
      <c r="Q92" s="9">
        <f>SUM(IF(Career_History!G14=TRUE,IF(A92&lt;Career_History!D14,0,MIN(A92,Career_History!E14)-Career_History!D14+1),0),IF(Career_History!G15=TRUE,IF(A92&lt;Career_History!D15,0,MIN(A92,Career_History!E15)-Career_History!D15+1),0))/365.2425</f>
        <v>36.753663661813725</v>
      </c>
      <c r="R92" s="9">
        <f>SUM(IF(Career_History!I14=TRUE,IF(A92&lt;Career_History!D14,0,MIN(A92,Career_History!E14)-Career_History!D14+1),0),IF(Career_History!I15=TRUE,IF(A92&lt;Career_History!D15,0,MIN(A92,Career_History!E15)-Career_History!D15+1),0))/365.2425</f>
        <v>0</v>
      </c>
      <c r="S92" s="9">
        <f>SUM(IF(Career_History!H14=TRUE,IF(A92&lt;Career_History!D14,0,MIN(A92,Career_History!E14)-Career_History!D14+1),0),IF(Career_History!H15=TRUE,IF(A92&lt;Career_History!D15,0,MIN(A92,Career_History!E15)-Career_History!D15+1),0))/365.2425</f>
        <v>36.753663661813725</v>
      </c>
      <c r="T92" s="9">
        <f>SUM(IF(Career_History!G16=TRUE,IF(A92&lt;Career_History!D16,0,MIN(A92,Career_History!E16)-Career_History!D16+1),0),IF(Career_History!G17=TRUE,IF(A92&lt;Career_History!D17,0,MIN(A92,Career_History!E17)-Career_History!D17+1),0))/365.2425</f>
        <v>27.001238902920662</v>
      </c>
      <c r="U92" s="9">
        <f>SUM(IF(Career_History!I16=TRUE,IF(A92&lt;Career_History!D16,0,MIN(A92,Career_History!E16)-Career_History!D16+1),0),IF(Career_History!I17=TRUE,IF(A92&lt;Career_History!D17,0,MIN(A92,Career_History!E17)-Career_History!D17+1),0))/365.2425</f>
        <v>21.506259539894728</v>
      </c>
      <c r="V92" s="9">
        <f>SUM(IF(Career_History!H16=TRUE,IF(A92&lt;Career_History!D16,0,MIN(A92,Career_History!E16)-Career_History!D16+1),0),IF(Career_History!H17=TRUE,IF(A92&lt;Career_History!D17,0,MIN(A92,Career_History!E17)-Career_History!D17+1),0))/365.2425</f>
        <v>27.001238902920662</v>
      </c>
      <c r="W92" s="9">
        <f>SUM(IF(Career_History!G18=TRUE,IF(A92&lt;Career_History!D18,0,MIN(A92,Career_History!E18)-Career_History!D18+1),0),IF(Career_History!G19=TRUE,IF(A92&lt;Career_History!D19,0,MIN(A92,Career_History!E19)-Career_History!D19+1),0),IF(Career_History!G20=TRUE,IF(A92&lt;Career_History!D20,0,MIN(A92,Career_History!E20)-Career_History!D20+1),0))/365.2425</f>
        <v>33.999329212783287</v>
      </c>
      <c r="X92" s="9">
        <f>SUM(IF(Career_History!I18=TRUE,IF(A92&lt;Career_History!D18,0,MIN(A92,Career_History!E18)-Career_History!D18+1),0),IF(Career_History!I19=TRUE,IF(A92&lt;Career_History!D19,0,MIN(A92,Career_History!E19)-Career_History!D19+1),0),IF(Career_History!I20=TRUE,IF(A92&lt;Career_History!D20,0,MIN(A92,Career_History!E20)-Career_History!D20+1),0))/365.2425</f>
        <v>0</v>
      </c>
      <c r="Y92" s="9">
        <f>SUM(IF(Career_History!H18=TRUE,IF(A92&lt;Career_History!D18,0,MIN(A92,Career_History!E18)-Career_History!D18+1),0),IF(Career_History!H19=TRUE,IF(A92&lt;Career_History!D19,0,MIN(A92,Career_History!E19)-Career_History!D19+1),0),IF(Career_History!H20=TRUE,IF(A92&lt;Career_History!D20,0,MIN(A92,Career_History!E20)-Career_History!D20+1),0))/365.2425</f>
        <v>4.4217198162864397</v>
      </c>
      <c r="Z92" s="9">
        <f>SUM(IF(Career_History!G21=TRUE,IF(A92&lt;Career_History!D21,0,MIN(A92,Career_History!E21)-Career_History!D21+1),0),IF(Career_History!G22=TRUE,IF(A92&lt;Career_History!D22,0,MIN(A92,Career_History!E22)-Career_History!D22+1),0),IF(Career_History!G23=TRUE,IF(A92&lt;Career_History!D23,0,MIN(A92,Career_History!E23)-Career_History!D23+1),0),IF(Career_History!G24=TRUE,IF(A92&lt;Career_History!D24,0,MIN(A92,Career_History!E24)-Career_History!D24+1),0))/365.2425</f>
        <v>31.001321040130872</v>
      </c>
      <c r="AA92" s="9">
        <f>SUM(IF(Career_History!I21=TRUE,IF(A92&lt;Career_History!D21,0,MIN(A92,Career_History!E21)-Career_History!D21+1),0),IF(Career_History!I22=TRUE,IF(A92&lt;Career_History!D22,0,MIN(A92,Career_History!E22)-Career_History!D22+1),0),IF(Career_History!I23=TRUE,IF(A92&lt;Career_History!D23,0,MIN(A92,Career_History!E23)-Career_History!D23+1),0),IF(Career_History!I24=TRUE,IF(A92&lt;Career_History!D24,0,MIN(A92,Career_History!E24)-Career_History!D24+1),0))/365.2425</f>
        <v>26.505677734655741</v>
      </c>
      <c r="AB92" s="9">
        <f>SUM(IF(Career_History!H21=TRUE,IF(A92&lt;Career_History!D21,0,MIN(A92,Career_History!E21)-Career_History!D21+1),0),IF(Career_History!H22=TRUE,IF(A92&lt;Career_History!D22,0,MIN(A92,Career_History!E22)-Career_History!D22+1),0),IF(Career_History!H23=TRUE,IF(A92&lt;Career_History!D23,0,MIN(A92,Career_History!E23)-Career_History!D23+1),0),IF(Career_History!H24=TRUE,IF(A92&lt;Career_History!D24,0,MIN(A92,Career_History!E24)-Career_History!D24+1),0))/365.2425</f>
        <v>21.916945590943005</v>
      </c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</row>
    <row r="93" spans="1:67">
      <c r="A93" s="8">
        <v>37468</v>
      </c>
      <c r="B93" s="9">
        <f t="shared" si="3"/>
        <v>32.036249888772524</v>
      </c>
      <c r="C93" s="9">
        <f t="shared" si="4"/>
        <v>9.6023874549100938</v>
      </c>
      <c r="D93" s="9">
        <f t="shared" si="5"/>
        <v>19.602866588636317</v>
      </c>
      <c r="E93" s="9"/>
      <c r="F93" s="9"/>
      <c r="G93" s="9"/>
      <c r="H93" s="9"/>
      <c r="I93" s="9"/>
      <c r="J93" s="9"/>
      <c r="K93" s="9"/>
      <c r="L93" s="9"/>
      <c r="M93" s="9"/>
      <c r="N93" s="9">
        <f>SUM(IF(Career_History!G12=TRUE,IF(A93&lt;Career_History!D12,0,MIN(A93,Career_History!E12)-Career_History!D12+1),0),IF(Career_History!G13=TRUE,IF(A93&lt;Career_History!D13,0,MIN(A93,Career_History!E13)-Career_History!D13+1),0))/365.2425</f>
        <v>31.086196157347516</v>
      </c>
      <c r="O93" s="9">
        <f>SUM(IF(Career_History!I12=TRUE,IF(A93&lt;Career_History!D12,0,MIN(A93,Career_History!E12)-Career_History!D12+1),0),IF(Career_History!I13=TRUE,IF(A93&lt;Career_History!D13,0,MIN(A93,Career_History!E13)-Career_History!D13+1),0))/365.2425</f>
        <v>0</v>
      </c>
      <c r="P93" s="9">
        <f>SUM(IF(Career_History!H12=TRUE,IF(A93&lt;Career_History!D12,0,MIN(A93,Career_History!E12)-Career_History!D12+1),0),IF(Career_History!H13=TRUE,IF(A93&lt;Career_History!D13,0,MIN(A93,Career_History!E13)-Career_History!D13+1),0))/365.2425</f>
        <v>7.5812645023511775</v>
      </c>
      <c r="Q93" s="9">
        <f>SUM(IF(Career_History!G14=TRUE,IF(A93&lt;Career_History!D14,0,MIN(A93,Career_History!E14)-Career_History!D14+1),0),IF(Career_History!G15=TRUE,IF(A93&lt;Career_History!D15,0,MIN(A93,Career_History!E15)-Career_History!D15+1),0))/365.2425</f>
        <v>36.838538779030372</v>
      </c>
      <c r="R93" s="9">
        <f>SUM(IF(Career_History!I14=TRUE,IF(A93&lt;Career_History!D14,0,MIN(A93,Career_History!E14)-Career_History!D14+1),0),IF(Career_History!I15=TRUE,IF(A93&lt;Career_History!D15,0,MIN(A93,Career_History!E15)-Career_History!D15+1),0))/365.2425</f>
        <v>0</v>
      </c>
      <c r="S93" s="9">
        <f>SUM(IF(Career_History!H14=TRUE,IF(A93&lt;Career_History!D14,0,MIN(A93,Career_History!E14)-Career_History!D14+1),0),IF(Career_History!H15=TRUE,IF(A93&lt;Career_History!D15,0,MIN(A93,Career_History!E15)-Career_History!D15+1),0))/365.2425</f>
        <v>36.838538779030372</v>
      </c>
      <c r="T93" s="9">
        <f>SUM(IF(Career_History!G16=TRUE,IF(A93&lt;Career_History!D16,0,MIN(A93,Career_History!E16)-Career_History!D16+1),0),IF(Career_History!G17=TRUE,IF(A93&lt;Career_History!D17,0,MIN(A93,Career_History!E17)-Career_History!D17+1),0))/365.2425</f>
        <v>27.086114020137305</v>
      </c>
      <c r="U93" s="9">
        <f>SUM(IF(Career_History!I16=TRUE,IF(A93&lt;Career_History!D16,0,MIN(A93,Career_History!E16)-Career_History!D16+1),0),IF(Career_History!I17=TRUE,IF(A93&lt;Career_History!D17,0,MIN(A93,Career_History!E17)-Career_History!D17+1),0))/365.2425</f>
        <v>21.506259539894728</v>
      </c>
      <c r="V93" s="9">
        <f>SUM(IF(Career_History!H16=TRUE,IF(A93&lt;Career_History!D16,0,MIN(A93,Career_History!E16)-Career_History!D16+1),0),IF(Career_History!H17=TRUE,IF(A93&lt;Career_History!D17,0,MIN(A93,Career_History!E17)-Career_History!D17+1),0))/365.2425</f>
        <v>27.086114020137305</v>
      </c>
      <c r="W93" s="9">
        <f>SUM(IF(Career_History!G18=TRUE,IF(A93&lt;Career_History!D18,0,MIN(A93,Career_History!E18)-Career_History!D18+1),0),IF(Career_History!G19=TRUE,IF(A93&lt;Career_History!D19,0,MIN(A93,Career_History!E19)-Career_History!D19+1),0),IF(Career_History!G20=TRUE,IF(A93&lt;Career_History!D20,0,MIN(A93,Career_History!E20)-Career_History!D20+1),0))/365.2425</f>
        <v>34.084204329999928</v>
      </c>
      <c r="X93" s="9">
        <f>SUM(IF(Career_History!I18=TRUE,IF(A93&lt;Career_History!D18,0,MIN(A93,Career_History!E18)-Career_History!D18+1),0),IF(Career_History!I19=TRUE,IF(A93&lt;Career_History!D19,0,MIN(A93,Career_History!E19)-Career_History!D19+1),0),IF(Career_History!I20=TRUE,IF(A93&lt;Career_History!D20,0,MIN(A93,Career_History!E20)-Career_History!D20+1),0))/365.2425</f>
        <v>0</v>
      </c>
      <c r="Y93" s="9">
        <f>SUM(IF(Career_History!H18=TRUE,IF(A93&lt;Career_History!D18,0,MIN(A93,Career_History!E18)-Career_History!D18+1),0),IF(Career_History!H19=TRUE,IF(A93&lt;Career_History!D19,0,MIN(A93,Career_History!E19)-Career_History!D19+1),0),IF(Career_History!H20=TRUE,IF(A93&lt;Career_History!D20,0,MIN(A93,Career_History!E20)-Career_History!D20+1),0))/365.2425</f>
        <v>4.5065949335030835</v>
      </c>
      <c r="Z93" s="9">
        <f>SUM(IF(Career_History!G21=TRUE,IF(A93&lt;Career_History!D21,0,MIN(A93,Career_History!E21)-Career_History!D21+1),0),IF(Career_History!G22=TRUE,IF(A93&lt;Career_History!D22,0,MIN(A93,Career_History!E22)-Career_History!D22+1),0),IF(Career_History!G23=TRUE,IF(A93&lt;Career_History!D23,0,MIN(A93,Career_History!E23)-Career_History!D23+1),0),IF(Career_History!G24=TRUE,IF(A93&lt;Career_History!D24,0,MIN(A93,Career_History!E24)-Career_History!D24+1),0))/365.2425</f>
        <v>31.086196157347516</v>
      </c>
      <c r="AA93" s="9">
        <f>SUM(IF(Career_History!I21=TRUE,IF(A93&lt;Career_History!D21,0,MIN(A93,Career_History!E21)-Career_History!D21+1),0),IF(Career_History!I22=TRUE,IF(A93&lt;Career_History!D22,0,MIN(A93,Career_History!E22)-Career_History!D22+1),0),IF(Career_History!I23=TRUE,IF(A93&lt;Career_History!D23,0,MIN(A93,Career_History!E23)-Career_History!D23+1),0),IF(Career_History!I24=TRUE,IF(A93&lt;Career_History!D24,0,MIN(A93,Career_History!E24)-Career_History!D24+1),0))/365.2425</f>
        <v>26.505677734655741</v>
      </c>
      <c r="AB93" s="9">
        <f>SUM(IF(Career_History!H21=TRUE,IF(A93&lt;Career_History!D21,0,MIN(A93,Career_History!E21)-Career_History!D21+1),0),IF(Career_History!H22=TRUE,IF(A93&lt;Career_History!D22,0,MIN(A93,Career_History!E22)-Career_History!D22+1),0),IF(Career_History!H23=TRUE,IF(A93&lt;Career_History!D23,0,MIN(A93,Career_History!E23)-Career_History!D23+1),0),IF(Career_History!H24=TRUE,IF(A93&lt;Career_History!D24,0,MIN(A93,Career_History!E24)-Career_History!D24+1),0))/365.2425</f>
        <v>22.001820708159649</v>
      </c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</row>
    <row r="94" spans="1:67">
      <c r="A94" s="8">
        <v>37499</v>
      </c>
      <c r="B94" s="9">
        <f t="shared" si="3"/>
        <v>32.121125005989171</v>
      </c>
      <c r="C94" s="9">
        <f t="shared" si="4"/>
        <v>9.6023874549100938</v>
      </c>
      <c r="D94" s="9">
        <f t="shared" si="5"/>
        <v>19.687741705852961</v>
      </c>
      <c r="E94" s="9"/>
      <c r="F94" s="9"/>
      <c r="G94" s="9"/>
      <c r="H94" s="9"/>
      <c r="I94" s="9"/>
      <c r="J94" s="9"/>
      <c r="K94" s="9"/>
      <c r="L94" s="9"/>
      <c r="M94" s="9"/>
      <c r="N94" s="9">
        <f>SUM(IF(Career_History!G12=TRUE,IF(A94&lt;Career_History!D12,0,MIN(A94,Career_History!E12)-Career_History!D12+1),0),IF(Career_History!G13=TRUE,IF(A94&lt;Career_History!D13,0,MIN(A94,Career_History!E13)-Career_History!D13+1),0))/365.2425</f>
        <v>31.171071274564159</v>
      </c>
      <c r="O94" s="9">
        <f>SUM(IF(Career_History!I12=TRUE,IF(A94&lt;Career_History!D12,0,MIN(A94,Career_History!E12)-Career_History!D12+1),0),IF(Career_History!I13=TRUE,IF(A94&lt;Career_History!D13,0,MIN(A94,Career_History!E13)-Career_History!D13+1),0))/365.2425</f>
        <v>0</v>
      </c>
      <c r="P94" s="9">
        <f>SUM(IF(Career_History!H12=TRUE,IF(A94&lt;Career_History!D12,0,MIN(A94,Career_History!E12)-Career_History!D12+1),0),IF(Career_History!H13=TRUE,IF(A94&lt;Career_History!D13,0,MIN(A94,Career_History!E13)-Career_History!D13+1),0))/365.2425</f>
        <v>7.6661396195678213</v>
      </c>
      <c r="Q94" s="9">
        <f>SUM(IF(Career_History!G14=TRUE,IF(A94&lt;Career_History!D14,0,MIN(A94,Career_History!E14)-Career_History!D14+1),0),IF(Career_History!G15=TRUE,IF(A94&lt;Career_History!D15,0,MIN(A94,Career_History!E15)-Career_History!D15+1),0))/365.2425</f>
        <v>36.923413896247013</v>
      </c>
      <c r="R94" s="9">
        <f>SUM(IF(Career_History!I14=TRUE,IF(A94&lt;Career_History!D14,0,MIN(A94,Career_History!E14)-Career_History!D14+1),0),IF(Career_History!I15=TRUE,IF(A94&lt;Career_History!D15,0,MIN(A94,Career_History!E15)-Career_History!D15+1),0))/365.2425</f>
        <v>0</v>
      </c>
      <c r="S94" s="9">
        <f>SUM(IF(Career_History!H14=TRUE,IF(A94&lt;Career_History!D14,0,MIN(A94,Career_History!E14)-Career_History!D14+1),0),IF(Career_History!H15=TRUE,IF(A94&lt;Career_History!D15,0,MIN(A94,Career_History!E15)-Career_History!D15+1),0))/365.2425</f>
        <v>36.923413896247013</v>
      </c>
      <c r="T94" s="9">
        <f>SUM(IF(Career_History!G16=TRUE,IF(A94&lt;Career_History!D16,0,MIN(A94,Career_History!E16)-Career_History!D16+1),0),IF(Career_History!G17=TRUE,IF(A94&lt;Career_History!D17,0,MIN(A94,Career_History!E17)-Career_History!D17+1),0))/365.2425</f>
        <v>27.170989137353949</v>
      </c>
      <c r="U94" s="9">
        <f>SUM(IF(Career_History!I16=TRUE,IF(A94&lt;Career_History!D16,0,MIN(A94,Career_History!E16)-Career_History!D16+1),0),IF(Career_History!I17=TRUE,IF(A94&lt;Career_History!D17,0,MIN(A94,Career_History!E17)-Career_History!D17+1),0))/365.2425</f>
        <v>21.506259539894728</v>
      </c>
      <c r="V94" s="9">
        <f>SUM(IF(Career_History!H16=TRUE,IF(A94&lt;Career_History!D16,0,MIN(A94,Career_History!E16)-Career_History!D16+1),0),IF(Career_History!H17=TRUE,IF(A94&lt;Career_History!D17,0,MIN(A94,Career_History!E17)-Career_History!D17+1),0))/365.2425</f>
        <v>27.170989137353949</v>
      </c>
      <c r="W94" s="9">
        <f>SUM(IF(Career_History!G18=TRUE,IF(A94&lt;Career_History!D18,0,MIN(A94,Career_History!E18)-Career_History!D18+1),0),IF(Career_History!G19=TRUE,IF(A94&lt;Career_History!D19,0,MIN(A94,Career_History!E19)-Career_History!D19+1),0),IF(Career_History!G20=TRUE,IF(A94&lt;Career_History!D20,0,MIN(A94,Career_History!E20)-Career_History!D20+1),0))/365.2425</f>
        <v>34.169079447216575</v>
      </c>
      <c r="X94" s="9">
        <f>SUM(IF(Career_History!I18=TRUE,IF(A94&lt;Career_History!D18,0,MIN(A94,Career_History!E18)-Career_History!D18+1),0),IF(Career_History!I19=TRUE,IF(A94&lt;Career_History!D19,0,MIN(A94,Career_History!E19)-Career_History!D19+1),0),IF(Career_History!I20=TRUE,IF(A94&lt;Career_History!D20,0,MIN(A94,Career_History!E20)-Career_History!D20+1),0))/365.2425</f>
        <v>0</v>
      </c>
      <c r="Y94" s="9">
        <f>SUM(IF(Career_History!H18=TRUE,IF(A94&lt;Career_History!D18,0,MIN(A94,Career_History!E18)-Career_History!D18+1),0),IF(Career_History!H19=TRUE,IF(A94&lt;Career_History!D19,0,MIN(A94,Career_History!E19)-Career_History!D19+1),0),IF(Career_History!H20=TRUE,IF(A94&lt;Career_History!D20,0,MIN(A94,Career_History!E20)-Career_History!D20+1),0))/365.2425</f>
        <v>4.5914700507197272</v>
      </c>
      <c r="Z94" s="9">
        <f>SUM(IF(Career_History!G21=TRUE,IF(A94&lt;Career_History!D21,0,MIN(A94,Career_History!E21)-Career_History!D21+1),0),IF(Career_History!G22=TRUE,IF(A94&lt;Career_History!D22,0,MIN(A94,Career_History!E22)-Career_History!D22+1),0),IF(Career_History!G23=TRUE,IF(A94&lt;Career_History!D23,0,MIN(A94,Career_History!E23)-Career_History!D23+1),0),IF(Career_History!G24=TRUE,IF(A94&lt;Career_History!D24,0,MIN(A94,Career_History!E24)-Career_History!D24+1),0))/365.2425</f>
        <v>31.171071274564159</v>
      </c>
      <c r="AA94" s="9">
        <f>SUM(IF(Career_History!I21=TRUE,IF(A94&lt;Career_History!D21,0,MIN(A94,Career_History!E21)-Career_History!D21+1),0),IF(Career_History!I22=TRUE,IF(A94&lt;Career_History!D22,0,MIN(A94,Career_History!E22)-Career_History!D22+1),0),IF(Career_History!I23=TRUE,IF(A94&lt;Career_History!D23,0,MIN(A94,Career_History!E23)-Career_History!D23+1),0),IF(Career_History!I24=TRUE,IF(A94&lt;Career_History!D24,0,MIN(A94,Career_History!E24)-Career_History!D24+1),0))/365.2425</f>
        <v>26.505677734655741</v>
      </c>
      <c r="AB94" s="9">
        <f>SUM(IF(Career_History!H21=TRUE,IF(A94&lt;Career_History!D21,0,MIN(A94,Career_History!E21)-Career_History!D21+1),0),IF(Career_History!H22=TRUE,IF(A94&lt;Career_History!D22,0,MIN(A94,Career_History!E22)-Career_History!D22+1),0),IF(Career_History!H23=TRUE,IF(A94&lt;Career_History!D23,0,MIN(A94,Career_History!E23)-Career_History!D23+1),0),IF(Career_History!H24=TRUE,IF(A94&lt;Career_History!D24,0,MIN(A94,Career_History!E24)-Career_History!D24+1),0))/365.2425</f>
        <v>22.086695825376292</v>
      </c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</row>
    <row r="95" spans="1:67">
      <c r="A95" s="8">
        <v>37529</v>
      </c>
      <c r="B95" s="9">
        <f t="shared" si="3"/>
        <v>32.20326221619883</v>
      </c>
      <c r="C95" s="9">
        <f t="shared" si="4"/>
        <v>9.6023874549100938</v>
      </c>
      <c r="D95" s="9">
        <f t="shared" si="5"/>
        <v>19.769878916062616</v>
      </c>
      <c r="E95" s="9"/>
      <c r="F95" s="9"/>
      <c r="G95" s="9"/>
      <c r="H95" s="9"/>
      <c r="I95" s="9"/>
      <c r="J95" s="9"/>
      <c r="K95" s="9"/>
      <c r="L95" s="9"/>
      <c r="M95" s="9"/>
      <c r="N95" s="9">
        <f>SUM(IF(Career_History!G12=TRUE,IF(A95&lt;Career_History!D12,0,MIN(A95,Career_History!E12)-Career_History!D12+1),0),IF(Career_History!G13=TRUE,IF(A95&lt;Career_History!D13,0,MIN(A95,Career_History!E13)-Career_History!D13+1),0))/365.2425</f>
        <v>31.253208484773815</v>
      </c>
      <c r="O95" s="9">
        <f>SUM(IF(Career_History!I12=TRUE,IF(A95&lt;Career_History!D12,0,MIN(A95,Career_History!E12)-Career_History!D12+1),0),IF(Career_History!I13=TRUE,IF(A95&lt;Career_History!D13,0,MIN(A95,Career_History!E13)-Career_History!D13+1),0))/365.2425</f>
        <v>0</v>
      </c>
      <c r="P95" s="9">
        <f>SUM(IF(Career_History!H12=TRUE,IF(A95&lt;Career_History!D12,0,MIN(A95,Career_History!E12)-Career_History!D12+1),0),IF(Career_History!H13=TRUE,IF(A95&lt;Career_History!D13,0,MIN(A95,Career_History!E13)-Career_History!D13+1),0))/365.2425</f>
        <v>7.7482768297774767</v>
      </c>
      <c r="Q95" s="9">
        <f>SUM(IF(Career_History!G14=TRUE,IF(A95&lt;Career_History!D14,0,MIN(A95,Career_History!E14)-Career_History!D14+1),0),IF(Career_History!G15=TRUE,IF(A95&lt;Career_History!D15,0,MIN(A95,Career_History!E15)-Career_History!D15+1),0))/365.2425</f>
        <v>37.005551106456672</v>
      </c>
      <c r="R95" s="9">
        <f>SUM(IF(Career_History!I14=TRUE,IF(A95&lt;Career_History!D14,0,MIN(A95,Career_History!E14)-Career_History!D14+1),0),IF(Career_History!I15=TRUE,IF(A95&lt;Career_History!D15,0,MIN(A95,Career_History!E15)-Career_History!D15+1),0))/365.2425</f>
        <v>0</v>
      </c>
      <c r="S95" s="9">
        <f>SUM(IF(Career_History!H14=TRUE,IF(A95&lt;Career_History!D14,0,MIN(A95,Career_History!E14)-Career_History!D14+1),0),IF(Career_History!H15=TRUE,IF(A95&lt;Career_History!D15,0,MIN(A95,Career_History!E15)-Career_History!D15+1),0))/365.2425</f>
        <v>37.005551106456672</v>
      </c>
      <c r="T95" s="9">
        <f>SUM(IF(Career_History!G16=TRUE,IF(A95&lt;Career_History!D16,0,MIN(A95,Career_History!E16)-Career_History!D16+1),0),IF(Career_History!G17=TRUE,IF(A95&lt;Career_History!D17,0,MIN(A95,Career_History!E17)-Career_History!D17+1),0))/365.2425</f>
        <v>27.253126347563605</v>
      </c>
      <c r="U95" s="9">
        <f>SUM(IF(Career_History!I16=TRUE,IF(A95&lt;Career_History!D16,0,MIN(A95,Career_History!E16)-Career_History!D16+1),0),IF(Career_History!I17=TRUE,IF(A95&lt;Career_History!D17,0,MIN(A95,Career_History!E17)-Career_History!D17+1),0))/365.2425</f>
        <v>21.506259539894728</v>
      </c>
      <c r="V95" s="9">
        <f>SUM(IF(Career_History!H16=TRUE,IF(A95&lt;Career_History!D16,0,MIN(A95,Career_History!E16)-Career_History!D16+1),0),IF(Career_History!H17=TRUE,IF(A95&lt;Career_History!D17,0,MIN(A95,Career_History!E17)-Career_History!D17+1),0))/365.2425</f>
        <v>27.253126347563605</v>
      </c>
      <c r="W95" s="9">
        <f>SUM(IF(Career_History!G18=TRUE,IF(A95&lt;Career_History!D18,0,MIN(A95,Career_History!E18)-Career_History!D18+1),0),IF(Career_History!G19=TRUE,IF(A95&lt;Career_History!D19,0,MIN(A95,Career_History!E19)-Career_History!D19+1),0),IF(Career_History!G20=TRUE,IF(A95&lt;Career_History!D20,0,MIN(A95,Career_History!E20)-Career_History!D20+1),0))/365.2425</f>
        <v>34.251216657426227</v>
      </c>
      <c r="X95" s="9">
        <f>SUM(IF(Career_History!I18=TRUE,IF(A95&lt;Career_History!D18,0,MIN(A95,Career_History!E18)-Career_History!D18+1),0),IF(Career_History!I19=TRUE,IF(A95&lt;Career_History!D19,0,MIN(A95,Career_History!E19)-Career_History!D19+1),0),IF(Career_History!I20=TRUE,IF(A95&lt;Career_History!D20,0,MIN(A95,Career_History!E20)-Career_History!D20+1),0))/365.2425</f>
        <v>0</v>
      </c>
      <c r="Y95" s="9">
        <f>SUM(IF(Career_History!H18=TRUE,IF(A95&lt;Career_History!D18,0,MIN(A95,Career_History!E18)-Career_History!D18+1),0),IF(Career_History!H19=TRUE,IF(A95&lt;Career_History!D19,0,MIN(A95,Career_History!E19)-Career_History!D19+1),0),IF(Career_History!H20=TRUE,IF(A95&lt;Career_History!D20,0,MIN(A95,Career_History!E20)-Career_History!D20+1),0))/365.2425</f>
        <v>4.6736072609293826</v>
      </c>
      <c r="Z95" s="9">
        <f>SUM(IF(Career_History!G21=TRUE,IF(A95&lt;Career_History!D21,0,MIN(A95,Career_History!E21)-Career_History!D21+1),0),IF(Career_History!G22=TRUE,IF(A95&lt;Career_History!D22,0,MIN(A95,Career_History!E22)-Career_History!D22+1),0),IF(Career_History!G23=TRUE,IF(A95&lt;Career_History!D23,0,MIN(A95,Career_History!E23)-Career_History!D23+1),0),IF(Career_History!G24=TRUE,IF(A95&lt;Career_History!D24,0,MIN(A95,Career_History!E24)-Career_History!D24+1),0))/365.2425</f>
        <v>31.253208484773815</v>
      </c>
      <c r="AA95" s="9">
        <f>SUM(IF(Career_History!I21=TRUE,IF(A95&lt;Career_History!D21,0,MIN(A95,Career_History!E21)-Career_History!D21+1),0),IF(Career_History!I22=TRUE,IF(A95&lt;Career_History!D22,0,MIN(A95,Career_History!E22)-Career_History!D22+1),0),IF(Career_History!I23=TRUE,IF(A95&lt;Career_History!D23,0,MIN(A95,Career_History!E23)-Career_History!D23+1),0),IF(Career_History!I24=TRUE,IF(A95&lt;Career_History!D24,0,MIN(A95,Career_History!E24)-Career_History!D24+1),0))/365.2425</f>
        <v>26.505677734655741</v>
      </c>
      <c r="AB95" s="9">
        <f>SUM(IF(Career_History!H21=TRUE,IF(A95&lt;Career_History!D21,0,MIN(A95,Career_History!E21)-Career_History!D21+1),0),IF(Career_History!H22=TRUE,IF(A95&lt;Career_History!D22,0,MIN(A95,Career_History!E22)-Career_History!D22+1),0),IF(Career_History!H23=TRUE,IF(A95&lt;Career_History!D23,0,MIN(A95,Career_History!E23)-Career_History!D23+1),0),IF(Career_History!H24=TRUE,IF(A95&lt;Career_History!D24,0,MIN(A95,Career_History!E24)-Career_History!D24+1),0))/365.2425</f>
        <v>22.168833035585944</v>
      </c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</row>
    <row r="96" spans="1:67">
      <c r="A96" s="8">
        <v>37560</v>
      </c>
      <c r="B96" s="9">
        <f t="shared" si="3"/>
        <v>32.28813733341547</v>
      </c>
      <c r="C96" s="9">
        <f t="shared" si="4"/>
        <v>9.6023874549100938</v>
      </c>
      <c r="D96" s="9">
        <f t="shared" si="5"/>
        <v>19.854754033279256</v>
      </c>
      <c r="E96" s="9"/>
      <c r="F96" s="9"/>
      <c r="G96" s="9"/>
      <c r="H96" s="9"/>
      <c r="I96" s="9"/>
      <c r="J96" s="9"/>
      <c r="K96" s="9"/>
      <c r="L96" s="9"/>
      <c r="M96" s="9"/>
      <c r="N96" s="9">
        <f>SUM(IF(Career_History!G12=TRUE,IF(A96&lt;Career_History!D12,0,MIN(A96,Career_History!E12)-Career_History!D12+1),0),IF(Career_History!G13=TRUE,IF(A96&lt;Career_History!D13,0,MIN(A96,Career_History!E13)-Career_History!D13+1),0))/365.2425</f>
        <v>31.338083601990459</v>
      </c>
      <c r="O96" s="9">
        <f>SUM(IF(Career_History!I12=TRUE,IF(A96&lt;Career_History!D12,0,MIN(A96,Career_History!E12)-Career_History!D12+1),0),IF(Career_History!I13=TRUE,IF(A96&lt;Career_History!D13,0,MIN(A96,Career_History!E13)-Career_History!D13+1),0))/365.2425</f>
        <v>0</v>
      </c>
      <c r="P96" s="9">
        <f>SUM(IF(Career_History!H12=TRUE,IF(A96&lt;Career_History!D12,0,MIN(A96,Career_History!E12)-Career_History!D12+1),0),IF(Career_History!H13=TRUE,IF(A96&lt;Career_History!D13,0,MIN(A96,Career_History!E13)-Career_History!D13+1),0))/365.2425</f>
        <v>7.8331519469941204</v>
      </c>
      <c r="Q96" s="9">
        <f>SUM(IF(Career_History!G14=TRUE,IF(A96&lt;Career_History!D14,0,MIN(A96,Career_History!E14)-Career_History!D14+1),0),IF(Career_History!G15=TRUE,IF(A96&lt;Career_History!D15,0,MIN(A96,Career_History!E15)-Career_History!D15+1),0))/365.2425</f>
        <v>37.090426223673312</v>
      </c>
      <c r="R96" s="9">
        <f>SUM(IF(Career_History!I14=TRUE,IF(A96&lt;Career_History!D14,0,MIN(A96,Career_History!E14)-Career_History!D14+1),0),IF(Career_History!I15=TRUE,IF(A96&lt;Career_History!D15,0,MIN(A96,Career_History!E15)-Career_History!D15+1),0))/365.2425</f>
        <v>0</v>
      </c>
      <c r="S96" s="9">
        <f>SUM(IF(Career_History!H14=TRUE,IF(A96&lt;Career_History!D14,0,MIN(A96,Career_History!E14)-Career_History!D14+1),0),IF(Career_History!H15=TRUE,IF(A96&lt;Career_History!D15,0,MIN(A96,Career_History!E15)-Career_History!D15+1),0))/365.2425</f>
        <v>37.090426223673312</v>
      </c>
      <c r="T96" s="9">
        <f>SUM(IF(Career_History!G16=TRUE,IF(A96&lt;Career_History!D16,0,MIN(A96,Career_History!E16)-Career_History!D16+1),0),IF(Career_History!G17=TRUE,IF(A96&lt;Career_History!D17,0,MIN(A96,Career_History!E17)-Career_History!D17+1),0))/365.2425</f>
        <v>27.338001464780248</v>
      </c>
      <c r="U96" s="9">
        <f>SUM(IF(Career_History!I16=TRUE,IF(A96&lt;Career_History!D16,0,MIN(A96,Career_History!E16)-Career_History!D16+1),0),IF(Career_History!I17=TRUE,IF(A96&lt;Career_History!D17,0,MIN(A96,Career_History!E17)-Career_History!D17+1),0))/365.2425</f>
        <v>21.506259539894728</v>
      </c>
      <c r="V96" s="9">
        <f>SUM(IF(Career_History!H16=TRUE,IF(A96&lt;Career_History!D16,0,MIN(A96,Career_History!E16)-Career_History!D16+1),0),IF(Career_History!H17=TRUE,IF(A96&lt;Career_History!D17,0,MIN(A96,Career_History!E17)-Career_History!D17+1),0))/365.2425</f>
        <v>27.338001464780248</v>
      </c>
      <c r="W96" s="9">
        <f>SUM(IF(Career_History!G18=TRUE,IF(A96&lt;Career_History!D18,0,MIN(A96,Career_History!E18)-Career_History!D18+1),0),IF(Career_History!G19=TRUE,IF(A96&lt;Career_History!D19,0,MIN(A96,Career_History!E19)-Career_History!D19+1),0),IF(Career_History!G20=TRUE,IF(A96&lt;Career_History!D20,0,MIN(A96,Career_History!E20)-Career_History!D20+1),0))/365.2425</f>
        <v>34.336091774642874</v>
      </c>
      <c r="X96" s="9">
        <f>SUM(IF(Career_History!I18=TRUE,IF(A96&lt;Career_History!D18,0,MIN(A96,Career_History!E18)-Career_History!D18+1),0),IF(Career_History!I19=TRUE,IF(A96&lt;Career_History!D19,0,MIN(A96,Career_History!E19)-Career_History!D19+1),0),IF(Career_History!I20=TRUE,IF(A96&lt;Career_History!D20,0,MIN(A96,Career_History!E20)-Career_History!D20+1),0))/365.2425</f>
        <v>0</v>
      </c>
      <c r="Y96" s="9">
        <f>SUM(IF(Career_History!H18=TRUE,IF(A96&lt;Career_History!D18,0,MIN(A96,Career_History!E18)-Career_History!D18+1),0),IF(Career_History!H19=TRUE,IF(A96&lt;Career_History!D19,0,MIN(A96,Career_History!E19)-Career_History!D19+1),0),IF(Career_History!H20=TRUE,IF(A96&lt;Career_History!D20,0,MIN(A96,Career_History!E20)-Career_History!D20+1),0))/365.2425</f>
        <v>4.7584823781460264</v>
      </c>
      <c r="Z96" s="9">
        <f>SUM(IF(Career_History!G21=TRUE,IF(A96&lt;Career_History!D21,0,MIN(A96,Career_History!E21)-Career_History!D21+1),0),IF(Career_History!G22=TRUE,IF(A96&lt;Career_History!D22,0,MIN(A96,Career_History!E22)-Career_History!D22+1),0),IF(Career_History!G23=TRUE,IF(A96&lt;Career_History!D23,0,MIN(A96,Career_History!E23)-Career_History!D23+1),0),IF(Career_History!G24=TRUE,IF(A96&lt;Career_History!D24,0,MIN(A96,Career_History!E24)-Career_History!D24+1),0))/365.2425</f>
        <v>31.338083601990459</v>
      </c>
      <c r="AA96" s="9">
        <f>SUM(IF(Career_History!I21=TRUE,IF(A96&lt;Career_History!D21,0,MIN(A96,Career_History!E21)-Career_History!D21+1),0),IF(Career_History!I22=TRUE,IF(A96&lt;Career_History!D22,0,MIN(A96,Career_History!E22)-Career_History!D22+1),0),IF(Career_History!I23=TRUE,IF(A96&lt;Career_History!D23,0,MIN(A96,Career_History!E23)-Career_History!D23+1),0),IF(Career_History!I24=TRUE,IF(A96&lt;Career_History!D24,0,MIN(A96,Career_History!E24)-Career_History!D24+1),0))/365.2425</f>
        <v>26.505677734655741</v>
      </c>
      <c r="AB96" s="9">
        <f>SUM(IF(Career_History!H21=TRUE,IF(A96&lt;Career_History!D21,0,MIN(A96,Career_History!E21)-Career_History!D21+1),0),IF(Career_History!H22=TRUE,IF(A96&lt;Career_History!D22,0,MIN(A96,Career_History!E22)-Career_History!D22+1),0),IF(Career_History!H23=TRUE,IF(A96&lt;Career_History!D23,0,MIN(A96,Career_History!E23)-Career_History!D23+1),0),IF(Career_History!H24=TRUE,IF(A96&lt;Career_History!D24,0,MIN(A96,Career_History!E24)-Career_History!D24+1),0))/365.2425</f>
        <v>22.253708152802588</v>
      </c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</row>
    <row r="97" spans="1:67">
      <c r="A97" s="8">
        <v>37590</v>
      </c>
      <c r="B97" s="9">
        <f t="shared" si="3"/>
        <v>32.370274543625122</v>
      </c>
      <c r="C97" s="9">
        <f t="shared" si="4"/>
        <v>9.6023874549100938</v>
      </c>
      <c r="D97" s="9">
        <f t="shared" si="5"/>
        <v>19.936891243488912</v>
      </c>
      <c r="E97" s="9"/>
      <c r="F97" s="9"/>
      <c r="G97" s="9"/>
      <c r="H97" s="9"/>
      <c r="I97" s="9"/>
      <c r="J97" s="9"/>
      <c r="K97" s="9"/>
      <c r="L97" s="9"/>
      <c r="M97" s="9"/>
      <c r="N97" s="9">
        <f>SUM(IF(Career_History!G12=TRUE,IF(A97&lt;Career_History!D12,0,MIN(A97,Career_History!E12)-Career_History!D12+1),0),IF(Career_History!G13=TRUE,IF(A97&lt;Career_History!D13,0,MIN(A97,Career_History!E13)-Career_History!D13+1),0))/365.2425</f>
        <v>31.420220812200114</v>
      </c>
      <c r="O97" s="9">
        <f>SUM(IF(Career_History!I12=TRUE,IF(A97&lt;Career_History!D12,0,MIN(A97,Career_History!E12)-Career_History!D12+1),0),IF(Career_History!I13=TRUE,IF(A97&lt;Career_History!D13,0,MIN(A97,Career_History!E13)-Career_History!D13+1),0))/365.2425</f>
        <v>0</v>
      </c>
      <c r="P97" s="9">
        <f>SUM(IF(Career_History!H12=TRUE,IF(A97&lt;Career_History!D12,0,MIN(A97,Career_History!E12)-Career_History!D12+1),0),IF(Career_History!H13=TRUE,IF(A97&lt;Career_History!D13,0,MIN(A97,Career_History!E13)-Career_History!D13+1),0))/365.2425</f>
        <v>7.9152891572037758</v>
      </c>
      <c r="Q97" s="9">
        <f>SUM(IF(Career_History!G14=TRUE,IF(A97&lt;Career_History!D14,0,MIN(A97,Career_History!E14)-Career_History!D14+1),0),IF(Career_History!G15=TRUE,IF(A97&lt;Career_History!D15,0,MIN(A97,Career_History!E15)-Career_History!D15+1),0))/365.2425</f>
        <v>37.172563433882971</v>
      </c>
      <c r="R97" s="9">
        <f>SUM(IF(Career_History!I14=TRUE,IF(A97&lt;Career_History!D14,0,MIN(A97,Career_History!E14)-Career_History!D14+1),0),IF(Career_History!I15=TRUE,IF(A97&lt;Career_History!D15,0,MIN(A97,Career_History!E15)-Career_History!D15+1),0))/365.2425</f>
        <v>0</v>
      </c>
      <c r="S97" s="9">
        <f>SUM(IF(Career_History!H14=TRUE,IF(A97&lt;Career_History!D14,0,MIN(A97,Career_History!E14)-Career_History!D14+1),0),IF(Career_History!H15=TRUE,IF(A97&lt;Career_History!D15,0,MIN(A97,Career_History!E15)-Career_History!D15+1),0))/365.2425</f>
        <v>37.172563433882971</v>
      </c>
      <c r="T97" s="9">
        <f>SUM(IF(Career_History!G16=TRUE,IF(A97&lt;Career_History!D16,0,MIN(A97,Career_History!E16)-Career_History!D16+1),0),IF(Career_History!G17=TRUE,IF(A97&lt;Career_History!D17,0,MIN(A97,Career_History!E17)-Career_History!D17+1),0))/365.2425</f>
        <v>27.420138674989904</v>
      </c>
      <c r="U97" s="9">
        <f>SUM(IF(Career_History!I16=TRUE,IF(A97&lt;Career_History!D16,0,MIN(A97,Career_History!E16)-Career_History!D16+1),0),IF(Career_History!I17=TRUE,IF(A97&lt;Career_History!D17,0,MIN(A97,Career_History!E17)-Career_History!D17+1),0))/365.2425</f>
        <v>21.506259539894728</v>
      </c>
      <c r="V97" s="9">
        <f>SUM(IF(Career_History!H16=TRUE,IF(A97&lt;Career_History!D16,0,MIN(A97,Career_History!E16)-Career_History!D16+1),0),IF(Career_History!H17=TRUE,IF(A97&lt;Career_History!D17,0,MIN(A97,Career_History!E17)-Career_History!D17+1),0))/365.2425</f>
        <v>27.420138674989904</v>
      </c>
      <c r="W97" s="9">
        <f>SUM(IF(Career_History!G18=TRUE,IF(A97&lt;Career_History!D18,0,MIN(A97,Career_History!E18)-Career_History!D18+1),0),IF(Career_History!G19=TRUE,IF(A97&lt;Career_History!D19,0,MIN(A97,Career_History!E19)-Career_History!D19+1),0),IF(Career_History!G20=TRUE,IF(A97&lt;Career_History!D20,0,MIN(A97,Career_History!E20)-Career_History!D20+1),0))/365.2425</f>
        <v>34.418228984852526</v>
      </c>
      <c r="X97" s="9">
        <f>SUM(IF(Career_History!I18=TRUE,IF(A97&lt;Career_History!D18,0,MIN(A97,Career_History!E18)-Career_History!D18+1),0),IF(Career_History!I19=TRUE,IF(A97&lt;Career_History!D19,0,MIN(A97,Career_History!E19)-Career_History!D19+1),0),IF(Career_History!I20=TRUE,IF(A97&lt;Career_History!D20,0,MIN(A97,Career_History!E20)-Career_History!D20+1),0))/365.2425</f>
        <v>0</v>
      </c>
      <c r="Y97" s="9">
        <f>SUM(IF(Career_History!H18=TRUE,IF(A97&lt;Career_History!D18,0,MIN(A97,Career_History!E18)-Career_History!D18+1),0),IF(Career_History!H19=TRUE,IF(A97&lt;Career_History!D19,0,MIN(A97,Career_History!E19)-Career_History!D19+1),0),IF(Career_History!H20=TRUE,IF(A97&lt;Career_History!D20,0,MIN(A97,Career_History!E20)-Career_History!D20+1),0))/365.2425</f>
        <v>4.8406195883556817</v>
      </c>
      <c r="Z97" s="9">
        <f>SUM(IF(Career_History!G21=TRUE,IF(A97&lt;Career_History!D21,0,MIN(A97,Career_History!E21)-Career_History!D21+1),0),IF(Career_History!G22=TRUE,IF(A97&lt;Career_History!D22,0,MIN(A97,Career_History!E22)-Career_History!D22+1),0),IF(Career_History!G23=TRUE,IF(A97&lt;Career_History!D23,0,MIN(A97,Career_History!E23)-Career_History!D23+1),0),IF(Career_History!G24=TRUE,IF(A97&lt;Career_History!D24,0,MIN(A97,Career_History!E24)-Career_History!D24+1),0))/365.2425</f>
        <v>31.420220812200114</v>
      </c>
      <c r="AA97" s="9">
        <f>SUM(IF(Career_History!I21=TRUE,IF(A97&lt;Career_History!D21,0,MIN(A97,Career_History!E21)-Career_History!D21+1),0),IF(Career_History!I22=TRUE,IF(A97&lt;Career_History!D22,0,MIN(A97,Career_History!E22)-Career_History!D22+1),0),IF(Career_History!I23=TRUE,IF(A97&lt;Career_History!D23,0,MIN(A97,Career_History!E23)-Career_History!D23+1),0),IF(Career_History!I24=TRUE,IF(A97&lt;Career_History!D24,0,MIN(A97,Career_History!E24)-Career_History!D24+1),0))/365.2425</f>
        <v>26.505677734655741</v>
      </c>
      <c r="AB97" s="9">
        <f>SUM(IF(Career_History!H21=TRUE,IF(A97&lt;Career_History!D21,0,MIN(A97,Career_History!E21)-Career_History!D21+1),0),IF(Career_History!H22=TRUE,IF(A97&lt;Career_History!D22,0,MIN(A97,Career_History!E22)-Career_History!D22+1),0),IF(Career_History!H23=TRUE,IF(A97&lt;Career_History!D23,0,MIN(A97,Career_History!E23)-Career_History!D23+1),0),IF(Career_History!H24=TRUE,IF(A97&lt;Career_History!D24,0,MIN(A97,Career_History!E24)-Career_History!D24+1),0))/365.2425</f>
        <v>22.335845363012243</v>
      </c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</row>
    <row r="98" spans="1:67">
      <c r="A98" s="8">
        <v>37621</v>
      </c>
      <c r="B98" s="9">
        <f t="shared" si="3"/>
        <v>32.455149660841769</v>
      </c>
      <c r="C98" s="9">
        <f t="shared" si="4"/>
        <v>9.6023874549100938</v>
      </c>
      <c r="D98" s="9">
        <f t="shared" si="5"/>
        <v>20.021766360705556</v>
      </c>
      <c r="E98" s="9"/>
      <c r="F98" s="9"/>
      <c r="G98" s="9"/>
      <c r="H98" s="9"/>
      <c r="I98" s="9"/>
      <c r="J98" s="9"/>
      <c r="K98" s="9"/>
      <c r="L98" s="9"/>
      <c r="M98" s="9"/>
      <c r="N98" s="9">
        <f>SUM(IF(Career_History!G12=TRUE,IF(A98&lt;Career_History!D12,0,MIN(A98,Career_History!E12)-Career_History!D12+1),0),IF(Career_History!G13=TRUE,IF(A98&lt;Career_History!D13,0,MIN(A98,Career_History!E13)-Career_History!D13+1),0))/365.2425</f>
        <v>31.505095929416758</v>
      </c>
      <c r="O98" s="9">
        <f>SUM(IF(Career_History!I12=TRUE,IF(A98&lt;Career_History!D12,0,MIN(A98,Career_History!E12)-Career_History!D12+1),0),IF(Career_History!I13=TRUE,IF(A98&lt;Career_History!D13,0,MIN(A98,Career_History!E13)-Career_History!D13+1),0))/365.2425</f>
        <v>0</v>
      </c>
      <c r="P98" s="9">
        <f>SUM(IF(Career_History!H12=TRUE,IF(A98&lt;Career_History!D12,0,MIN(A98,Career_History!E12)-Career_History!D12+1),0),IF(Career_History!H13=TRUE,IF(A98&lt;Career_History!D13,0,MIN(A98,Career_History!E13)-Career_History!D13+1),0))/365.2425</f>
        <v>8.0001642744204187</v>
      </c>
      <c r="Q98" s="9">
        <f>SUM(IF(Career_History!G14=TRUE,IF(A98&lt;Career_History!D14,0,MIN(A98,Career_History!E14)-Career_History!D14+1),0),IF(Career_History!G15=TRUE,IF(A98&lt;Career_History!D15,0,MIN(A98,Career_History!E15)-Career_History!D15+1),0))/365.2425</f>
        <v>37.257438551099611</v>
      </c>
      <c r="R98" s="9">
        <f>SUM(IF(Career_History!I14=TRUE,IF(A98&lt;Career_History!D14,0,MIN(A98,Career_History!E14)-Career_History!D14+1),0),IF(Career_History!I15=TRUE,IF(A98&lt;Career_History!D15,0,MIN(A98,Career_History!E15)-Career_History!D15+1),0))/365.2425</f>
        <v>0</v>
      </c>
      <c r="S98" s="9">
        <f>SUM(IF(Career_History!H14=TRUE,IF(A98&lt;Career_History!D14,0,MIN(A98,Career_History!E14)-Career_History!D14+1),0),IF(Career_History!H15=TRUE,IF(A98&lt;Career_History!D15,0,MIN(A98,Career_History!E15)-Career_History!D15+1),0))/365.2425</f>
        <v>37.257438551099611</v>
      </c>
      <c r="T98" s="9">
        <f>SUM(IF(Career_History!G16=TRUE,IF(A98&lt;Career_History!D16,0,MIN(A98,Career_History!E16)-Career_History!D16+1),0),IF(Career_History!G17=TRUE,IF(A98&lt;Career_History!D17,0,MIN(A98,Career_History!E17)-Career_History!D17+1),0))/365.2425</f>
        <v>27.505013792206547</v>
      </c>
      <c r="U98" s="9">
        <f>SUM(IF(Career_History!I16=TRUE,IF(A98&lt;Career_History!D16,0,MIN(A98,Career_History!E16)-Career_History!D16+1),0),IF(Career_History!I17=TRUE,IF(A98&lt;Career_History!D17,0,MIN(A98,Career_History!E17)-Career_History!D17+1),0))/365.2425</f>
        <v>21.506259539894728</v>
      </c>
      <c r="V98" s="9">
        <f>SUM(IF(Career_History!H16=TRUE,IF(A98&lt;Career_History!D16,0,MIN(A98,Career_History!E16)-Career_History!D16+1),0),IF(Career_History!H17=TRUE,IF(A98&lt;Career_History!D17,0,MIN(A98,Career_History!E17)-Career_History!D17+1),0))/365.2425</f>
        <v>27.505013792206547</v>
      </c>
      <c r="W98" s="9">
        <f>SUM(IF(Career_History!G18=TRUE,IF(A98&lt;Career_History!D18,0,MIN(A98,Career_History!E18)-Career_History!D18+1),0),IF(Career_History!G19=TRUE,IF(A98&lt;Career_History!D19,0,MIN(A98,Career_History!E19)-Career_History!D19+1),0),IF(Career_History!G20=TRUE,IF(A98&lt;Career_History!D20,0,MIN(A98,Career_History!E20)-Career_History!D20+1),0))/365.2425</f>
        <v>34.503104102069173</v>
      </c>
      <c r="X98" s="9">
        <f>SUM(IF(Career_History!I18=TRUE,IF(A98&lt;Career_History!D18,0,MIN(A98,Career_History!E18)-Career_History!D18+1),0),IF(Career_History!I19=TRUE,IF(A98&lt;Career_History!D19,0,MIN(A98,Career_History!E19)-Career_History!D19+1),0),IF(Career_History!I20=TRUE,IF(A98&lt;Career_History!D20,0,MIN(A98,Career_History!E20)-Career_History!D20+1),0))/365.2425</f>
        <v>0</v>
      </c>
      <c r="Y98" s="9">
        <f>SUM(IF(Career_History!H18=TRUE,IF(A98&lt;Career_History!D18,0,MIN(A98,Career_History!E18)-Career_History!D18+1),0),IF(Career_History!H19=TRUE,IF(A98&lt;Career_History!D19,0,MIN(A98,Career_History!E19)-Career_History!D19+1),0),IF(Career_History!H20=TRUE,IF(A98&lt;Career_History!D20,0,MIN(A98,Career_History!E20)-Career_History!D20+1),0))/365.2425</f>
        <v>4.9254947055723255</v>
      </c>
      <c r="Z98" s="9">
        <f>SUM(IF(Career_History!G21=TRUE,IF(A98&lt;Career_History!D21,0,MIN(A98,Career_History!E21)-Career_History!D21+1),0),IF(Career_History!G22=TRUE,IF(A98&lt;Career_History!D22,0,MIN(A98,Career_History!E22)-Career_History!D22+1),0),IF(Career_History!G23=TRUE,IF(A98&lt;Career_History!D23,0,MIN(A98,Career_History!E23)-Career_History!D23+1),0),IF(Career_History!G24=TRUE,IF(A98&lt;Career_History!D24,0,MIN(A98,Career_History!E24)-Career_History!D24+1),0))/365.2425</f>
        <v>31.505095929416758</v>
      </c>
      <c r="AA98" s="9">
        <f>SUM(IF(Career_History!I21=TRUE,IF(A98&lt;Career_History!D21,0,MIN(A98,Career_History!E21)-Career_History!D21+1),0),IF(Career_History!I22=TRUE,IF(A98&lt;Career_History!D22,0,MIN(A98,Career_History!E22)-Career_History!D22+1),0),IF(Career_History!I23=TRUE,IF(A98&lt;Career_History!D23,0,MIN(A98,Career_History!E23)-Career_History!D23+1),0),IF(Career_History!I24=TRUE,IF(A98&lt;Career_History!D24,0,MIN(A98,Career_History!E24)-Career_History!D24+1),0))/365.2425</f>
        <v>26.505677734655741</v>
      </c>
      <c r="AB98" s="9">
        <f>SUM(IF(Career_History!H21=TRUE,IF(A98&lt;Career_History!D21,0,MIN(A98,Career_History!E21)-Career_History!D21+1),0),IF(Career_History!H22=TRUE,IF(A98&lt;Career_History!D22,0,MIN(A98,Career_History!E22)-Career_History!D22+1),0),IF(Career_History!H23=TRUE,IF(A98&lt;Career_History!D23,0,MIN(A98,Career_History!E23)-Career_History!D23+1),0),IF(Career_History!H24=TRUE,IF(A98&lt;Career_History!D24,0,MIN(A98,Career_History!E24)-Career_History!D24+1),0))/365.2425</f>
        <v>22.420720480228887</v>
      </c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</row>
    <row r="99" spans="1:67">
      <c r="A99" s="8">
        <v>37652</v>
      </c>
      <c r="B99" s="9">
        <f t="shared" si="3"/>
        <v>32.540024778058417</v>
      </c>
      <c r="C99" s="9">
        <f t="shared" si="4"/>
        <v>9.6023874549100938</v>
      </c>
      <c r="D99" s="9">
        <f t="shared" si="5"/>
        <v>20.106641477922203</v>
      </c>
      <c r="E99" s="9"/>
      <c r="F99" s="9"/>
      <c r="G99" s="9"/>
      <c r="H99" s="9"/>
      <c r="I99" s="9"/>
      <c r="J99" s="9"/>
      <c r="K99" s="9"/>
      <c r="L99" s="9"/>
      <c r="M99" s="9"/>
      <c r="N99" s="9">
        <f>SUM(IF(Career_History!G12=TRUE,IF(A99&lt;Career_History!D12,0,MIN(A99,Career_History!E12)-Career_History!D12+1),0),IF(Career_History!G13=TRUE,IF(A99&lt;Career_History!D13,0,MIN(A99,Career_History!E13)-Career_History!D13+1),0))/365.2425</f>
        <v>31.589971046633401</v>
      </c>
      <c r="O99" s="9">
        <f>SUM(IF(Career_History!I12=TRUE,IF(A99&lt;Career_History!D12,0,MIN(A99,Career_History!E12)-Career_History!D12+1),0),IF(Career_History!I13=TRUE,IF(A99&lt;Career_History!D13,0,MIN(A99,Career_History!E13)-Career_History!D13+1),0))/365.2425</f>
        <v>0</v>
      </c>
      <c r="P99" s="9">
        <f>SUM(IF(Career_History!H12=TRUE,IF(A99&lt;Career_History!D12,0,MIN(A99,Career_History!E12)-Career_History!D12+1),0),IF(Career_History!H13=TRUE,IF(A99&lt;Career_History!D13,0,MIN(A99,Career_History!E13)-Career_History!D13+1),0))/365.2425</f>
        <v>8.0850393916370624</v>
      </c>
      <c r="Q99" s="9">
        <f>SUM(IF(Career_History!G14=TRUE,IF(A99&lt;Career_History!D14,0,MIN(A99,Career_History!E14)-Career_History!D14+1),0),IF(Career_History!G15=TRUE,IF(A99&lt;Career_History!D15,0,MIN(A99,Career_History!E15)-Career_History!D15+1),0))/365.2425</f>
        <v>37.342313668316258</v>
      </c>
      <c r="R99" s="9">
        <f>SUM(IF(Career_History!I14=TRUE,IF(A99&lt;Career_History!D14,0,MIN(A99,Career_History!E14)-Career_History!D14+1),0),IF(Career_History!I15=TRUE,IF(A99&lt;Career_History!D15,0,MIN(A99,Career_History!E15)-Career_History!D15+1),0))/365.2425</f>
        <v>0</v>
      </c>
      <c r="S99" s="9">
        <f>SUM(IF(Career_History!H14=TRUE,IF(A99&lt;Career_History!D14,0,MIN(A99,Career_History!E14)-Career_History!D14+1),0),IF(Career_History!H15=TRUE,IF(A99&lt;Career_History!D15,0,MIN(A99,Career_History!E15)-Career_History!D15+1),0))/365.2425</f>
        <v>37.342313668316258</v>
      </c>
      <c r="T99" s="9">
        <f>SUM(IF(Career_History!G16=TRUE,IF(A99&lt;Career_History!D16,0,MIN(A99,Career_History!E16)-Career_History!D16+1),0),IF(Career_History!G17=TRUE,IF(A99&lt;Career_History!D17,0,MIN(A99,Career_History!E17)-Career_History!D17+1),0))/365.2425</f>
        <v>27.589888909423191</v>
      </c>
      <c r="U99" s="9">
        <f>SUM(IF(Career_History!I16=TRUE,IF(A99&lt;Career_History!D16,0,MIN(A99,Career_History!E16)-Career_History!D16+1),0),IF(Career_History!I17=TRUE,IF(A99&lt;Career_History!D17,0,MIN(A99,Career_History!E17)-Career_History!D17+1),0))/365.2425</f>
        <v>21.506259539894728</v>
      </c>
      <c r="V99" s="9">
        <f>SUM(IF(Career_History!H16=TRUE,IF(A99&lt;Career_History!D16,0,MIN(A99,Career_History!E16)-Career_History!D16+1),0),IF(Career_History!H17=TRUE,IF(A99&lt;Career_History!D17,0,MIN(A99,Career_History!E17)-Career_History!D17+1),0))/365.2425</f>
        <v>27.589888909423191</v>
      </c>
      <c r="W99" s="9">
        <f>SUM(IF(Career_History!G18=TRUE,IF(A99&lt;Career_History!D18,0,MIN(A99,Career_History!E18)-Career_History!D18+1),0),IF(Career_History!G19=TRUE,IF(A99&lt;Career_History!D19,0,MIN(A99,Career_History!E19)-Career_History!D19+1),0),IF(Career_History!G20=TRUE,IF(A99&lt;Career_History!D20,0,MIN(A99,Career_History!E20)-Career_History!D20+1),0))/365.2425</f>
        <v>34.587979219285813</v>
      </c>
      <c r="X99" s="9">
        <f>SUM(IF(Career_History!I18=TRUE,IF(A99&lt;Career_History!D18,0,MIN(A99,Career_History!E18)-Career_History!D18+1),0),IF(Career_History!I19=TRUE,IF(A99&lt;Career_History!D19,0,MIN(A99,Career_History!E19)-Career_History!D19+1),0),IF(Career_History!I20=TRUE,IF(A99&lt;Career_History!D20,0,MIN(A99,Career_History!E20)-Career_History!D20+1),0))/365.2425</f>
        <v>0</v>
      </c>
      <c r="Y99" s="9">
        <f>SUM(IF(Career_History!H18=TRUE,IF(A99&lt;Career_History!D18,0,MIN(A99,Career_History!E18)-Career_History!D18+1),0),IF(Career_History!H19=TRUE,IF(A99&lt;Career_History!D19,0,MIN(A99,Career_History!E19)-Career_History!D19+1),0),IF(Career_History!H20=TRUE,IF(A99&lt;Career_History!D20,0,MIN(A99,Career_History!E20)-Career_History!D20+1),0))/365.2425</f>
        <v>5.0103698227889693</v>
      </c>
      <c r="Z99" s="9">
        <f>SUM(IF(Career_History!G21=TRUE,IF(A99&lt;Career_History!D21,0,MIN(A99,Career_History!E21)-Career_History!D21+1),0),IF(Career_History!G22=TRUE,IF(A99&lt;Career_History!D22,0,MIN(A99,Career_History!E22)-Career_History!D22+1),0),IF(Career_History!G23=TRUE,IF(A99&lt;Career_History!D23,0,MIN(A99,Career_History!E23)-Career_History!D23+1),0),IF(Career_History!G24=TRUE,IF(A99&lt;Career_History!D24,0,MIN(A99,Career_History!E24)-Career_History!D24+1),0))/365.2425</f>
        <v>31.589971046633401</v>
      </c>
      <c r="AA99" s="9">
        <f>SUM(IF(Career_History!I21=TRUE,IF(A99&lt;Career_History!D21,0,MIN(A99,Career_History!E21)-Career_History!D21+1),0),IF(Career_History!I22=TRUE,IF(A99&lt;Career_History!D22,0,MIN(A99,Career_History!E22)-Career_History!D22+1),0),IF(Career_History!I23=TRUE,IF(A99&lt;Career_History!D23,0,MIN(A99,Career_History!E23)-Career_History!D23+1),0),IF(Career_History!I24=TRUE,IF(A99&lt;Career_History!D24,0,MIN(A99,Career_History!E24)-Career_History!D24+1),0))/365.2425</f>
        <v>26.505677734655741</v>
      </c>
      <c r="AB99" s="9">
        <f>SUM(IF(Career_History!H21=TRUE,IF(A99&lt;Career_History!D21,0,MIN(A99,Career_History!E21)-Career_History!D21+1),0),IF(Career_History!H22=TRUE,IF(A99&lt;Career_History!D22,0,MIN(A99,Career_History!E22)-Career_History!D22+1),0),IF(Career_History!H23=TRUE,IF(A99&lt;Career_History!D23,0,MIN(A99,Career_History!E23)-Career_History!D23+1),0),IF(Career_History!H24=TRUE,IF(A99&lt;Career_History!D24,0,MIN(A99,Career_History!E24)-Career_History!D24+1),0))/365.2425</f>
        <v>22.505595597445531</v>
      </c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</row>
    <row r="100" spans="1:67">
      <c r="A100" s="8">
        <v>37680</v>
      </c>
      <c r="B100" s="9">
        <f t="shared" si="3"/>
        <v>32.616686174254092</v>
      </c>
      <c r="C100" s="9">
        <f t="shared" si="4"/>
        <v>9.6023874549100938</v>
      </c>
      <c r="D100" s="9">
        <f t="shared" si="5"/>
        <v>20.183302874117881</v>
      </c>
      <c r="E100" s="9"/>
      <c r="F100" s="9"/>
      <c r="G100" s="9"/>
      <c r="H100" s="9"/>
      <c r="I100" s="9"/>
      <c r="J100" s="9"/>
      <c r="K100" s="9"/>
      <c r="L100" s="9"/>
      <c r="M100" s="9"/>
      <c r="N100" s="9">
        <f>SUM(IF(Career_History!G12=TRUE,IF(A100&lt;Career_History!D12,0,MIN(A100,Career_History!E12)-Career_History!D12+1),0),IF(Career_History!G13=TRUE,IF(A100&lt;Career_History!D13,0,MIN(A100,Career_History!E13)-Career_History!D13+1),0))/365.2425</f>
        <v>31.66663244282908</v>
      </c>
      <c r="O100" s="9">
        <f>SUM(IF(Career_History!I12=TRUE,IF(A100&lt;Career_History!D12,0,MIN(A100,Career_History!E12)-Career_History!D12+1),0),IF(Career_History!I13=TRUE,IF(A100&lt;Career_History!D13,0,MIN(A100,Career_History!E13)-Career_History!D13+1),0))/365.2425</f>
        <v>0</v>
      </c>
      <c r="P100" s="9">
        <f>SUM(IF(Career_History!H12=TRUE,IF(A100&lt;Career_History!D12,0,MIN(A100,Career_History!E12)-Career_History!D12+1),0),IF(Career_History!H13=TRUE,IF(A100&lt;Career_History!D13,0,MIN(A100,Career_History!E13)-Career_History!D13+1),0))/365.2425</f>
        <v>8.161700787832741</v>
      </c>
      <c r="Q100" s="9">
        <f>SUM(IF(Career_History!G14=TRUE,IF(A100&lt;Career_History!D14,0,MIN(A100,Career_History!E14)-Career_History!D14+1),0),IF(Career_History!G15=TRUE,IF(A100&lt;Career_History!D15,0,MIN(A100,Career_History!E15)-Career_History!D15+1),0))/365.2425</f>
        <v>37.418975064511933</v>
      </c>
      <c r="R100" s="9">
        <f>SUM(IF(Career_History!I14=TRUE,IF(A100&lt;Career_History!D14,0,MIN(A100,Career_History!E14)-Career_History!D14+1),0),IF(Career_History!I15=TRUE,IF(A100&lt;Career_History!D15,0,MIN(A100,Career_History!E15)-Career_History!D15+1),0))/365.2425</f>
        <v>0</v>
      </c>
      <c r="S100" s="9">
        <f>SUM(IF(Career_History!H14=TRUE,IF(A100&lt;Career_History!D14,0,MIN(A100,Career_History!E14)-Career_History!D14+1),0),IF(Career_History!H15=TRUE,IF(A100&lt;Career_History!D15,0,MIN(A100,Career_History!E15)-Career_History!D15+1),0))/365.2425</f>
        <v>37.418975064511933</v>
      </c>
      <c r="T100" s="9">
        <f>SUM(IF(Career_History!G16=TRUE,IF(A100&lt;Career_History!D16,0,MIN(A100,Career_History!E16)-Career_History!D16+1),0),IF(Career_History!G17=TRUE,IF(A100&lt;Career_History!D17,0,MIN(A100,Career_History!E17)-Career_History!D17+1),0))/365.2425</f>
        <v>27.66655030561887</v>
      </c>
      <c r="U100" s="9">
        <f>SUM(IF(Career_History!I16=TRUE,IF(A100&lt;Career_History!D16,0,MIN(A100,Career_History!E16)-Career_History!D16+1),0),IF(Career_History!I17=TRUE,IF(A100&lt;Career_History!D17,0,MIN(A100,Career_History!E17)-Career_History!D17+1),0))/365.2425</f>
        <v>21.506259539894728</v>
      </c>
      <c r="V100" s="9">
        <f>SUM(IF(Career_History!H16=TRUE,IF(A100&lt;Career_History!D16,0,MIN(A100,Career_History!E16)-Career_History!D16+1),0),IF(Career_History!H17=TRUE,IF(A100&lt;Career_History!D17,0,MIN(A100,Career_History!E17)-Career_History!D17+1),0))/365.2425</f>
        <v>27.66655030561887</v>
      </c>
      <c r="W100" s="9">
        <f>SUM(IF(Career_History!G18=TRUE,IF(A100&lt;Career_History!D18,0,MIN(A100,Career_History!E18)-Career_History!D18+1),0),IF(Career_History!G19=TRUE,IF(A100&lt;Career_History!D19,0,MIN(A100,Career_History!E19)-Career_History!D19+1),0),IF(Career_History!G20=TRUE,IF(A100&lt;Career_History!D20,0,MIN(A100,Career_History!E20)-Career_History!D20+1),0))/365.2425</f>
        <v>34.664640615481495</v>
      </c>
      <c r="X100" s="9">
        <f>SUM(IF(Career_History!I18=TRUE,IF(A100&lt;Career_History!D18,0,MIN(A100,Career_History!E18)-Career_History!D18+1),0),IF(Career_History!I19=TRUE,IF(A100&lt;Career_History!D19,0,MIN(A100,Career_History!E19)-Career_History!D19+1),0),IF(Career_History!I20=TRUE,IF(A100&lt;Career_History!D20,0,MIN(A100,Career_History!E20)-Career_History!D20+1),0))/365.2425</f>
        <v>0</v>
      </c>
      <c r="Y100" s="9">
        <f>SUM(IF(Career_History!H18=TRUE,IF(A100&lt;Career_History!D18,0,MIN(A100,Career_History!E18)-Career_History!D18+1),0),IF(Career_History!H19=TRUE,IF(A100&lt;Career_History!D19,0,MIN(A100,Career_History!E19)-Career_History!D19+1),0),IF(Career_History!H20=TRUE,IF(A100&lt;Career_History!D20,0,MIN(A100,Career_History!E20)-Career_History!D20+1),0))/365.2425</f>
        <v>5.0870312189846469</v>
      </c>
      <c r="Z100" s="9">
        <f>SUM(IF(Career_History!G21=TRUE,IF(A100&lt;Career_History!D21,0,MIN(A100,Career_History!E21)-Career_History!D21+1),0),IF(Career_History!G22=TRUE,IF(A100&lt;Career_History!D22,0,MIN(A100,Career_History!E22)-Career_History!D22+1),0),IF(Career_History!G23=TRUE,IF(A100&lt;Career_History!D23,0,MIN(A100,Career_History!E23)-Career_History!D23+1),0),IF(Career_History!G24=TRUE,IF(A100&lt;Career_History!D24,0,MIN(A100,Career_History!E24)-Career_History!D24+1),0))/365.2425</f>
        <v>31.66663244282908</v>
      </c>
      <c r="AA100" s="9">
        <f>SUM(IF(Career_History!I21=TRUE,IF(A100&lt;Career_History!D21,0,MIN(A100,Career_History!E21)-Career_History!D21+1),0),IF(Career_History!I22=TRUE,IF(A100&lt;Career_History!D22,0,MIN(A100,Career_History!E22)-Career_History!D22+1),0),IF(Career_History!I23=TRUE,IF(A100&lt;Career_History!D23,0,MIN(A100,Career_History!E23)-Career_History!D23+1),0),IF(Career_History!I24=TRUE,IF(A100&lt;Career_History!D24,0,MIN(A100,Career_History!E24)-Career_History!D24+1),0))/365.2425</f>
        <v>26.505677734655741</v>
      </c>
      <c r="AB100" s="9">
        <f>SUM(IF(Career_History!H21=TRUE,IF(A100&lt;Career_History!D21,0,MIN(A100,Career_History!E21)-Career_History!D21+1),0),IF(Career_History!H22=TRUE,IF(A100&lt;Career_History!D22,0,MIN(A100,Career_History!E22)-Career_History!D22+1),0),IF(Career_History!H23=TRUE,IF(A100&lt;Career_History!D23,0,MIN(A100,Career_History!E23)-Career_History!D23+1),0),IF(Career_History!H24=TRUE,IF(A100&lt;Career_History!D24,0,MIN(A100,Career_History!E24)-Career_History!D24+1),0))/365.2425</f>
        <v>22.582256993641209</v>
      </c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</row>
    <row r="101" spans="1:67">
      <c r="A101" s="8">
        <v>37711</v>
      </c>
      <c r="B101" s="9">
        <f t="shared" si="3"/>
        <v>32.701561291470732</v>
      </c>
      <c r="C101" s="9">
        <f t="shared" si="4"/>
        <v>9.6023874549100938</v>
      </c>
      <c r="D101" s="9">
        <f t="shared" si="5"/>
        <v>20.268177991334522</v>
      </c>
      <c r="E101" s="9"/>
      <c r="F101" s="9"/>
      <c r="G101" s="9"/>
      <c r="H101" s="9"/>
      <c r="I101" s="9"/>
      <c r="J101" s="9"/>
      <c r="K101" s="9"/>
      <c r="L101" s="9"/>
      <c r="M101" s="9"/>
      <c r="N101" s="9">
        <f>SUM(IF(Career_History!G12=TRUE,IF(A101&lt;Career_History!D12,0,MIN(A101,Career_History!E12)-Career_History!D12+1),0),IF(Career_History!G13=TRUE,IF(A101&lt;Career_History!D13,0,MIN(A101,Career_History!E13)-Career_History!D13+1),0))/365.2425</f>
        <v>31.751507560045724</v>
      </c>
      <c r="O101" s="9">
        <f>SUM(IF(Career_History!I12=TRUE,IF(A101&lt;Career_History!D12,0,MIN(A101,Career_History!E12)-Career_History!D12+1),0),IF(Career_History!I13=TRUE,IF(A101&lt;Career_History!D13,0,MIN(A101,Career_History!E13)-Career_History!D13+1),0))/365.2425</f>
        <v>0</v>
      </c>
      <c r="P101" s="9">
        <f>SUM(IF(Career_History!H12=TRUE,IF(A101&lt;Career_History!D12,0,MIN(A101,Career_History!E12)-Career_History!D12+1),0),IF(Career_History!H13=TRUE,IF(A101&lt;Career_History!D13,0,MIN(A101,Career_History!E13)-Career_History!D13+1),0))/365.2425</f>
        <v>8.2465759050493848</v>
      </c>
      <c r="Q101" s="9">
        <f>SUM(IF(Career_History!G14=TRUE,IF(A101&lt;Career_History!D14,0,MIN(A101,Career_History!E14)-Career_History!D14+1),0),IF(Career_History!G15=TRUE,IF(A101&lt;Career_History!D15,0,MIN(A101,Career_History!E15)-Career_History!D15+1),0))/365.2425</f>
        <v>37.503850181728573</v>
      </c>
      <c r="R101" s="9">
        <f>SUM(IF(Career_History!I14=TRUE,IF(A101&lt;Career_History!D14,0,MIN(A101,Career_History!E14)-Career_History!D14+1),0),IF(Career_History!I15=TRUE,IF(A101&lt;Career_History!D15,0,MIN(A101,Career_History!E15)-Career_History!D15+1),0))/365.2425</f>
        <v>0</v>
      </c>
      <c r="S101" s="9">
        <f>SUM(IF(Career_History!H14=TRUE,IF(A101&lt;Career_History!D14,0,MIN(A101,Career_History!E14)-Career_History!D14+1),0),IF(Career_History!H15=TRUE,IF(A101&lt;Career_History!D15,0,MIN(A101,Career_History!E15)-Career_History!D15+1),0))/365.2425</f>
        <v>37.503850181728573</v>
      </c>
      <c r="T101" s="9">
        <f>SUM(IF(Career_History!G16=TRUE,IF(A101&lt;Career_History!D16,0,MIN(A101,Career_History!E16)-Career_History!D16+1),0),IF(Career_History!G17=TRUE,IF(A101&lt;Career_History!D17,0,MIN(A101,Career_History!E17)-Career_History!D17+1),0))/365.2425</f>
        <v>27.751425422835514</v>
      </c>
      <c r="U101" s="9">
        <f>SUM(IF(Career_History!I16=TRUE,IF(A101&lt;Career_History!D16,0,MIN(A101,Career_History!E16)-Career_History!D16+1),0),IF(Career_History!I17=TRUE,IF(A101&lt;Career_History!D17,0,MIN(A101,Career_History!E17)-Career_History!D17+1),0))/365.2425</f>
        <v>21.506259539894728</v>
      </c>
      <c r="V101" s="9">
        <f>SUM(IF(Career_History!H16=TRUE,IF(A101&lt;Career_History!D16,0,MIN(A101,Career_History!E16)-Career_History!D16+1),0),IF(Career_History!H17=TRUE,IF(A101&lt;Career_History!D17,0,MIN(A101,Career_History!E17)-Career_History!D17+1),0))/365.2425</f>
        <v>27.751425422835514</v>
      </c>
      <c r="W101" s="9">
        <f>SUM(IF(Career_History!G18=TRUE,IF(A101&lt;Career_History!D18,0,MIN(A101,Career_History!E18)-Career_History!D18+1),0),IF(Career_History!G19=TRUE,IF(A101&lt;Career_History!D19,0,MIN(A101,Career_History!E19)-Career_History!D19+1),0),IF(Career_History!G20=TRUE,IF(A101&lt;Career_History!D20,0,MIN(A101,Career_History!E20)-Career_History!D20+1),0))/365.2425</f>
        <v>34.749515732698136</v>
      </c>
      <c r="X101" s="9">
        <f>SUM(IF(Career_History!I18=TRUE,IF(A101&lt;Career_History!D18,0,MIN(A101,Career_History!E18)-Career_History!D18+1),0),IF(Career_History!I19=TRUE,IF(A101&lt;Career_History!D19,0,MIN(A101,Career_History!E19)-Career_History!D19+1),0),IF(Career_History!I20=TRUE,IF(A101&lt;Career_History!D20,0,MIN(A101,Career_History!E20)-Career_History!D20+1),0))/365.2425</f>
        <v>0</v>
      </c>
      <c r="Y101" s="9">
        <f>SUM(IF(Career_History!H18=TRUE,IF(A101&lt;Career_History!D18,0,MIN(A101,Career_History!E18)-Career_History!D18+1),0),IF(Career_History!H19=TRUE,IF(A101&lt;Career_History!D19,0,MIN(A101,Career_History!E19)-Career_History!D19+1),0),IF(Career_History!H20=TRUE,IF(A101&lt;Career_History!D20,0,MIN(A101,Career_History!E20)-Career_History!D20+1),0))/365.2425</f>
        <v>5.1719063362012907</v>
      </c>
      <c r="Z101" s="9">
        <f>SUM(IF(Career_History!G21=TRUE,IF(A101&lt;Career_History!D21,0,MIN(A101,Career_History!E21)-Career_History!D21+1),0),IF(Career_History!G22=TRUE,IF(A101&lt;Career_History!D22,0,MIN(A101,Career_History!E22)-Career_History!D22+1),0),IF(Career_History!G23=TRUE,IF(A101&lt;Career_History!D23,0,MIN(A101,Career_History!E23)-Career_History!D23+1),0),IF(Career_History!G24=TRUE,IF(A101&lt;Career_History!D24,0,MIN(A101,Career_History!E24)-Career_History!D24+1),0))/365.2425</f>
        <v>31.751507560045724</v>
      </c>
      <c r="AA101" s="9">
        <f>SUM(IF(Career_History!I21=TRUE,IF(A101&lt;Career_History!D21,0,MIN(A101,Career_History!E21)-Career_History!D21+1),0),IF(Career_History!I22=TRUE,IF(A101&lt;Career_History!D22,0,MIN(A101,Career_History!E22)-Career_History!D22+1),0),IF(Career_History!I23=TRUE,IF(A101&lt;Career_History!D23,0,MIN(A101,Career_History!E23)-Career_History!D23+1),0),IF(Career_History!I24=TRUE,IF(A101&lt;Career_History!D24,0,MIN(A101,Career_History!E24)-Career_History!D24+1),0))/365.2425</f>
        <v>26.505677734655741</v>
      </c>
      <c r="AB101" s="9">
        <f>SUM(IF(Career_History!H21=TRUE,IF(A101&lt;Career_History!D21,0,MIN(A101,Career_History!E21)-Career_History!D21+1),0),IF(Career_History!H22=TRUE,IF(A101&lt;Career_History!D22,0,MIN(A101,Career_History!E22)-Career_History!D22+1),0),IF(Career_History!H23=TRUE,IF(A101&lt;Career_History!D23,0,MIN(A101,Career_History!E23)-Career_History!D23+1),0),IF(Career_History!H24=TRUE,IF(A101&lt;Career_History!D24,0,MIN(A101,Career_History!E24)-Career_History!D24+1),0))/365.2425</f>
        <v>22.667132110857853</v>
      </c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</row>
    <row r="102" spans="1:67">
      <c r="A102" s="8">
        <v>37741</v>
      </c>
      <c r="B102" s="9">
        <f t="shared" si="3"/>
        <v>32.783698501680391</v>
      </c>
      <c r="C102" s="9">
        <f t="shared" si="4"/>
        <v>9.6023874549100938</v>
      </c>
      <c r="D102" s="9">
        <f t="shared" si="5"/>
        <v>20.350315201544181</v>
      </c>
      <c r="E102" s="9"/>
      <c r="F102" s="9"/>
      <c r="G102" s="9"/>
      <c r="H102" s="9"/>
      <c r="I102" s="9"/>
      <c r="J102" s="9"/>
      <c r="K102" s="9"/>
      <c r="L102" s="9"/>
      <c r="M102" s="9"/>
      <c r="N102" s="9">
        <f>SUM(IF(Career_History!G12=TRUE,IF(A102&lt;Career_History!D12,0,MIN(A102,Career_History!E12)-Career_History!D12+1),0),IF(Career_History!G13=TRUE,IF(A102&lt;Career_History!D13,0,MIN(A102,Career_History!E13)-Career_History!D13+1),0))/365.2425</f>
        <v>31.833644770255379</v>
      </c>
      <c r="O102" s="9">
        <f>SUM(IF(Career_History!I12=TRUE,IF(A102&lt;Career_History!D12,0,MIN(A102,Career_History!E12)-Career_History!D12+1),0),IF(Career_History!I13=TRUE,IF(A102&lt;Career_History!D13,0,MIN(A102,Career_History!E13)-Career_History!D13+1),0))/365.2425</f>
        <v>0</v>
      </c>
      <c r="P102" s="9">
        <f>SUM(IF(Career_History!H12=TRUE,IF(A102&lt;Career_History!D12,0,MIN(A102,Career_History!E12)-Career_History!D12+1),0),IF(Career_History!H13=TRUE,IF(A102&lt;Career_History!D13,0,MIN(A102,Career_History!E13)-Career_History!D13+1),0))/365.2425</f>
        <v>8.3287131152590401</v>
      </c>
      <c r="Q102" s="9">
        <f>SUM(IF(Career_History!G14=TRUE,IF(A102&lt;Career_History!D14,0,MIN(A102,Career_History!E14)-Career_History!D14+1),0),IF(Career_History!G15=TRUE,IF(A102&lt;Career_History!D15,0,MIN(A102,Career_History!E15)-Career_History!D15+1),0))/365.2425</f>
        <v>37.585987391938232</v>
      </c>
      <c r="R102" s="9">
        <f>SUM(IF(Career_History!I14=TRUE,IF(A102&lt;Career_History!D14,0,MIN(A102,Career_History!E14)-Career_History!D14+1),0),IF(Career_History!I15=TRUE,IF(A102&lt;Career_History!D15,0,MIN(A102,Career_History!E15)-Career_History!D15+1),0))/365.2425</f>
        <v>0</v>
      </c>
      <c r="S102" s="9">
        <f>SUM(IF(Career_History!H14=TRUE,IF(A102&lt;Career_History!D14,0,MIN(A102,Career_History!E14)-Career_History!D14+1),0),IF(Career_History!H15=TRUE,IF(A102&lt;Career_History!D15,0,MIN(A102,Career_History!E15)-Career_History!D15+1),0))/365.2425</f>
        <v>37.585987391938232</v>
      </c>
      <c r="T102" s="9">
        <f>SUM(IF(Career_History!G16=TRUE,IF(A102&lt;Career_History!D16,0,MIN(A102,Career_History!E16)-Career_History!D16+1),0),IF(Career_History!G17=TRUE,IF(A102&lt;Career_History!D17,0,MIN(A102,Career_History!E17)-Career_History!D17+1),0))/365.2425</f>
        <v>27.833562633045169</v>
      </c>
      <c r="U102" s="9">
        <f>SUM(IF(Career_History!I16=TRUE,IF(A102&lt;Career_History!D16,0,MIN(A102,Career_History!E16)-Career_History!D16+1),0),IF(Career_History!I17=TRUE,IF(A102&lt;Career_History!D17,0,MIN(A102,Career_History!E17)-Career_History!D17+1),0))/365.2425</f>
        <v>21.506259539894728</v>
      </c>
      <c r="V102" s="9">
        <f>SUM(IF(Career_History!H16=TRUE,IF(A102&lt;Career_History!D16,0,MIN(A102,Career_History!E16)-Career_History!D16+1),0),IF(Career_History!H17=TRUE,IF(A102&lt;Career_History!D17,0,MIN(A102,Career_History!E17)-Career_History!D17+1),0))/365.2425</f>
        <v>27.833562633045169</v>
      </c>
      <c r="W102" s="9">
        <f>SUM(IF(Career_History!G18=TRUE,IF(A102&lt;Career_History!D18,0,MIN(A102,Career_History!E18)-Career_History!D18+1),0),IF(Career_History!G19=TRUE,IF(A102&lt;Career_History!D19,0,MIN(A102,Career_History!E19)-Career_History!D19+1),0),IF(Career_History!G20=TRUE,IF(A102&lt;Career_History!D20,0,MIN(A102,Career_History!E20)-Career_History!D20+1),0))/365.2425</f>
        <v>34.831652942907795</v>
      </c>
      <c r="X102" s="9">
        <f>SUM(IF(Career_History!I18=TRUE,IF(A102&lt;Career_History!D18,0,MIN(A102,Career_History!E18)-Career_History!D18+1),0),IF(Career_History!I19=TRUE,IF(A102&lt;Career_History!D19,0,MIN(A102,Career_History!E19)-Career_History!D19+1),0),IF(Career_History!I20=TRUE,IF(A102&lt;Career_History!D20,0,MIN(A102,Career_History!E20)-Career_History!D20+1),0))/365.2425</f>
        <v>0</v>
      </c>
      <c r="Y102" s="9">
        <f>SUM(IF(Career_History!H18=TRUE,IF(A102&lt;Career_History!D18,0,MIN(A102,Career_History!E18)-Career_History!D18+1),0),IF(Career_History!H19=TRUE,IF(A102&lt;Career_History!D19,0,MIN(A102,Career_History!E19)-Career_History!D19+1),0),IF(Career_History!H20=TRUE,IF(A102&lt;Career_History!D20,0,MIN(A102,Career_History!E20)-Career_History!D20+1),0))/365.2425</f>
        <v>5.2540435464109461</v>
      </c>
      <c r="Z102" s="9">
        <f>SUM(IF(Career_History!G21=TRUE,IF(A102&lt;Career_History!D21,0,MIN(A102,Career_History!E21)-Career_History!D21+1),0),IF(Career_History!G22=TRUE,IF(A102&lt;Career_History!D22,0,MIN(A102,Career_History!E22)-Career_History!D22+1),0),IF(Career_History!G23=TRUE,IF(A102&lt;Career_History!D23,0,MIN(A102,Career_History!E23)-Career_History!D23+1),0),IF(Career_History!G24=TRUE,IF(A102&lt;Career_History!D24,0,MIN(A102,Career_History!E24)-Career_History!D24+1),0))/365.2425</f>
        <v>31.833644770255379</v>
      </c>
      <c r="AA102" s="9">
        <f>SUM(IF(Career_History!I21=TRUE,IF(A102&lt;Career_History!D21,0,MIN(A102,Career_History!E21)-Career_History!D21+1),0),IF(Career_History!I22=TRUE,IF(A102&lt;Career_History!D22,0,MIN(A102,Career_History!E22)-Career_History!D22+1),0),IF(Career_History!I23=TRUE,IF(A102&lt;Career_History!D23,0,MIN(A102,Career_History!E23)-Career_History!D23+1),0),IF(Career_History!I24=TRUE,IF(A102&lt;Career_History!D24,0,MIN(A102,Career_History!E24)-Career_History!D24+1),0))/365.2425</f>
        <v>26.505677734655741</v>
      </c>
      <c r="AB102" s="9">
        <f>SUM(IF(Career_History!H21=TRUE,IF(A102&lt;Career_History!D21,0,MIN(A102,Career_History!E21)-Career_History!D21+1),0),IF(Career_History!H22=TRUE,IF(A102&lt;Career_History!D22,0,MIN(A102,Career_History!E22)-Career_History!D22+1),0),IF(Career_History!H23=TRUE,IF(A102&lt;Career_History!D23,0,MIN(A102,Career_History!E23)-Career_History!D23+1),0),IF(Career_History!H24=TRUE,IF(A102&lt;Career_History!D24,0,MIN(A102,Career_History!E24)-Career_History!D24+1),0))/365.2425</f>
        <v>22.749269321067509</v>
      </c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</row>
    <row r="103" spans="1:67">
      <c r="A103" s="8">
        <v>37772</v>
      </c>
      <c r="B103" s="9">
        <f t="shared" si="3"/>
        <v>32.868573618897031</v>
      </c>
      <c r="C103" s="9">
        <f t="shared" si="4"/>
        <v>9.6023874549100938</v>
      </c>
      <c r="D103" s="9">
        <f t="shared" si="5"/>
        <v>20.435190318760824</v>
      </c>
      <c r="E103" s="9"/>
      <c r="F103" s="9"/>
      <c r="G103" s="9"/>
      <c r="H103" s="9"/>
      <c r="I103" s="9"/>
      <c r="J103" s="9"/>
      <c r="K103" s="9"/>
      <c r="L103" s="9"/>
      <c r="M103" s="9"/>
      <c r="N103" s="9">
        <f>SUM(IF(Career_History!G12=TRUE,IF(A103&lt;Career_History!D12,0,MIN(A103,Career_History!E12)-Career_History!D12+1),0),IF(Career_History!G13=TRUE,IF(A103&lt;Career_History!D13,0,MIN(A103,Career_History!E13)-Career_History!D13+1),0))/365.2425</f>
        <v>31.918519887472023</v>
      </c>
      <c r="O103" s="9">
        <f>SUM(IF(Career_History!I12=TRUE,IF(A103&lt;Career_History!D12,0,MIN(A103,Career_History!E12)-Career_History!D12+1),0),IF(Career_History!I13=TRUE,IF(A103&lt;Career_History!D13,0,MIN(A103,Career_History!E13)-Career_History!D13+1),0))/365.2425</f>
        <v>0</v>
      </c>
      <c r="P103" s="9">
        <f>SUM(IF(Career_History!H12=TRUE,IF(A103&lt;Career_History!D12,0,MIN(A103,Career_History!E12)-Career_History!D12+1),0),IF(Career_History!H13=TRUE,IF(A103&lt;Career_History!D13,0,MIN(A103,Career_History!E13)-Career_History!D13+1),0))/365.2425</f>
        <v>8.4135882324756839</v>
      </c>
      <c r="Q103" s="9">
        <f>SUM(IF(Career_History!G14=TRUE,IF(A103&lt;Career_History!D14,0,MIN(A103,Career_History!E14)-Career_History!D14+1),0),IF(Career_History!G15=TRUE,IF(A103&lt;Career_History!D15,0,MIN(A103,Career_History!E15)-Career_History!D15+1),0))/365.2425</f>
        <v>37.670862509154873</v>
      </c>
      <c r="R103" s="9">
        <f>SUM(IF(Career_History!I14=TRUE,IF(A103&lt;Career_History!D14,0,MIN(A103,Career_History!E14)-Career_History!D14+1),0),IF(Career_History!I15=TRUE,IF(A103&lt;Career_History!D15,0,MIN(A103,Career_History!E15)-Career_History!D15+1),0))/365.2425</f>
        <v>0</v>
      </c>
      <c r="S103" s="9">
        <f>SUM(IF(Career_History!H14=TRUE,IF(A103&lt;Career_History!D14,0,MIN(A103,Career_History!E14)-Career_History!D14+1),0),IF(Career_History!H15=TRUE,IF(A103&lt;Career_History!D15,0,MIN(A103,Career_History!E15)-Career_History!D15+1),0))/365.2425</f>
        <v>37.670862509154873</v>
      </c>
      <c r="T103" s="9">
        <f>SUM(IF(Career_History!G16=TRUE,IF(A103&lt;Career_History!D16,0,MIN(A103,Career_History!E16)-Career_History!D16+1),0),IF(Career_History!G17=TRUE,IF(A103&lt;Career_History!D17,0,MIN(A103,Career_History!E17)-Career_History!D17+1),0))/365.2425</f>
        <v>27.918437750261813</v>
      </c>
      <c r="U103" s="9">
        <f>SUM(IF(Career_History!I16=TRUE,IF(A103&lt;Career_History!D16,0,MIN(A103,Career_History!E16)-Career_History!D16+1),0),IF(Career_History!I17=TRUE,IF(A103&lt;Career_History!D17,0,MIN(A103,Career_History!E17)-Career_History!D17+1),0))/365.2425</f>
        <v>21.506259539894728</v>
      </c>
      <c r="V103" s="9">
        <f>SUM(IF(Career_History!H16=TRUE,IF(A103&lt;Career_History!D16,0,MIN(A103,Career_History!E16)-Career_History!D16+1),0),IF(Career_History!H17=TRUE,IF(A103&lt;Career_History!D17,0,MIN(A103,Career_History!E17)-Career_History!D17+1),0))/365.2425</f>
        <v>27.918437750261813</v>
      </c>
      <c r="W103" s="9">
        <f>SUM(IF(Career_History!G18=TRUE,IF(A103&lt;Career_History!D18,0,MIN(A103,Career_History!E18)-Career_History!D18+1),0),IF(Career_History!G19=TRUE,IF(A103&lt;Career_History!D19,0,MIN(A103,Career_History!E19)-Career_History!D19+1),0),IF(Career_History!G20=TRUE,IF(A103&lt;Career_History!D20,0,MIN(A103,Career_History!E20)-Career_History!D20+1),0))/365.2425</f>
        <v>34.916528060124435</v>
      </c>
      <c r="X103" s="9">
        <f>SUM(IF(Career_History!I18=TRUE,IF(A103&lt;Career_History!D18,0,MIN(A103,Career_History!E18)-Career_History!D18+1),0),IF(Career_History!I19=TRUE,IF(A103&lt;Career_History!D19,0,MIN(A103,Career_History!E19)-Career_History!D19+1),0),IF(Career_History!I20=TRUE,IF(A103&lt;Career_History!D20,0,MIN(A103,Career_History!E20)-Career_History!D20+1),0))/365.2425</f>
        <v>0</v>
      </c>
      <c r="Y103" s="9">
        <f>SUM(IF(Career_History!H18=TRUE,IF(A103&lt;Career_History!D18,0,MIN(A103,Career_History!E18)-Career_History!D18+1),0),IF(Career_History!H19=TRUE,IF(A103&lt;Career_History!D19,0,MIN(A103,Career_History!E19)-Career_History!D19+1),0),IF(Career_History!H20=TRUE,IF(A103&lt;Career_History!D20,0,MIN(A103,Career_History!E20)-Career_History!D20+1),0))/365.2425</f>
        <v>5.3389186636275898</v>
      </c>
      <c r="Z103" s="9">
        <f>SUM(IF(Career_History!G21=TRUE,IF(A103&lt;Career_History!D21,0,MIN(A103,Career_History!E21)-Career_History!D21+1),0),IF(Career_History!G22=TRUE,IF(A103&lt;Career_History!D22,0,MIN(A103,Career_History!E22)-Career_History!D22+1),0),IF(Career_History!G23=TRUE,IF(A103&lt;Career_History!D23,0,MIN(A103,Career_History!E23)-Career_History!D23+1),0),IF(Career_History!G24=TRUE,IF(A103&lt;Career_History!D24,0,MIN(A103,Career_History!E24)-Career_History!D24+1),0))/365.2425</f>
        <v>31.918519887472023</v>
      </c>
      <c r="AA103" s="9">
        <f>SUM(IF(Career_History!I21=TRUE,IF(A103&lt;Career_History!D21,0,MIN(A103,Career_History!E21)-Career_History!D21+1),0),IF(Career_History!I22=TRUE,IF(A103&lt;Career_History!D22,0,MIN(A103,Career_History!E22)-Career_History!D22+1),0),IF(Career_History!I23=TRUE,IF(A103&lt;Career_History!D23,0,MIN(A103,Career_History!E23)-Career_History!D23+1),0),IF(Career_History!I24=TRUE,IF(A103&lt;Career_History!D24,0,MIN(A103,Career_History!E24)-Career_History!D24+1),0))/365.2425</f>
        <v>26.505677734655741</v>
      </c>
      <c r="AB103" s="9">
        <f>SUM(IF(Career_History!H21=TRUE,IF(A103&lt;Career_History!D21,0,MIN(A103,Career_History!E21)-Career_History!D21+1),0),IF(Career_History!H22=TRUE,IF(A103&lt;Career_History!D22,0,MIN(A103,Career_History!E22)-Career_History!D22+1),0),IF(Career_History!H23=TRUE,IF(A103&lt;Career_History!D23,0,MIN(A103,Career_History!E23)-Career_History!D23+1),0),IF(Career_History!H24=TRUE,IF(A103&lt;Career_History!D24,0,MIN(A103,Career_History!E24)-Career_History!D24+1),0))/365.2425</f>
        <v>22.834144438284152</v>
      </c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</row>
    <row r="104" spans="1:67">
      <c r="A104" s="8">
        <v>37802</v>
      </c>
      <c r="B104" s="9">
        <f t="shared" si="3"/>
        <v>32.95071082910669</v>
      </c>
      <c r="C104" s="9">
        <f t="shared" si="4"/>
        <v>9.6023874549100938</v>
      </c>
      <c r="D104" s="9">
        <f t="shared" si="5"/>
        <v>20.517327528970476</v>
      </c>
      <c r="E104" s="9"/>
      <c r="F104" s="9"/>
      <c r="G104" s="9"/>
      <c r="H104" s="9"/>
      <c r="I104" s="9"/>
      <c r="J104" s="9"/>
      <c r="K104" s="9"/>
      <c r="L104" s="9"/>
      <c r="M104" s="9"/>
      <c r="N104" s="9">
        <f>SUM(IF(Career_History!G12=TRUE,IF(A104&lt;Career_History!D12,0,MIN(A104,Career_History!E12)-Career_History!D12+1),0),IF(Career_History!G13=TRUE,IF(A104&lt;Career_History!D13,0,MIN(A104,Career_History!E13)-Career_History!D13+1),0))/365.2425</f>
        <v>32.000657097681675</v>
      </c>
      <c r="O104" s="9">
        <f>SUM(IF(Career_History!I12=TRUE,IF(A104&lt;Career_History!D12,0,MIN(A104,Career_History!E12)-Career_History!D12+1),0),IF(Career_History!I13=TRUE,IF(A104&lt;Career_History!D13,0,MIN(A104,Career_History!E13)-Career_History!D13+1),0))/365.2425</f>
        <v>0</v>
      </c>
      <c r="P104" s="9">
        <f>SUM(IF(Career_History!H12=TRUE,IF(A104&lt;Career_History!D12,0,MIN(A104,Career_History!E12)-Career_History!D12+1),0),IF(Career_History!H13=TRUE,IF(A104&lt;Career_History!D13,0,MIN(A104,Career_History!E13)-Career_History!D13+1),0))/365.2425</f>
        <v>8.4957254426853392</v>
      </c>
      <c r="Q104" s="9">
        <f>SUM(IF(Career_History!G14=TRUE,IF(A104&lt;Career_History!D14,0,MIN(A104,Career_History!E14)-Career_History!D14+1),0),IF(Career_History!G15=TRUE,IF(A104&lt;Career_History!D15,0,MIN(A104,Career_History!E15)-Career_History!D15+1),0))/365.2425</f>
        <v>37.752999719364531</v>
      </c>
      <c r="R104" s="9">
        <f>SUM(IF(Career_History!I14=TRUE,IF(A104&lt;Career_History!D14,0,MIN(A104,Career_History!E14)-Career_History!D14+1),0),IF(Career_History!I15=TRUE,IF(A104&lt;Career_History!D15,0,MIN(A104,Career_History!E15)-Career_History!D15+1),0))/365.2425</f>
        <v>0</v>
      </c>
      <c r="S104" s="9">
        <f>SUM(IF(Career_History!H14=TRUE,IF(A104&lt;Career_History!D14,0,MIN(A104,Career_History!E14)-Career_History!D14+1),0),IF(Career_History!H15=TRUE,IF(A104&lt;Career_History!D15,0,MIN(A104,Career_History!E15)-Career_History!D15+1),0))/365.2425</f>
        <v>37.752999719364531</v>
      </c>
      <c r="T104" s="9">
        <f>SUM(IF(Career_History!G16=TRUE,IF(A104&lt;Career_History!D16,0,MIN(A104,Career_History!E16)-Career_History!D16+1),0),IF(Career_History!G17=TRUE,IF(A104&lt;Career_History!D17,0,MIN(A104,Career_History!E17)-Career_History!D17+1),0))/365.2425</f>
        <v>28.000574960471468</v>
      </c>
      <c r="U104" s="9">
        <f>SUM(IF(Career_History!I16=TRUE,IF(A104&lt;Career_History!D16,0,MIN(A104,Career_History!E16)-Career_History!D16+1),0),IF(Career_History!I17=TRUE,IF(A104&lt;Career_History!D17,0,MIN(A104,Career_History!E17)-Career_History!D17+1),0))/365.2425</f>
        <v>21.506259539894728</v>
      </c>
      <c r="V104" s="9">
        <f>SUM(IF(Career_History!H16=TRUE,IF(A104&lt;Career_History!D16,0,MIN(A104,Career_History!E16)-Career_History!D16+1),0),IF(Career_History!H17=TRUE,IF(A104&lt;Career_History!D17,0,MIN(A104,Career_History!E17)-Career_History!D17+1),0))/365.2425</f>
        <v>28.000574960471468</v>
      </c>
      <c r="W104" s="9">
        <f>SUM(IF(Career_History!G18=TRUE,IF(A104&lt;Career_History!D18,0,MIN(A104,Career_History!E18)-Career_History!D18+1),0),IF(Career_History!G19=TRUE,IF(A104&lt;Career_History!D19,0,MIN(A104,Career_History!E19)-Career_History!D19+1),0),IF(Career_History!G20=TRUE,IF(A104&lt;Career_History!D20,0,MIN(A104,Career_History!E20)-Career_History!D20+1),0))/365.2425</f>
        <v>34.998665270334094</v>
      </c>
      <c r="X104" s="9">
        <f>SUM(IF(Career_History!I18=TRUE,IF(A104&lt;Career_History!D18,0,MIN(A104,Career_History!E18)-Career_History!D18+1),0),IF(Career_History!I19=TRUE,IF(A104&lt;Career_History!D19,0,MIN(A104,Career_History!E19)-Career_History!D19+1),0),IF(Career_History!I20=TRUE,IF(A104&lt;Career_History!D20,0,MIN(A104,Career_History!E20)-Career_History!D20+1),0))/365.2425</f>
        <v>0</v>
      </c>
      <c r="Y104" s="9">
        <f>SUM(IF(Career_History!H18=TRUE,IF(A104&lt;Career_History!D18,0,MIN(A104,Career_History!E18)-Career_History!D18+1),0),IF(Career_History!H19=TRUE,IF(A104&lt;Career_History!D19,0,MIN(A104,Career_History!E19)-Career_History!D19+1),0),IF(Career_History!H20=TRUE,IF(A104&lt;Career_History!D20,0,MIN(A104,Career_History!E20)-Career_History!D20+1),0))/365.2425</f>
        <v>5.4210558738372452</v>
      </c>
      <c r="Z104" s="9">
        <f>SUM(IF(Career_History!G21=TRUE,IF(A104&lt;Career_History!D21,0,MIN(A104,Career_History!E21)-Career_History!D21+1),0),IF(Career_History!G22=TRUE,IF(A104&lt;Career_History!D22,0,MIN(A104,Career_History!E22)-Career_History!D22+1),0),IF(Career_History!G23=TRUE,IF(A104&lt;Career_History!D23,0,MIN(A104,Career_History!E23)-Career_History!D23+1),0),IF(Career_History!G24=TRUE,IF(A104&lt;Career_History!D24,0,MIN(A104,Career_History!E24)-Career_History!D24+1),0))/365.2425</f>
        <v>32.000657097681675</v>
      </c>
      <c r="AA104" s="9">
        <f>SUM(IF(Career_History!I21=TRUE,IF(A104&lt;Career_History!D21,0,MIN(A104,Career_History!E21)-Career_History!D21+1),0),IF(Career_History!I22=TRUE,IF(A104&lt;Career_History!D22,0,MIN(A104,Career_History!E22)-Career_History!D22+1),0),IF(Career_History!I23=TRUE,IF(A104&lt;Career_History!D23,0,MIN(A104,Career_History!E23)-Career_History!D23+1),0),IF(Career_History!I24=TRUE,IF(A104&lt;Career_History!D24,0,MIN(A104,Career_History!E24)-Career_History!D24+1),0))/365.2425</f>
        <v>26.505677734655741</v>
      </c>
      <c r="AB104" s="9">
        <f>SUM(IF(Career_History!H21=TRUE,IF(A104&lt;Career_History!D21,0,MIN(A104,Career_History!E21)-Career_History!D21+1),0),IF(Career_History!H22=TRUE,IF(A104&lt;Career_History!D22,0,MIN(A104,Career_History!E22)-Career_History!D22+1),0),IF(Career_History!H23=TRUE,IF(A104&lt;Career_History!D23,0,MIN(A104,Career_History!E23)-Career_History!D23+1),0),IF(Career_History!H24=TRUE,IF(A104&lt;Career_History!D24,0,MIN(A104,Career_History!E24)-Career_History!D24+1),0))/365.2425</f>
        <v>22.916281648493808</v>
      </c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</row>
    <row r="105" spans="1:67">
      <c r="A105" s="8">
        <v>37833</v>
      </c>
      <c r="B105" s="9">
        <f t="shared" si="3"/>
        <v>33.03558594632333</v>
      </c>
      <c r="C105" s="9">
        <f t="shared" si="4"/>
        <v>9.6023874549100938</v>
      </c>
      <c r="D105" s="9">
        <f t="shared" si="5"/>
        <v>20.60220264618712</v>
      </c>
      <c r="E105" s="9"/>
      <c r="F105" s="9"/>
      <c r="G105" s="9"/>
      <c r="H105" s="9"/>
      <c r="I105" s="9"/>
      <c r="J105" s="9"/>
      <c r="K105" s="9"/>
      <c r="L105" s="9"/>
      <c r="M105" s="9"/>
      <c r="N105" s="9">
        <f>SUM(IF(Career_History!G12=TRUE,IF(A105&lt;Career_History!D12,0,MIN(A105,Career_History!E12)-Career_History!D12+1),0),IF(Career_History!G13=TRUE,IF(A105&lt;Career_History!D13,0,MIN(A105,Career_History!E13)-Career_History!D13+1),0))/365.2425</f>
        <v>32.085532214898322</v>
      </c>
      <c r="O105" s="9">
        <f>SUM(IF(Career_History!I12=TRUE,IF(A105&lt;Career_History!D12,0,MIN(A105,Career_History!E12)-Career_History!D12+1),0),IF(Career_History!I13=TRUE,IF(A105&lt;Career_History!D13,0,MIN(A105,Career_History!E13)-Career_History!D13+1),0))/365.2425</f>
        <v>0</v>
      </c>
      <c r="P105" s="9">
        <f>SUM(IF(Career_History!H12=TRUE,IF(A105&lt;Career_History!D12,0,MIN(A105,Career_History!E12)-Career_History!D12+1),0),IF(Career_History!H13=TRUE,IF(A105&lt;Career_History!D13,0,MIN(A105,Career_History!E13)-Career_History!D13+1),0))/365.2425</f>
        <v>8.580600559901983</v>
      </c>
      <c r="Q105" s="9">
        <f>SUM(IF(Career_History!G14=TRUE,IF(A105&lt;Career_History!D14,0,MIN(A105,Career_History!E14)-Career_History!D14+1),0),IF(Career_History!G15=TRUE,IF(A105&lt;Career_History!D15,0,MIN(A105,Career_History!E15)-Career_History!D15+1),0))/365.2425</f>
        <v>37.837874836581172</v>
      </c>
      <c r="R105" s="9">
        <f>SUM(IF(Career_History!I14=TRUE,IF(A105&lt;Career_History!D14,0,MIN(A105,Career_History!E14)-Career_History!D14+1),0),IF(Career_History!I15=TRUE,IF(A105&lt;Career_History!D15,0,MIN(A105,Career_History!E15)-Career_History!D15+1),0))/365.2425</f>
        <v>0</v>
      </c>
      <c r="S105" s="9">
        <f>SUM(IF(Career_History!H14=TRUE,IF(A105&lt;Career_History!D14,0,MIN(A105,Career_History!E14)-Career_History!D14+1),0),IF(Career_History!H15=TRUE,IF(A105&lt;Career_History!D15,0,MIN(A105,Career_History!E15)-Career_History!D15+1),0))/365.2425</f>
        <v>37.837874836581172</v>
      </c>
      <c r="T105" s="9">
        <f>SUM(IF(Career_History!G16=TRUE,IF(A105&lt;Career_History!D16,0,MIN(A105,Career_History!E16)-Career_History!D16+1),0),IF(Career_History!G17=TRUE,IF(A105&lt;Career_History!D17,0,MIN(A105,Career_History!E17)-Career_History!D17+1),0))/365.2425</f>
        <v>28.085450077688112</v>
      </c>
      <c r="U105" s="9">
        <f>SUM(IF(Career_History!I16=TRUE,IF(A105&lt;Career_History!D16,0,MIN(A105,Career_History!E16)-Career_History!D16+1),0),IF(Career_History!I17=TRUE,IF(A105&lt;Career_History!D17,0,MIN(A105,Career_History!E17)-Career_History!D17+1),0))/365.2425</f>
        <v>21.506259539894728</v>
      </c>
      <c r="V105" s="9">
        <f>SUM(IF(Career_History!H16=TRUE,IF(A105&lt;Career_History!D16,0,MIN(A105,Career_History!E16)-Career_History!D16+1),0),IF(Career_History!H17=TRUE,IF(A105&lt;Career_History!D17,0,MIN(A105,Career_History!E17)-Career_History!D17+1),0))/365.2425</f>
        <v>28.085450077688112</v>
      </c>
      <c r="W105" s="9">
        <f>SUM(IF(Career_History!G18=TRUE,IF(A105&lt;Career_History!D18,0,MIN(A105,Career_History!E18)-Career_History!D18+1),0),IF(Career_History!G19=TRUE,IF(A105&lt;Career_History!D19,0,MIN(A105,Career_History!E19)-Career_History!D19+1),0),IF(Career_History!G20=TRUE,IF(A105&lt;Career_History!D20,0,MIN(A105,Career_History!E20)-Career_History!D20+1),0))/365.2425</f>
        <v>35.083540387550734</v>
      </c>
      <c r="X105" s="9">
        <f>SUM(IF(Career_History!I18=TRUE,IF(A105&lt;Career_History!D18,0,MIN(A105,Career_History!E18)-Career_History!D18+1),0),IF(Career_History!I19=TRUE,IF(A105&lt;Career_History!D19,0,MIN(A105,Career_History!E19)-Career_History!D19+1),0),IF(Career_History!I20=TRUE,IF(A105&lt;Career_History!D20,0,MIN(A105,Career_History!E20)-Career_History!D20+1),0))/365.2425</f>
        <v>0</v>
      </c>
      <c r="Y105" s="9">
        <f>SUM(IF(Career_History!H18=TRUE,IF(A105&lt;Career_History!D18,0,MIN(A105,Career_History!E18)-Career_History!D18+1),0),IF(Career_History!H19=TRUE,IF(A105&lt;Career_History!D19,0,MIN(A105,Career_History!E19)-Career_History!D19+1),0),IF(Career_History!H20=TRUE,IF(A105&lt;Career_History!D20,0,MIN(A105,Career_History!E20)-Career_History!D20+1),0))/365.2425</f>
        <v>5.5059309910538889</v>
      </c>
      <c r="Z105" s="9">
        <f>SUM(IF(Career_History!G21=TRUE,IF(A105&lt;Career_History!D21,0,MIN(A105,Career_History!E21)-Career_History!D21+1),0),IF(Career_History!G22=TRUE,IF(A105&lt;Career_History!D22,0,MIN(A105,Career_History!E22)-Career_History!D22+1),0),IF(Career_History!G23=TRUE,IF(A105&lt;Career_History!D23,0,MIN(A105,Career_History!E23)-Career_History!D23+1),0),IF(Career_History!G24=TRUE,IF(A105&lt;Career_History!D24,0,MIN(A105,Career_History!E24)-Career_History!D24+1),0))/365.2425</f>
        <v>32.085532214898322</v>
      </c>
      <c r="AA105" s="9">
        <f>SUM(IF(Career_History!I21=TRUE,IF(A105&lt;Career_History!D21,0,MIN(A105,Career_History!E21)-Career_History!D21+1),0),IF(Career_History!I22=TRUE,IF(A105&lt;Career_History!D22,0,MIN(A105,Career_History!E22)-Career_History!D22+1),0),IF(Career_History!I23=TRUE,IF(A105&lt;Career_History!D23,0,MIN(A105,Career_History!E23)-Career_History!D23+1),0),IF(Career_History!I24=TRUE,IF(A105&lt;Career_History!D24,0,MIN(A105,Career_History!E24)-Career_History!D24+1),0))/365.2425</f>
        <v>26.505677734655741</v>
      </c>
      <c r="AB105" s="9">
        <f>SUM(IF(Career_History!H21=TRUE,IF(A105&lt;Career_History!D21,0,MIN(A105,Career_History!E21)-Career_History!D21+1),0),IF(Career_History!H22=TRUE,IF(A105&lt;Career_History!D22,0,MIN(A105,Career_History!E22)-Career_History!D22+1),0),IF(Career_History!H23=TRUE,IF(A105&lt;Career_History!D23,0,MIN(A105,Career_History!E23)-Career_History!D23+1),0),IF(Career_History!H24=TRUE,IF(A105&lt;Career_History!D24,0,MIN(A105,Career_History!E24)-Career_History!D24+1),0))/365.2425</f>
        <v>23.001156765710451</v>
      </c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</row>
    <row r="106" spans="1:67">
      <c r="A106" s="8">
        <v>37864</v>
      </c>
      <c r="B106" s="9">
        <f t="shared" si="3"/>
        <v>33.120461063539977</v>
      </c>
      <c r="C106" s="9">
        <f t="shared" si="4"/>
        <v>9.6023874549100938</v>
      </c>
      <c r="D106" s="9">
        <f t="shared" si="5"/>
        <v>20.687077763403767</v>
      </c>
      <c r="E106" s="9"/>
      <c r="F106" s="9"/>
      <c r="G106" s="9"/>
      <c r="H106" s="9"/>
      <c r="I106" s="9"/>
      <c r="J106" s="9"/>
      <c r="K106" s="9"/>
      <c r="L106" s="9"/>
      <c r="M106" s="9"/>
      <c r="N106" s="9">
        <f>SUM(IF(Career_History!G12=TRUE,IF(A106&lt;Career_History!D12,0,MIN(A106,Career_History!E12)-Career_History!D12+1),0),IF(Career_History!G13=TRUE,IF(A106&lt;Career_History!D13,0,MIN(A106,Career_History!E13)-Career_History!D13+1),0))/365.2425</f>
        <v>32.170407332114962</v>
      </c>
      <c r="O106" s="9">
        <f>SUM(IF(Career_History!I12=TRUE,IF(A106&lt;Career_History!D12,0,MIN(A106,Career_History!E12)-Career_History!D12+1),0),IF(Career_History!I13=TRUE,IF(A106&lt;Career_History!D13,0,MIN(A106,Career_History!E13)-Career_History!D13+1),0))/365.2425</f>
        <v>0</v>
      </c>
      <c r="P106" s="9">
        <f>SUM(IF(Career_History!H12=TRUE,IF(A106&lt;Career_History!D12,0,MIN(A106,Career_History!E12)-Career_History!D12+1),0),IF(Career_History!H13=TRUE,IF(A106&lt;Career_History!D13,0,MIN(A106,Career_History!E13)-Career_History!D13+1),0))/365.2425</f>
        <v>8.6654756771186268</v>
      </c>
      <c r="Q106" s="9">
        <f>SUM(IF(Career_History!G14=TRUE,IF(A106&lt;Career_History!D14,0,MIN(A106,Career_History!E14)-Career_History!D14+1),0),IF(Career_History!G15=TRUE,IF(A106&lt;Career_History!D15,0,MIN(A106,Career_History!E15)-Career_History!D15+1),0))/365.2425</f>
        <v>37.922749953797819</v>
      </c>
      <c r="R106" s="9">
        <f>SUM(IF(Career_History!I14=TRUE,IF(A106&lt;Career_History!D14,0,MIN(A106,Career_History!E14)-Career_History!D14+1),0),IF(Career_History!I15=TRUE,IF(A106&lt;Career_History!D15,0,MIN(A106,Career_History!E15)-Career_History!D15+1),0))/365.2425</f>
        <v>0</v>
      </c>
      <c r="S106" s="9">
        <f>SUM(IF(Career_History!H14=TRUE,IF(A106&lt;Career_History!D14,0,MIN(A106,Career_History!E14)-Career_History!D14+1),0),IF(Career_History!H15=TRUE,IF(A106&lt;Career_History!D15,0,MIN(A106,Career_History!E15)-Career_History!D15+1),0))/365.2425</f>
        <v>37.922749953797819</v>
      </c>
      <c r="T106" s="9">
        <f>SUM(IF(Career_History!G16=TRUE,IF(A106&lt;Career_History!D16,0,MIN(A106,Career_History!E16)-Career_History!D16+1),0),IF(Career_History!G17=TRUE,IF(A106&lt;Career_History!D17,0,MIN(A106,Career_History!E17)-Career_History!D17+1),0))/365.2425</f>
        <v>28.170325194904756</v>
      </c>
      <c r="U106" s="9">
        <f>SUM(IF(Career_History!I16=TRUE,IF(A106&lt;Career_History!D16,0,MIN(A106,Career_History!E16)-Career_History!D16+1),0),IF(Career_History!I17=TRUE,IF(A106&lt;Career_History!D17,0,MIN(A106,Career_History!E17)-Career_History!D17+1),0))/365.2425</f>
        <v>21.506259539894728</v>
      </c>
      <c r="V106" s="9">
        <f>SUM(IF(Career_History!H16=TRUE,IF(A106&lt;Career_History!D16,0,MIN(A106,Career_History!E16)-Career_History!D16+1),0),IF(Career_History!H17=TRUE,IF(A106&lt;Career_History!D17,0,MIN(A106,Career_History!E17)-Career_History!D17+1),0))/365.2425</f>
        <v>28.170325194904756</v>
      </c>
      <c r="W106" s="9">
        <f>SUM(IF(Career_History!G18=TRUE,IF(A106&lt;Career_History!D18,0,MIN(A106,Career_History!E18)-Career_History!D18+1),0),IF(Career_History!G19=TRUE,IF(A106&lt;Career_History!D19,0,MIN(A106,Career_History!E19)-Career_History!D19+1),0),IF(Career_History!G20=TRUE,IF(A106&lt;Career_History!D20,0,MIN(A106,Career_History!E20)-Career_History!D20+1),0))/365.2425</f>
        <v>35.168415504767381</v>
      </c>
      <c r="X106" s="9">
        <f>SUM(IF(Career_History!I18=TRUE,IF(A106&lt;Career_History!D18,0,MIN(A106,Career_History!E18)-Career_History!D18+1),0),IF(Career_History!I19=TRUE,IF(A106&lt;Career_History!D19,0,MIN(A106,Career_History!E19)-Career_History!D19+1),0),IF(Career_History!I20=TRUE,IF(A106&lt;Career_History!D20,0,MIN(A106,Career_History!E20)-Career_History!D20+1),0))/365.2425</f>
        <v>0</v>
      </c>
      <c r="Y106" s="9">
        <f>SUM(IF(Career_History!H18=TRUE,IF(A106&lt;Career_History!D18,0,MIN(A106,Career_History!E18)-Career_History!D18+1),0),IF(Career_History!H19=TRUE,IF(A106&lt;Career_History!D19,0,MIN(A106,Career_History!E19)-Career_History!D19+1),0),IF(Career_History!H20=TRUE,IF(A106&lt;Career_History!D20,0,MIN(A106,Career_History!E20)-Career_History!D20+1),0))/365.2425</f>
        <v>5.5908061082705327</v>
      </c>
      <c r="Z106" s="9">
        <f>SUM(IF(Career_History!G21=TRUE,IF(A106&lt;Career_History!D21,0,MIN(A106,Career_History!E21)-Career_History!D21+1),0),IF(Career_History!G22=TRUE,IF(A106&lt;Career_History!D22,0,MIN(A106,Career_History!E22)-Career_History!D22+1),0),IF(Career_History!G23=TRUE,IF(A106&lt;Career_History!D23,0,MIN(A106,Career_History!E23)-Career_History!D23+1),0),IF(Career_History!G24=TRUE,IF(A106&lt;Career_History!D24,0,MIN(A106,Career_History!E24)-Career_History!D24+1),0))/365.2425</f>
        <v>32.170407332114962</v>
      </c>
      <c r="AA106" s="9">
        <f>SUM(IF(Career_History!I21=TRUE,IF(A106&lt;Career_History!D21,0,MIN(A106,Career_History!E21)-Career_History!D21+1),0),IF(Career_History!I22=TRUE,IF(A106&lt;Career_History!D22,0,MIN(A106,Career_History!E22)-Career_History!D22+1),0),IF(Career_History!I23=TRUE,IF(A106&lt;Career_History!D23,0,MIN(A106,Career_History!E23)-Career_History!D23+1),0),IF(Career_History!I24=TRUE,IF(A106&lt;Career_History!D24,0,MIN(A106,Career_History!E24)-Career_History!D24+1),0))/365.2425</f>
        <v>26.505677734655741</v>
      </c>
      <c r="AB106" s="9">
        <f>SUM(IF(Career_History!H21=TRUE,IF(A106&lt;Career_History!D21,0,MIN(A106,Career_History!E21)-Career_History!D21+1),0),IF(Career_History!H22=TRUE,IF(A106&lt;Career_History!D22,0,MIN(A106,Career_History!E22)-Career_History!D22+1),0),IF(Career_History!H23=TRUE,IF(A106&lt;Career_History!D23,0,MIN(A106,Career_History!E23)-Career_History!D23+1),0),IF(Career_History!H24=TRUE,IF(A106&lt;Career_History!D24,0,MIN(A106,Career_History!E24)-Career_History!D24+1),0))/365.2425</f>
        <v>23.086031882927095</v>
      </c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</row>
    <row r="107" spans="1:67">
      <c r="A107" s="8">
        <v>37894</v>
      </c>
      <c r="B107" s="9">
        <f t="shared" si="3"/>
        <v>33.202598273749629</v>
      </c>
      <c r="C107" s="9">
        <f t="shared" si="4"/>
        <v>9.6023874549100938</v>
      </c>
      <c r="D107" s="9">
        <f t="shared" si="5"/>
        <v>20.769214973613423</v>
      </c>
      <c r="E107" s="9"/>
      <c r="F107" s="9"/>
      <c r="G107" s="9"/>
      <c r="H107" s="9"/>
      <c r="I107" s="9"/>
      <c r="J107" s="9"/>
      <c r="K107" s="9"/>
      <c r="L107" s="9"/>
      <c r="M107" s="9"/>
      <c r="N107" s="9">
        <f>SUM(IF(Career_History!G12=TRUE,IF(A107&lt;Career_History!D12,0,MIN(A107,Career_History!E12)-Career_History!D12+1),0),IF(Career_History!G13=TRUE,IF(A107&lt;Career_History!D13,0,MIN(A107,Career_History!E13)-Career_History!D13+1),0))/365.2425</f>
        <v>32.252544542324621</v>
      </c>
      <c r="O107" s="9">
        <f>SUM(IF(Career_History!I12=TRUE,IF(A107&lt;Career_History!D12,0,MIN(A107,Career_History!E12)-Career_History!D12+1),0),IF(Career_History!I13=TRUE,IF(A107&lt;Career_History!D13,0,MIN(A107,Career_History!E13)-Career_History!D13+1),0))/365.2425</f>
        <v>0</v>
      </c>
      <c r="P107" s="9">
        <f>SUM(IF(Career_History!H12=TRUE,IF(A107&lt;Career_History!D12,0,MIN(A107,Career_History!E12)-Career_History!D12+1),0),IF(Career_History!H13=TRUE,IF(A107&lt;Career_History!D13,0,MIN(A107,Career_History!E13)-Career_History!D13+1),0))/365.2425</f>
        <v>8.7476128873282821</v>
      </c>
      <c r="Q107" s="9">
        <f>SUM(IF(Career_History!G14=TRUE,IF(A107&lt;Career_History!D14,0,MIN(A107,Career_History!E14)-Career_History!D14+1),0),IF(Career_History!G15=TRUE,IF(A107&lt;Career_History!D15,0,MIN(A107,Career_History!E15)-Career_History!D15+1),0))/365.2425</f>
        <v>38.004887164007471</v>
      </c>
      <c r="R107" s="9">
        <f>SUM(IF(Career_History!I14=TRUE,IF(A107&lt;Career_History!D14,0,MIN(A107,Career_History!E14)-Career_History!D14+1),0),IF(Career_History!I15=TRUE,IF(A107&lt;Career_History!D15,0,MIN(A107,Career_History!E15)-Career_History!D15+1),0))/365.2425</f>
        <v>0</v>
      </c>
      <c r="S107" s="9">
        <f>SUM(IF(Career_History!H14=TRUE,IF(A107&lt;Career_History!D14,0,MIN(A107,Career_History!E14)-Career_History!D14+1),0),IF(Career_History!H15=TRUE,IF(A107&lt;Career_History!D15,0,MIN(A107,Career_History!E15)-Career_History!D15+1),0))/365.2425</f>
        <v>38.004887164007471</v>
      </c>
      <c r="T107" s="9">
        <f>SUM(IF(Career_History!G16=TRUE,IF(A107&lt;Career_History!D16,0,MIN(A107,Career_History!E16)-Career_History!D16+1),0),IF(Career_History!G17=TRUE,IF(A107&lt;Career_History!D17,0,MIN(A107,Career_History!E17)-Career_History!D17+1),0))/365.2425</f>
        <v>28.252462405114411</v>
      </c>
      <c r="U107" s="9">
        <f>SUM(IF(Career_History!I16=TRUE,IF(A107&lt;Career_History!D16,0,MIN(A107,Career_History!E16)-Career_History!D16+1),0),IF(Career_History!I17=TRUE,IF(A107&lt;Career_History!D17,0,MIN(A107,Career_History!E17)-Career_History!D17+1),0))/365.2425</f>
        <v>21.506259539894728</v>
      </c>
      <c r="V107" s="9">
        <f>SUM(IF(Career_History!H16=TRUE,IF(A107&lt;Career_History!D16,0,MIN(A107,Career_History!E16)-Career_History!D16+1),0),IF(Career_History!H17=TRUE,IF(A107&lt;Career_History!D17,0,MIN(A107,Career_History!E17)-Career_History!D17+1),0))/365.2425</f>
        <v>28.252462405114411</v>
      </c>
      <c r="W107" s="9">
        <f>SUM(IF(Career_History!G18=TRUE,IF(A107&lt;Career_History!D18,0,MIN(A107,Career_History!E18)-Career_History!D18+1),0),IF(Career_History!G19=TRUE,IF(A107&lt;Career_History!D19,0,MIN(A107,Career_History!E19)-Career_History!D19+1),0),IF(Career_History!G20=TRUE,IF(A107&lt;Career_History!D20,0,MIN(A107,Career_History!E20)-Career_History!D20+1),0))/365.2425</f>
        <v>35.250552714977033</v>
      </c>
      <c r="X107" s="9">
        <f>SUM(IF(Career_History!I18=TRUE,IF(A107&lt;Career_History!D18,0,MIN(A107,Career_History!E18)-Career_History!D18+1),0),IF(Career_History!I19=TRUE,IF(A107&lt;Career_History!D19,0,MIN(A107,Career_History!E19)-Career_History!D19+1),0),IF(Career_History!I20=TRUE,IF(A107&lt;Career_History!D20,0,MIN(A107,Career_History!E20)-Career_History!D20+1),0))/365.2425</f>
        <v>0</v>
      </c>
      <c r="Y107" s="9">
        <f>SUM(IF(Career_History!H18=TRUE,IF(A107&lt;Career_History!D18,0,MIN(A107,Career_History!E18)-Career_History!D18+1),0),IF(Career_History!H19=TRUE,IF(A107&lt;Career_History!D19,0,MIN(A107,Career_History!E19)-Career_History!D19+1),0),IF(Career_History!H20=TRUE,IF(A107&lt;Career_History!D20,0,MIN(A107,Career_History!E20)-Career_History!D20+1),0))/365.2425</f>
        <v>5.6729433184801881</v>
      </c>
      <c r="Z107" s="9">
        <f>SUM(IF(Career_History!G21=TRUE,IF(A107&lt;Career_History!D21,0,MIN(A107,Career_History!E21)-Career_History!D21+1),0),IF(Career_History!G22=TRUE,IF(A107&lt;Career_History!D22,0,MIN(A107,Career_History!E22)-Career_History!D22+1),0),IF(Career_History!G23=TRUE,IF(A107&lt;Career_History!D23,0,MIN(A107,Career_History!E23)-Career_History!D23+1),0),IF(Career_History!G24=TRUE,IF(A107&lt;Career_History!D24,0,MIN(A107,Career_History!E24)-Career_History!D24+1),0))/365.2425</f>
        <v>32.252544542324621</v>
      </c>
      <c r="AA107" s="9">
        <f>SUM(IF(Career_History!I21=TRUE,IF(A107&lt;Career_History!D21,0,MIN(A107,Career_History!E21)-Career_History!D21+1),0),IF(Career_History!I22=TRUE,IF(A107&lt;Career_History!D22,0,MIN(A107,Career_History!E22)-Career_History!D22+1),0),IF(Career_History!I23=TRUE,IF(A107&lt;Career_History!D23,0,MIN(A107,Career_History!E23)-Career_History!D23+1),0),IF(Career_History!I24=TRUE,IF(A107&lt;Career_History!D24,0,MIN(A107,Career_History!E24)-Career_History!D24+1),0))/365.2425</f>
        <v>26.505677734655741</v>
      </c>
      <c r="AB107" s="9">
        <f>SUM(IF(Career_History!H21=TRUE,IF(A107&lt;Career_History!D21,0,MIN(A107,Career_History!E21)-Career_History!D21+1),0),IF(Career_History!H22=TRUE,IF(A107&lt;Career_History!D22,0,MIN(A107,Career_History!E22)-Career_History!D22+1),0),IF(Career_History!H23=TRUE,IF(A107&lt;Career_History!D23,0,MIN(A107,Career_History!E23)-Career_History!D23+1),0),IF(Career_History!H24=TRUE,IF(A107&lt;Career_History!D24,0,MIN(A107,Career_History!E24)-Career_History!D24+1),0))/365.2425</f>
        <v>23.168169093136751</v>
      </c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</row>
    <row r="108" spans="1:67">
      <c r="A108" s="8">
        <v>37925</v>
      </c>
      <c r="B108" s="9">
        <f t="shared" si="3"/>
        <v>33.287473390966277</v>
      </c>
      <c r="C108" s="9">
        <f t="shared" si="4"/>
        <v>9.6023874549100938</v>
      </c>
      <c r="D108" s="9">
        <f t="shared" si="5"/>
        <v>20.854090090830063</v>
      </c>
      <c r="E108" s="9"/>
      <c r="F108" s="9"/>
      <c r="G108" s="9"/>
      <c r="H108" s="9"/>
      <c r="I108" s="9"/>
      <c r="J108" s="9"/>
      <c r="K108" s="9"/>
      <c r="L108" s="9"/>
      <c r="M108" s="9"/>
      <c r="N108" s="9">
        <f>SUM(IF(Career_History!G12=TRUE,IF(A108&lt;Career_History!D12,0,MIN(A108,Career_History!E12)-Career_History!D12+1),0),IF(Career_History!G13=TRUE,IF(A108&lt;Career_History!D13,0,MIN(A108,Career_History!E13)-Career_History!D13+1),0))/365.2425</f>
        <v>32.337419659541261</v>
      </c>
      <c r="O108" s="9">
        <f>SUM(IF(Career_History!I12=TRUE,IF(A108&lt;Career_History!D12,0,MIN(A108,Career_History!E12)-Career_History!D12+1),0),IF(Career_History!I13=TRUE,IF(A108&lt;Career_History!D13,0,MIN(A108,Career_History!E13)-Career_History!D13+1),0))/365.2425</f>
        <v>0</v>
      </c>
      <c r="P108" s="9">
        <f>SUM(IF(Career_History!H12=TRUE,IF(A108&lt;Career_History!D12,0,MIN(A108,Career_History!E12)-Career_History!D12+1),0),IF(Career_History!H13=TRUE,IF(A108&lt;Career_History!D13,0,MIN(A108,Career_History!E13)-Career_History!D13+1),0))/365.2425</f>
        <v>8.8324880045449259</v>
      </c>
      <c r="Q108" s="9">
        <f>SUM(IF(Career_History!G14=TRUE,IF(A108&lt;Career_History!D14,0,MIN(A108,Career_History!E14)-Career_History!D14+1),0),IF(Career_History!G15=TRUE,IF(A108&lt;Career_History!D15,0,MIN(A108,Career_History!E15)-Career_History!D15+1),0))/365.2425</f>
        <v>38.089762281224118</v>
      </c>
      <c r="R108" s="9">
        <f>SUM(IF(Career_History!I14=TRUE,IF(A108&lt;Career_History!D14,0,MIN(A108,Career_History!E14)-Career_History!D14+1),0),IF(Career_History!I15=TRUE,IF(A108&lt;Career_History!D15,0,MIN(A108,Career_History!E15)-Career_History!D15+1),0))/365.2425</f>
        <v>0</v>
      </c>
      <c r="S108" s="9">
        <f>SUM(IF(Career_History!H14=TRUE,IF(A108&lt;Career_History!D14,0,MIN(A108,Career_History!E14)-Career_History!D14+1),0),IF(Career_History!H15=TRUE,IF(A108&lt;Career_History!D15,0,MIN(A108,Career_History!E15)-Career_History!D15+1),0))/365.2425</f>
        <v>38.089762281224118</v>
      </c>
      <c r="T108" s="9">
        <f>SUM(IF(Career_History!G16=TRUE,IF(A108&lt;Career_History!D16,0,MIN(A108,Career_History!E16)-Career_History!D16+1),0),IF(Career_History!G17=TRUE,IF(A108&lt;Career_History!D17,0,MIN(A108,Career_History!E17)-Career_History!D17+1),0))/365.2425</f>
        <v>28.337337522331055</v>
      </c>
      <c r="U108" s="9">
        <f>SUM(IF(Career_History!I16=TRUE,IF(A108&lt;Career_History!D16,0,MIN(A108,Career_History!E16)-Career_History!D16+1),0),IF(Career_History!I17=TRUE,IF(A108&lt;Career_History!D17,0,MIN(A108,Career_History!E17)-Career_History!D17+1),0))/365.2425</f>
        <v>21.506259539894728</v>
      </c>
      <c r="V108" s="9">
        <f>SUM(IF(Career_History!H16=TRUE,IF(A108&lt;Career_History!D16,0,MIN(A108,Career_History!E16)-Career_History!D16+1),0),IF(Career_History!H17=TRUE,IF(A108&lt;Career_History!D17,0,MIN(A108,Career_History!E17)-Career_History!D17+1),0))/365.2425</f>
        <v>28.337337522331055</v>
      </c>
      <c r="W108" s="9">
        <f>SUM(IF(Career_History!G18=TRUE,IF(A108&lt;Career_History!D18,0,MIN(A108,Career_History!E18)-Career_History!D18+1),0),IF(Career_History!G19=TRUE,IF(A108&lt;Career_History!D19,0,MIN(A108,Career_History!E19)-Career_History!D19+1),0),IF(Career_History!G20=TRUE,IF(A108&lt;Career_History!D20,0,MIN(A108,Career_History!E20)-Career_History!D20+1),0))/365.2425</f>
        <v>35.33542783219368</v>
      </c>
      <c r="X108" s="9">
        <f>SUM(IF(Career_History!I18=TRUE,IF(A108&lt;Career_History!D18,0,MIN(A108,Career_History!E18)-Career_History!D18+1),0),IF(Career_History!I19=TRUE,IF(A108&lt;Career_History!D19,0,MIN(A108,Career_History!E19)-Career_History!D19+1),0),IF(Career_History!I20=TRUE,IF(A108&lt;Career_History!D20,0,MIN(A108,Career_History!E20)-Career_History!D20+1),0))/365.2425</f>
        <v>0</v>
      </c>
      <c r="Y108" s="9">
        <f>SUM(IF(Career_History!H18=TRUE,IF(A108&lt;Career_History!D18,0,MIN(A108,Career_History!E18)-Career_History!D18+1),0),IF(Career_History!H19=TRUE,IF(A108&lt;Career_History!D19,0,MIN(A108,Career_History!E19)-Career_History!D19+1),0),IF(Career_History!H20=TRUE,IF(A108&lt;Career_History!D20,0,MIN(A108,Career_History!E20)-Career_History!D20+1),0))/365.2425</f>
        <v>5.7578184356968318</v>
      </c>
      <c r="Z108" s="9">
        <f>SUM(IF(Career_History!G21=TRUE,IF(A108&lt;Career_History!D21,0,MIN(A108,Career_History!E21)-Career_History!D21+1),0),IF(Career_History!G22=TRUE,IF(A108&lt;Career_History!D22,0,MIN(A108,Career_History!E22)-Career_History!D22+1),0),IF(Career_History!G23=TRUE,IF(A108&lt;Career_History!D23,0,MIN(A108,Career_History!E23)-Career_History!D23+1),0),IF(Career_History!G24=TRUE,IF(A108&lt;Career_History!D24,0,MIN(A108,Career_History!E24)-Career_History!D24+1),0))/365.2425</f>
        <v>32.337419659541261</v>
      </c>
      <c r="AA108" s="9">
        <f>SUM(IF(Career_History!I21=TRUE,IF(A108&lt;Career_History!D21,0,MIN(A108,Career_History!E21)-Career_History!D21+1),0),IF(Career_History!I22=TRUE,IF(A108&lt;Career_History!D22,0,MIN(A108,Career_History!E22)-Career_History!D22+1),0),IF(Career_History!I23=TRUE,IF(A108&lt;Career_History!D23,0,MIN(A108,Career_History!E23)-Career_History!D23+1),0),IF(Career_History!I24=TRUE,IF(A108&lt;Career_History!D24,0,MIN(A108,Career_History!E24)-Career_History!D24+1),0))/365.2425</f>
        <v>26.505677734655741</v>
      </c>
      <c r="AB108" s="9">
        <f>SUM(IF(Career_History!H21=TRUE,IF(A108&lt;Career_History!D21,0,MIN(A108,Career_History!E21)-Career_History!D21+1),0),IF(Career_History!H22=TRUE,IF(A108&lt;Career_History!D22,0,MIN(A108,Career_History!E22)-Career_History!D22+1),0),IF(Career_History!H23=TRUE,IF(A108&lt;Career_History!D23,0,MIN(A108,Career_History!E23)-Career_History!D23+1),0),IF(Career_History!H24=TRUE,IF(A108&lt;Career_History!D24,0,MIN(A108,Career_History!E24)-Career_History!D24+1),0))/365.2425</f>
        <v>23.253044210353394</v>
      </c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</row>
    <row r="109" spans="1:67">
      <c r="A109" s="8">
        <v>37955</v>
      </c>
      <c r="B109" s="9">
        <f t="shared" si="3"/>
        <v>33.369610601175928</v>
      </c>
      <c r="C109" s="9">
        <f t="shared" si="4"/>
        <v>9.6023874549100938</v>
      </c>
      <c r="D109" s="9">
        <f t="shared" si="5"/>
        <v>20.936227301039718</v>
      </c>
      <c r="E109" s="9"/>
      <c r="F109" s="9"/>
      <c r="G109" s="9"/>
      <c r="H109" s="9"/>
      <c r="I109" s="9"/>
      <c r="J109" s="9"/>
      <c r="K109" s="9"/>
      <c r="L109" s="9"/>
      <c r="M109" s="9"/>
      <c r="N109" s="9">
        <f>SUM(IF(Career_History!G12=TRUE,IF(A109&lt;Career_History!D12,0,MIN(A109,Career_History!E12)-Career_History!D12+1),0),IF(Career_History!G13=TRUE,IF(A109&lt;Career_History!D13,0,MIN(A109,Career_History!E13)-Career_History!D13+1),0))/365.2425</f>
        <v>32.41955686975092</v>
      </c>
      <c r="O109" s="9">
        <f>SUM(IF(Career_History!I12=TRUE,IF(A109&lt;Career_History!D12,0,MIN(A109,Career_History!E12)-Career_History!D12+1),0),IF(Career_History!I13=TRUE,IF(A109&lt;Career_History!D13,0,MIN(A109,Career_History!E13)-Career_History!D13+1),0))/365.2425</f>
        <v>0</v>
      </c>
      <c r="P109" s="9">
        <f>SUM(IF(Career_History!H12=TRUE,IF(A109&lt;Career_History!D12,0,MIN(A109,Career_History!E12)-Career_History!D12+1),0),IF(Career_History!H13=TRUE,IF(A109&lt;Career_History!D13,0,MIN(A109,Career_History!E13)-Career_History!D13+1),0))/365.2425</f>
        <v>8.9146252147545813</v>
      </c>
      <c r="Q109" s="9">
        <f>SUM(IF(Career_History!G14=TRUE,IF(A109&lt;Career_History!D14,0,MIN(A109,Career_History!E14)-Career_History!D14+1),0),IF(Career_History!G15=TRUE,IF(A109&lt;Career_History!D15,0,MIN(A109,Career_History!E15)-Career_History!D15+1),0))/365.2425</f>
        <v>38.17189949143377</v>
      </c>
      <c r="R109" s="9">
        <f>SUM(IF(Career_History!I14=TRUE,IF(A109&lt;Career_History!D14,0,MIN(A109,Career_History!E14)-Career_History!D14+1),0),IF(Career_History!I15=TRUE,IF(A109&lt;Career_History!D15,0,MIN(A109,Career_History!E15)-Career_History!D15+1),0))/365.2425</f>
        <v>0</v>
      </c>
      <c r="S109" s="9">
        <f>SUM(IF(Career_History!H14=TRUE,IF(A109&lt;Career_History!D14,0,MIN(A109,Career_History!E14)-Career_History!D14+1),0),IF(Career_History!H15=TRUE,IF(A109&lt;Career_History!D15,0,MIN(A109,Career_History!E15)-Career_History!D15+1),0))/365.2425</f>
        <v>38.17189949143377</v>
      </c>
      <c r="T109" s="9">
        <f>SUM(IF(Career_History!G16=TRUE,IF(A109&lt;Career_History!D16,0,MIN(A109,Career_History!E16)-Career_History!D16+1),0),IF(Career_History!G17=TRUE,IF(A109&lt;Career_History!D17,0,MIN(A109,Career_History!E17)-Career_History!D17+1),0))/365.2425</f>
        <v>28.41947473254071</v>
      </c>
      <c r="U109" s="9">
        <f>SUM(IF(Career_History!I16=TRUE,IF(A109&lt;Career_History!D16,0,MIN(A109,Career_History!E16)-Career_History!D16+1),0),IF(Career_History!I17=TRUE,IF(A109&lt;Career_History!D17,0,MIN(A109,Career_History!E17)-Career_History!D17+1),0))/365.2425</f>
        <v>21.506259539894728</v>
      </c>
      <c r="V109" s="9">
        <f>SUM(IF(Career_History!H16=TRUE,IF(A109&lt;Career_History!D16,0,MIN(A109,Career_History!E16)-Career_History!D16+1),0),IF(Career_History!H17=TRUE,IF(A109&lt;Career_History!D17,0,MIN(A109,Career_History!E17)-Career_History!D17+1),0))/365.2425</f>
        <v>28.41947473254071</v>
      </c>
      <c r="W109" s="9">
        <f>SUM(IF(Career_History!G18=TRUE,IF(A109&lt;Career_History!D18,0,MIN(A109,Career_History!E18)-Career_History!D18+1),0),IF(Career_History!G19=TRUE,IF(A109&lt;Career_History!D19,0,MIN(A109,Career_History!E19)-Career_History!D19+1),0),IF(Career_History!G20=TRUE,IF(A109&lt;Career_History!D20,0,MIN(A109,Career_History!E20)-Career_History!D20+1),0))/365.2425</f>
        <v>35.417565042403332</v>
      </c>
      <c r="X109" s="9">
        <f>SUM(IF(Career_History!I18=TRUE,IF(A109&lt;Career_History!D18,0,MIN(A109,Career_History!E18)-Career_History!D18+1),0),IF(Career_History!I19=TRUE,IF(A109&lt;Career_History!D19,0,MIN(A109,Career_History!E19)-Career_History!D19+1),0),IF(Career_History!I20=TRUE,IF(A109&lt;Career_History!D20,0,MIN(A109,Career_History!E20)-Career_History!D20+1),0))/365.2425</f>
        <v>0</v>
      </c>
      <c r="Y109" s="9">
        <f>SUM(IF(Career_History!H18=TRUE,IF(A109&lt;Career_History!D18,0,MIN(A109,Career_History!E18)-Career_History!D18+1),0),IF(Career_History!H19=TRUE,IF(A109&lt;Career_History!D19,0,MIN(A109,Career_History!E19)-Career_History!D19+1),0),IF(Career_History!H20=TRUE,IF(A109&lt;Career_History!D20,0,MIN(A109,Career_History!E20)-Career_History!D20+1),0))/365.2425</f>
        <v>5.8399556459064863</v>
      </c>
      <c r="Z109" s="9">
        <f>SUM(IF(Career_History!G21=TRUE,IF(A109&lt;Career_History!D21,0,MIN(A109,Career_History!E21)-Career_History!D21+1),0),IF(Career_History!G22=TRUE,IF(A109&lt;Career_History!D22,0,MIN(A109,Career_History!E22)-Career_History!D22+1),0),IF(Career_History!G23=TRUE,IF(A109&lt;Career_History!D23,0,MIN(A109,Career_History!E23)-Career_History!D23+1),0),IF(Career_History!G24=TRUE,IF(A109&lt;Career_History!D24,0,MIN(A109,Career_History!E24)-Career_History!D24+1),0))/365.2425</f>
        <v>32.41955686975092</v>
      </c>
      <c r="AA109" s="9">
        <f>SUM(IF(Career_History!I21=TRUE,IF(A109&lt;Career_History!D21,0,MIN(A109,Career_History!E21)-Career_History!D21+1),0),IF(Career_History!I22=TRUE,IF(A109&lt;Career_History!D22,0,MIN(A109,Career_History!E22)-Career_History!D22+1),0),IF(Career_History!I23=TRUE,IF(A109&lt;Career_History!D23,0,MIN(A109,Career_History!E23)-Career_History!D23+1),0),IF(Career_History!I24=TRUE,IF(A109&lt;Career_History!D24,0,MIN(A109,Career_History!E24)-Career_History!D24+1),0))/365.2425</f>
        <v>26.505677734655741</v>
      </c>
      <c r="AB109" s="9">
        <f>SUM(IF(Career_History!H21=TRUE,IF(A109&lt;Career_History!D21,0,MIN(A109,Career_History!E21)-Career_History!D21+1),0),IF(Career_History!H22=TRUE,IF(A109&lt;Career_History!D22,0,MIN(A109,Career_History!E22)-Career_History!D22+1),0),IF(Career_History!H23=TRUE,IF(A109&lt;Career_History!D23,0,MIN(A109,Career_History!E23)-Career_History!D23+1),0),IF(Career_History!H24=TRUE,IF(A109&lt;Career_History!D24,0,MIN(A109,Career_History!E24)-Career_History!D24+1),0))/365.2425</f>
        <v>23.33518142056305</v>
      </c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</row>
    <row r="110" spans="1:67">
      <c r="A110" s="8">
        <v>37986</v>
      </c>
      <c r="B110" s="9">
        <f t="shared" si="3"/>
        <v>33.454485718392576</v>
      </c>
      <c r="C110" s="9">
        <f t="shared" si="4"/>
        <v>9.6023874549100938</v>
      </c>
      <c r="D110" s="9">
        <f t="shared" si="5"/>
        <v>21.021102418256362</v>
      </c>
      <c r="E110" s="9"/>
      <c r="F110" s="9"/>
      <c r="G110" s="9"/>
      <c r="H110" s="9"/>
      <c r="I110" s="9"/>
      <c r="J110" s="9"/>
      <c r="K110" s="9"/>
      <c r="L110" s="9"/>
      <c r="M110" s="9"/>
      <c r="N110" s="9">
        <f>SUM(IF(Career_History!G12=TRUE,IF(A110&lt;Career_History!D12,0,MIN(A110,Career_History!E12)-Career_History!D12+1),0),IF(Career_History!G13=TRUE,IF(A110&lt;Career_History!D13,0,MIN(A110,Career_History!E13)-Career_History!D13+1),0))/365.2425</f>
        <v>32.50443198696756</v>
      </c>
      <c r="O110" s="9">
        <f>SUM(IF(Career_History!I12=TRUE,IF(A110&lt;Career_History!D12,0,MIN(A110,Career_History!E12)-Career_History!D12+1),0),IF(Career_History!I13=TRUE,IF(A110&lt;Career_History!D13,0,MIN(A110,Career_History!E13)-Career_History!D13+1),0))/365.2425</f>
        <v>0</v>
      </c>
      <c r="P110" s="9">
        <f>SUM(IF(Career_History!H12=TRUE,IF(A110&lt;Career_History!D12,0,MIN(A110,Career_History!E12)-Career_History!D12+1),0),IF(Career_History!H13=TRUE,IF(A110&lt;Career_History!D13,0,MIN(A110,Career_History!E13)-Career_History!D13+1),0))/365.2425</f>
        <v>8.999500331971225</v>
      </c>
      <c r="Q110" s="9">
        <f>SUM(IF(Career_History!G14=TRUE,IF(A110&lt;Career_History!D14,0,MIN(A110,Career_History!E14)-Career_History!D14+1),0),IF(Career_History!G15=TRUE,IF(A110&lt;Career_History!D15,0,MIN(A110,Career_History!E15)-Career_History!D15+1),0))/365.2425</f>
        <v>38.256774608650417</v>
      </c>
      <c r="R110" s="9">
        <f>SUM(IF(Career_History!I14=TRUE,IF(A110&lt;Career_History!D14,0,MIN(A110,Career_History!E14)-Career_History!D14+1),0),IF(Career_History!I15=TRUE,IF(A110&lt;Career_History!D15,0,MIN(A110,Career_History!E15)-Career_History!D15+1),0))/365.2425</f>
        <v>0</v>
      </c>
      <c r="S110" s="9">
        <f>SUM(IF(Career_History!H14=TRUE,IF(A110&lt;Career_History!D14,0,MIN(A110,Career_History!E14)-Career_History!D14+1),0),IF(Career_History!H15=TRUE,IF(A110&lt;Career_History!D15,0,MIN(A110,Career_History!E15)-Career_History!D15+1),0))/365.2425</f>
        <v>38.256774608650417</v>
      </c>
      <c r="T110" s="9">
        <f>SUM(IF(Career_History!G16=TRUE,IF(A110&lt;Career_History!D16,0,MIN(A110,Career_History!E16)-Career_History!D16+1),0),IF(Career_History!G17=TRUE,IF(A110&lt;Career_History!D17,0,MIN(A110,Career_History!E17)-Career_History!D17+1),0))/365.2425</f>
        <v>28.504349849757354</v>
      </c>
      <c r="U110" s="9">
        <f>SUM(IF(Career_History!I16=TRUE,IF(A110&lt;Career_History!D16,0,MIN(A110,Career_History!E16)-Career_History!D16+1),0),IF(Career_History!I17=TRUE,IF(A110&lt;Career_History!D17,0,MIN(A110,Career_History!E17)-Career_History!D17+1),0))/365.2425</f>
        <v>21.506259539894728</v>
      </c>
      <c r="V110" s="9">
        <f>SUM(IF(Career_History!H16=TRUE,IF(A110&lt;Career_History!D16,0,MIN(A110,Career_History!E16)-Career_History!D16+1),0),IF(Career_History!H17=TRUE,IF(A110&lt;Career_History!D17,0,MIN(A110,Career_History!E17)-Career_History!D17+1),0))/365.2425</f>
        <v>28.504349849757354</v>
      </c>
      <c r="W110" s="9">
        <f>SUM(IF(Career_History!G18=TRUE,IF(A110&lt;Career_History!D18,0,MIN(A110,Career_History!E18)-Career_History!D18+1),0),IF(Career_History!G19=TRUE,IF(A110&lt;Career_History!D19,0,MIN(A110,Career_History!E19)-Career_History!D19+1),0),IF(Career_History!G20=TRUE,IF(A110&lt;Career_History!D20,0,MIN(A110,Career_History!E20)-Career_History!D20+1),0))/365.2425</f>
        <v>35.502440159619979</v>
      </c>
      <c r="X110" s="9">
        <f>SUM(IF(Career_History!I18=TRUE,IF(A110&lt;Career_History!D18,0,MIN(A110,Career_History!E18)-Career_History!D18+1),0),IF(Career_History!I19=TRUE,IF(A110&lt;Career_History!D19,0,MIN(A110,Career_History!E19)-Career_History!D19+1),0),IF(Career_History!I20=TRUE,IF(A110&lt;Career_History!D20,0,MIN(A110,Career_History!E20)-Career_History!D20+1),0))/365.2425</f>
        <v>0</v>
      </c>
      <c r="Y110" s="9">
        <f>SUM(IF(Career_History!H18=TRUE,IF(A110&lt;Career_History!D18,0,MIN(A110,Career_History!E18)-Career_History!D18+1),0),IF(Career_History!H19=TRUE,IF(A110&lt;Career_History!D19,0,MIN(A110,Career_History!E19)-Career_History!D19+1),0),IF(Career_History!H20=TRUE,IF(A110&lt;Career_History!D20,0,MIN(A110,Career_History!E20)-Career_History!D20+1),0))/365.2425</f>
        <v>5.9248307631231301</v>
      </c>
      <c r="Z110" s="9">
        <f>SUM(IF(Career_History!G21=TRUE,IF(A110&lt;Career_History!D21,0,MIN(A110,Career_History!E21)-Career_History!D21+1),0),IF(Career_History!G22=TRUE,IF(A110&lt;Career_History!D22,0,MIN(A110,Career_History!E22)-Career_History!D22+1),0),IF(Career_History!G23=TRUE,IF(A110&lt;Career_History!D23,0,MIN(A110,Career_History!E23)-Career_History!D23+1),0),IF(Career_History!G24=TRUE,IF(A110&lt;Career_History!D24,0,MIN(A110,Career_History!E24)-Career_History!D24+1),0))/365.2425</f>
        <v>32.50443198696756</v>
      </c>
      <c r="AA110" s="9">
        <f>SUM(IF(Career_History!I21=TRUE,IF(A110&lt;Career_History!D21,0,MIN(A110,Career_History!E21)-Career_History!D21+1),0),IF(Career_History!I22=TRUE,IF(A110&lt;Career_History!D22,0,MIN(A110,Career_History!E22)-Career_History!D22+1),0),IF(Career_History!I23=TRUE,IF(A110&lt;Career_History!D23,0,MIN(A110,Career_History!E23)-Career_History!D23+1),0),IF(Career_History!I24=TRUE,IF(A110&lt;Career_History!D24,0,MIN(A110,Career_History!E24)-Career_History!D24+1),0))/365.2425</f>
        <v>26.505677734655741</v>
      </c>
      <c r="AB110" s="9">
        <f>SUM(IF(Career_History!H21=TRUE,IF(A110&lt;Career_History!D21,0,MIN(A110,Career_History!E21)-Career_History!D21+1),0),IF(Career_History!H22=TRUE,IF(A110&lt;Career_History!D22,0,MIN(A110,Career_History!E22)-Career_History!D22+1),0),IF(Career_History!H23=TRUE,IF(A110&lt;Career_History!D23,0,MIN(A110,Career_History!E23)-Career_History!D23+1),0),IF(Career_History!H24=TRUE,IF(A110&lt;Career_History!D24,0,MIN(A110,Career_History!E24)-Career_History!D24+1),0))/365.2425</f>
        <v>23.420056537779693</v>
      </c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</row>
    <row r="111" spans="1:67">
      <c r="A111" s="8">
        <v>38017</v>
      </c>
      <c r="B111" s="9">
        <f t="shared" si="3"/>
        <v>33.539360835609216</v>
      </c>
      <c r="C111" s="9">
        <f t="shared" si="4"/>
        <v>9.6023874549100938</v>
      </c>
      <c r="D111" s="9">
        <f t="shared" si="5"/>
        <v>21.105977535473009</v>
      </c>
      <c r="E111" s="9"/>
      <c r="F111" s="9"/>
      <c r="G111" s="9"/>
      <c r="H111" s="9"/>
      <c r="I111" s="9"/>
      <c r="J111" s="9"/>
      <c r="K111" s="9"/>
      <c r="L111" s="9"/>
      <c r="M111" s="9"/>
      <c r="N111" s="9">
        <f>SUM(IF(Career_History!G12=TRUE,IF(A111&lt;Career_History!D12,0,MIN(A111,Career_History!E12)-Career_History!D12+1),0),IF(Career_History!G13=TRUE,IF(A111&lt;Career_History!D13,0,MIN(A111,Career_History!E13)-Career_History!D13+1),0))/365.2425</f>
        <v>32.589307104184208</v>
      </c>
      <c r="O111" s="9">
        <f>SUM(IF(Career_History!I12=TRUE,IF(A111&lt;Career_History!D12,0,MIN(A111,Career_History!E12)-Career_History!D12+1),0),IF(Career_History!I13=TRUE,IF(A111&lt;Career_History!D13,0,MIN(A111,Career_History!E13)-Career_History!D13+1),0))/365.2425</f>
        <v>0</v>
      </c>
      <c r="P111" s="9">
        <f>SUM(IF(Career_History!H12=TRUE,IF(A111&lt;Career_History!D12,0,MIN(A111,Career_History!E12)-Career_History!D12+1),0),IF(Career_History!H13=TRUE,IF(A111&lt;Career_History!D13,0,MIN(A111,Career_History!E13)-Career_History!D13+1),0))/365.2425</f>
        <v>9.0843754491878688</v>
      </c>
      <c r="Q111" s="9">
        <f>SUM(IF(Career_History!G14=TRUE,IF(A111&lt;Career_History!D14,0,MIN(A111,Career_History!E14)-Career_History!D14+1),0),IF(Career_History!G15=TRUE,IF(A111&lt;Career_History!D15,0,MIN(A111,Career_History!E15)-Career_History!D15+1),0))/365.2425</f>
        <v>38.341649725867057</v>
      </c>
      <c r="R111" s="9">
        <f>SUM(IF(Career_History!I14=TRUE,IF(A111&lt;Career_History!D14,0,MIN(A111,Career_History!E14)-Career_History!D14+1),0),IF(Career_History!I15=TRUE,IF(A111&lt;Career_History!D15,0,MIN(A111,Career_History!E15)-Career_History!D15+1),0))/365.2425</f>
        <v>0</v>
      </c>
      <c r="S111" s="9">
        <f>SUM(IF(Career_History!H14=TRUE,IF(A111&lt;Career_History!D14,0,MIN(A111,Career_History!E14)-Career_History!D14+1),0),IF(Career_History!H15=TRUE,IF(A111&lt;Career_History!D15,0,MIN(A111,Career_History!E15)-Career_History!D15+1),0))/365.2425</f>
        <v>38.341649725867057</v>
      </c>
      <c r="T111" s="9">
        <f>SUM(IF(Career_History!G16=TRUE,IF(A111&lt;Career_History!D16,0,MIN(A111,Career_History!E16)-Career_History!D16+1),0),IF(Career_History!G17=TRUE,IF(A111&lt;Career_History!D17,0,MIN(A111,Career_History!E17)-Career_History!D17+1),0))/365.2425</f>
        <v>28.589224966973998</v>
      </c>
      <c r="U111" s="9">
        <f>SUM(IF(Career_History!I16=TRUE,IF(A111&lt;Career_History!D16,0,MIN(A111,Career_History!E16)-Career_History!D16+1),0),IF(Career_History!I17=TRUE,IF(A111&lt;Career_History!D17,0,MIN(A111,Career_History!E17)-Career_History!D17+1),0))/365.2425</f>
        <v>21.506259539894728</v>
      </c>
      <c r="V111" s="9">
        <f>SUM(IF(Career_History!H16=TRUE,IF(A111&lt;Career_History!D16,0,MIN(A111,Career_History!E16)-Career_History!D16+1),0),IF(Career_History!H17=TRUE,IF(A111&lt;Career_History!D17,0,MIN(A111,Career_History!E17)-Career_History!D17+1),0))/365.2425</f>
        <v>28.589224966973998</v>
      </c>
      <c r="W111" s="9">
        <f>SUM(IF(Career_History!G18=TRUE,IF(A111&lt;Career_History!D18,0,MIN(A111,Career_History!E18)-Career_History!D18+1),0),IF(Career_History!G19=TRUE,IF(A111&lt;Career_History!D19,0,MIN(A111,Career_History!E19)-Career_History!D19+1),0),IF(Career_History!G20=TRUE,IF(A111&lt;Career_History!D20,0,MIN(A111,Career_History!E20)-Career_History!D20+1),0))/365.2425</f>
        <v>35.58731527683662</v>
      </c>
      <c r="X111" s="9">
        <f>SUM(IF(Career_History!I18=TRUE,IF(A111&lt;Career_History!D18,0,MIN(A111,Career_History!E18)-Career_History!D18+1),0),IF(Career_History!I19=TRUE,IF(A111&lt;Career_History!D19,0,MIN(A111,Career_History!E19)-Career_History!D19+1),0),IF(Career_History!I20=TRUE,IF(A111&lt;Career_History!D20,0,MIN(A111,Career_History!E20)-Career_History!D20+1),0))/365.2425</f>
        <v>0</v>
      </c>
      <c r="Y111" s="9">
        <f>SUM(IF(Career_History!H18=TRUE,IF(A111&lt;Career_History!D18,0,MIN(A111,Career_History!E18)-Career_History!D18+1),0),IF(Career_History!H19=TRUE,IF(A111&lt;Career_History!D19,0,MIN(A111,Career_History!E19)-Career_History!D19+1),0),IF(Career_History!H20=TRUE,IF(A111&lt;Career_History!D20,0,MIN(A111,Career_History!E20)-Career_History!D20+1),0))/365.2425</f>
        <v>6.0097058803397738</v>
      </c>
      <c r="Z111" s="9">
        <f>SUM(IF(Career_History!G21=TRUE,IF(A111&lt;Career_History!D21,0,MIN(A111,Career_History!E21)-Career_History!D21+1),0),IF(Career_History!G22=TRUE,IF(A111&lt;Career_History!D22,0,MIN(A111,Career_History!E22)-Career_History!D22+1),0),IF(Career_History!G23=TRUE,IF(A111&lt;Career_History!D23,0,MIN(A111,Career_History!E23)-Career_History!D23+1),0),IF(Career_History!G24=TRUE,IF(A111&lt;Career_History!D24,0,MIN(A111,Career_History!E24)-Career_History!D24+1),0))/365.2425</f>
        <v>32.589307104184208</v>
      </c>
      <c r="AA111" s="9">
        <f>SUM(IF(Career_History!I21=TRUE,IF(A111&lt;Career_History!D21,0,MIN(A111,Career_History!E21)-Career_History!D21+1),0),IF(Career_History!I22=TRUE,IF(A111&lt;Career_History!D22,0,MIN(A111,Career_History!E22)-Career_History!D22+1),0),IF(Career_History!I23=TRUE,IF(A111&lt;Career_History!D23,0,MIN(A111,Career_History!E23)-Career_History!D23+1),0),IF(Career_History!I24=TRUE,IF(A111&lt;Career_History!D24,0,MIN(A111,Career_History!E24)-Career_History!D24+1),0))/365.2425</f>
        <v>26.505677734655741</v>
      </c>
      <c r="AB111" s="9">
        <f>SUM(IF(Career_History!H21=TRUE,IF(A111&lt;Career_History!D21,0,MIN(A111,Career_History!E21)-Career_History!D21+1),0),IF(Career_History!H22=TRUE,IF(A111&lt;Career_History!D22,0,MIN(A111,Career_History!E22)-Career_History!D22+1),0),IF(Career_History!H23=TRUE,IF(A111&lt;Career_History!D23,0,MIN(A111,Career_History!E23)-Career_History!D23+1),0),IF(Career_History!H24=TRUE,IF(A111&lt;Career_History!D24,0,MIN(A111,Career_History!E24)-Career_History!D24+1),0))/365.2425</f>
        <v>23.504931654996337</v>
      </c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</row>
    <row r="112" spans="1:67">
      <c r="A112" s="8">
        <v>38046</v>
      </c>
      <c r="B112" s="9">
        <f t="shared" si="3"/>
        <v>33.618760138811886</v>
      </c>
      <c r="C112" s="9">
        <f t="shared" si="4"/>
        <v>9.6023874549100938</v>
      </c>
      <c r="D112" s="9">
        <f t="shared" si="5"/>
        <v>21.185376838675673</v>
      </c>
      <c r="E112" s="9"/>
      <c r="F112" s="9"/>
      <c r="G112" s="9"/>
      <c r="H112" s="9"/>
      <c r="I112" s="9"/>
      <c r="J112" s="9"/>
      <c r="K112" s="9"/>
      <c r="L112" s="9"/>
      <c r="M112" s="9"/>
      <c r="N112" s="9">
        <f>SUM(IF(Career_History!G12=TRUE,IF(A112&lt;Career_History!D12,0,MIN(A112,Career_History!E12)-Career_History!D12+1),0),IF(Career_History!G13=TRUE,IF(A112&lt;Career_History!D13,0,MIN(A112,Career_History!E13)-Career_History!D13+1),0))/365.2425</f>
        <v>32.668706407386871</v>
      </c>
      <c r="O112" s="9">
        <f>SUM(IF(Career_History!I12=TRUE,IF(A112&lt;Career_History!D12,0,MIN(A112,Career_History!E12)-Career_History!D12+1),0),IF(Career_History!I13=TRUE,IF(A112&lt;Career_History!D13,0,MIN(A112,Career_History!E13)-Career_History!D13+1),0))/365.2425</f>
        <v>0</v>
      </c>
      <c r="P112" s="9">
        <f>SUM(IF(Career_History!H12=TRUE,IF(A112&lt;Career_History!D12,0,MIN(A112,Career_History!E12)-Career_History!D12+1),0),IF(Career_History!H13=TRUE,IF(A112&lt;Career_History!D13,0,MIN(A112,Career_History!E13)-Career_History!D13+1),0))/365.2425</f>
        <v>9.1637747523905357</v>
      </c>
      <c r="Q112" s="9">
        <f>SUM(IF(Career_History!G14=TRUE,IF(A112&lt;Career_History!D14,0,MIN(A112,Career_History!E14)-Career_History!D14+1),0),IF(Career_History!G15=TRUE,IF(A112&lt;Career_History!D15,0,MIN(A112,Career_History!E15)-Career_History!D15+1),0))/365.2425</f>
        <v>38.421049029069728</v>
      </c>
      <c r="R112" s="9">
        <f>SUM(IF(Career_History!I14=TRUE,IF(A112&lt;Career_History!D14,0,MIN(A112,Career_History!E14)-Career_History!D14+1),0),IF(Career_History!I15=TRUE,IF(A112&lt;Career_History!D15,0,MIN(A112,Career_History!E15)-Career_History!D15+1),0))/365.2425</f>
        <v>0</v>
      </c>
      <c r="S112" s="9">
        <f>SUM(IF(Career_History!H14=TRUE,IF(A112&lt;Career_History!D14,0,MIN(A112,Career_History!E14)-Career_History!D14+1),0),IF(Career_History!H15=TRUE,IF(A112&lt;Career_History!D15,0,MIN(A112,Career_History!E15)-Career_History!D15+1),0))/365.2425</f>
        <v>38.421049029069728</v>
      </c>
      <c r="T112" s="9">
        <f>SUM(IF(Career_History!G16=TRUE,IF(A112&lt;Career_History!D16,0,MIN(A112,Career_History!E16)-Career_History!D16+1),0),IF(Career_History!G17=TRUE,IF(A112&lt;Career_History!D17,0,MIN(A112,Career_History!E17)-Career_History!D17+1),0))/365.2425</f>
        <v>28.668624270176664</v>
      </c>
      <c r="U112" s="9">
        <f>SUM(IF(Career_History!I16=TRUE,IF(A112&lt;Career_History!D16,0,MIN(A112,Career_History!E16)-Career_History!D16+1),0),IF(Career_History!I17=TRUE,IF(A112&lt;Career_History!D17,0,MIN(A112,Career_History!E17)-Career_History!D17+1),0))/365.2425</f>
        <v>21.506259539894728</v>
      </c>
      <c r="V112" s="9">
        <f>SUM(IF(Career_History!H16=TRUE,IF(A112&lt;Career_History!D16,0,MIN(A112,Career_History!E16)-Career_History!D16+1),0),IF(Career_History!H17=TRUE,IF(A112&lt;Career_History!D17,0,MIN(A112,Career_History!E17)-Career_History!D17+1),0))/365.2425</f>
        <v>28.668624270176664</v>
      </c>
      <c r="W112" s="9">
        <f>SUM(IF(Career_History!G18=TRUE,IF(A112&lt;Career_History!D18,0,MIN(A112,Career_History!E18)-Career_History!D18+1),0),IF(Career_History!G19=TRUE,IF(A112&lt;Career_History!D19,0,MIN(A112,Career_History!E19)-Career_History!D19+1),0),IF(Career_History!G20=TRUE,IF(A112&lt;Career_History!D20,0,MIN(A112,Career_History!E20)-Career_History!D20+1),0))/365.2425</f>
        <v>35.66671458003929</v>
      </c>
      <c r="X112" s="9">
        <f>SUM(IF(Career_History!I18=TRUE,IF(A112&lt;Career_History!D18,0,MIN(A112,Career_History!E18)-Career_History!D18+1),0),IF(Career_History!I19=TRUE,IF(A112&lt;Career_History!D19,0,MIN(A112,Career_History!E19)-Career_History!D19+1),0),IF(Career_History!I20=TRUE,IF(A112&lt;Career_History!D20,0,MIN(A112,Career_History!E20)-Career_History!D20+1),0))/365.2425</f>
        <v>0</v>
      </c>
      <c r="Y112" s="9">
        <f>SUM(IF(Career_History!H18=TRUE,IF(A112&lt;Career_History!D18,0,MIN(A112,Career_History!E18)-Career_History!D18+1),0),IF(Career_History!H19=TRUE,IF(A112&lt;Career_History!D19,0,MIN(A112,Career_History!E19)-Career_History!D19+1),0),IF(Career_History!H20=TRUE,IF(A112&lt;Career_History!D20,0,MIN(A112,Career_History!E20)-Career_History!D20+1),0))/365.2425</f>
        <v>6.0891051835424408</v>
      </c>
      <c r="Z112" s="9">
        <f>SUM(IF(Career_History!G21=TRUE,IF(A112&lt;Career_History!D21,0,MIN(A112,Career_History!E21)-Career_History!D21+1),0),IF(Career_History!G22=TRUE,IF(A112&lt;Career_History!D22,0,MIN(A112,Career_History!E22)-Career_History!D22+1),0),IF(Career_History!G23=TRUE,IF(A112&lt;Career_History!D23,0,MIN(A112,Career_History!E23)-Career_History!D23+1),0),IF(Career_History!G24=TRUE,IF(A112&lt;Career_History!D24,0,MIN(A112,Career_History!E24)-Career_History!D24+1),0))/365.2425</f>
        <v>32.668706407386871</v>
      </c>
      <c r="AA112" s="9">
        <f>SUM(IF(Career_History!I21=TRUE,IF(A112&lt;Career_History!D21,0,MIN(A112,Career_History!E21)-Career_History!D21+1),0),IF(Career_History!I22=TRUE,IF(A112&lt;Career_History!D22,0,MIN(A112,Career_History!E22)-Career_History!D22+1),0),IF(Career_History!I23=TRUE,IF(A112&lt;Career_History!D23,0,MIN(A112,Career_History!E23)-Career_History!D23+1),0),IF(Career_History!I24=TRUE,IF(A112&lt;Career_History!D24,0,MIN(A112,Career_History!E24)-Career_History!D24+1),0))/365.2425</f>
        <v>26.505677734655741</v>
      </c>
      <c r="AB112" s="9">
        <f>SUM(IF(Career_History!H21=TRUE,IF(A112&lt;Career_History!D21,0,MIN(A112,Career_History!E21)-Career_History!D21+1),0),IF(Career_History!H22=TRUE,IF(A112&lt;Career_History!D22,0,MIN(A112,Career_History!E22)-Career_History!D22+1),0),IF(Career_History!H23=TRUE,IF(A112&lt;Career_History!D23,0,MIN(A112,Career_History!E23)-Career_History!D23+1),0),IF(Career_History!H24=TRUE,IF(A112&lt;Career_History!D24,0,MIN(A112,Career_History!E24)-Career_History!D24+1),0))/365.2425</f>
        <v>23.584330958199004</v>
      </c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</row>
    <row r="113" spans="1:67">
      <c r="A113" s="8">
        <v>38077</v>
      </c>
      <c r="B113" s="9">
        <f t="shared" si="3"/>
        <v>33.703635256028534</v>
      </c>
      <c r="C113" s="9">
        <f t="shared" si="4"/>
        <v>9.6023874549100938</v>
      </c>
      <c r="D113" s="9">
        <f t="shared" si="5"/>
        <v>21.270251955892316</v>
      </c>
      <c r="E113" s="9"/>
      <c r="F113" s="9"/>
      <c r="G113" s="9"/>
      <c r="H113" s="9"/>
      <c r="I113" s="9"/>
      <c r="J113" s="9"/>
      <c r="K113" s="9"/>
      <c r="L113" s="9"/>
      <c r="M113" s="9"/>
      <c r="N113" s="9">
        <f>SUM(IF(Career_History!G12=TRUE,IF(A113&lt;Career_History!D12,0,MIN(A113,Career_History!E12)-Career_History!D12+1),0),IF(Career_History!G13=TRUE,IF(A113&lt;Career_History!D13,0,MIN(A113,Career_History!E13)-Career_History!D13+1),0))/365.2425</f>
        <v>32.753581524603518</v>
      </c>
      <c r="O113" s="9">
        <f>SUM(IF(Career_History!I12=TRUE,IF(A113&lt;Career_History!D12,0,MIN(A113,Career_History!E12)-Career_History!D12+1),0),IF(Career_History!I13=TRUE,IF(A113&lt;Career_History!D13,0,MIN(A113,Career_History!E13)-Career_History!D13+1),0))/365.2425</f>
        <v>0</v>
      </c>
      <c r="P113" s="9">
        <f>SUM(IF(Career_History!H12=TRUE,IF(A113&lt;Career_History!D12,0,MIN(A113,Career_History!E12)-Career_History!D12+1),0),IF(Career_History!H13=TRUE,IF(A113&lt;Career_History!D13,0,MIN(A113,Career_History!E13)-Career_History!D13+1),0))/365.2425</f>
        <v>9.2486498696071795</v>
      </c>
      <c r="Q113" s="9">
        <f>SUM(IF(Career_History!G14=TRUE,IF(A113&lt;Career_History!D14,0,MIN(A113,Career_History!E14)-Career_History!D14+1),0),IF(Career_History!G15=TRUE,IF(A113&lt;Career_History!D15,0,MIN(A113,Career_History!E15)-Career_History!D15+1),0))/365.2425</f>
        <v>38.505924146286368</v>
      </c>
      <c r="R113" s="9">
        <f>SUM(IF(Career_History!I14=TRUE,IF(A113&lt;Career_History!D14,0,MIN(A113,Career_History!E14)-Career_History!D14+1),0),IF(Career_History!I15=TRUE,IF(A113&lt;Career_History!D15,0,MIN(A113,Career_History!E15)-Career_History!D15+1),0))/365.2425</f>
        <v>0</v>
      </c>
      <c r="S113" s="9">
        <f>SUM(IF(Career_History!H14=TRUE,IF(A113&lt;Career_History!D14,0,MIN(A113,Career_History!E14)-Career_History!D14+1),0),IF(Career_History!H15=TRUE,IF(A113&lt;Career_History!D15,0,MIN(A113,Career_History!E15)-Career_History!D15+1),0))/365.2425</f>
        <v>38.505924146286368</v>
      </c>
      <c r="T113" s="9">
        <f>SUM(IF(Career_History!G16=TRUE,IF(A113&lt;Career_History!D16,0,MIN(A113,Career_History!E16)-Career_History!D16+1),0),IF(Career_History!G17=TRUE,IF(A113&lt;Career_History!D17,0,MIN(A113,Career_History!E17)-Career_History!D17+1),0))/365.2425</f>
        <v>28.753499387393308</v>
      </c>
      <c r="U113" s="9">
        <f>SUM(IF(Career_History!I16=TRUE,IF(A113&lt;Career_History!D16,0,MIN(A113,Career_History!E16)-Career_History!D16+1),0),IF(Career_History!I17=TRUE,IF(A113&lt;Career_History!D17,0,MIN(A113,Career_History!E17)-Career_History!D17+1),0))/365.2425</f>
        <v>21.506259539894728</v>
      </c>
      <c r="V113" s="9">
        <f>SUM(IF(Career_History!H16=TRUE,IF(A113&lt;Career_History!D16,0,MIN(A113,Career_History!E16)-Career_History!D16+1),0),IF(Career_History!H17=TRUE,IF(A113&lt;Career_History!D17,0,MIN(A113,Career_History!E17)-Career_History!D17+1),0))/365.2425</f>
        <v>28.753499387393308</v>
      </c>
      <c r="W113" s="9">
        <f>SUM(IF(Career_History!G18=TRUE,IF(A113&lt;Career_History!D18,0,MIN(A113,Career_History!E18)-Career_History!D18+1),0),IF(Career_History!G19=TRUE,IF(A113&lt;Career_History!D19,0,MIN(A113,Career_History!E19)-Career_History!D19+1),0),IF(Career_History!G20=TRUE,IF(A113&lt;Career_History!D20,0,MIN(A113,Career_History!E20)-Career_History!D20+1),0))/365.2425</f>
        <v>35.75158969725593</v>
      </c>
      <c r="X113" s="9">
        <f>SUM(IF(Career_History!I18=TRUE,IF(A113&lt;Career_History!D18,0,MIN(A113,Career_History!E18)-Career_History!D18+1),0),IF(Career_History!I19=TRUE,IF(A113&lt;Career_History!D19,0,MIN(A113,Career_History!E19)-Career_History!D19+1),0),IF(Career_History!I20=TRUE,IF(A113&lt;Career_History!D20,0,MIN(A113,Career_History!E20)-Career_History!D20+1),0))/365.2425</f>
        <v>0</v>
      </c>
      <c r="Y113" s="9">
        <f>SUM(IF(Career_History!H18=TRUE,IF(A113&lt;Career_History!D18,0,MIN(A113,Career_History!E18)-Career_History!D18+1),0),IF(Career_History!H19=TRUE,IF(A113&lt;Career_History!D19,0,MIN(A113,Career_History!E19)-Career_History!D19+1),0),IF(Career_History!H20=TRUE,IF(A113&lt;Career_History!D20,0,MIN(A113,Career_History!E20)-Career_History!D20+1),0))/365.2425</f>
        <v>6.1739803007590845</v>
      </c>
      <c r="Z113" s="9">
        <f>SUM(IF(Career_History!G21=TRUE,IF(A113&lt;Career_History!D21,0,MIN(A113,Career_History!E21)-Career_History!D21+1),0),IF(Career_History!G22=TRUE,IF(A113&lt;Career_History!D22,0,MIN(A113,Career_History!E22)-Career_History!D22+1),0),IF(Career_History!G23=TRUE,IF(A113&lt;Career_History!D23,0,MIN(A113,Career_History!E23)-Career_History!D23+1),0),IF(Career_History!G24=TRUE,IF(A113&lt;Career_History!D24,0,MIN(A113,Career_History!E24)-Career_History!D24+1),0))/365.2425</f>
        <v>32.753581524603518</v>
      </c>
      <c r="AA113" s="9">
        <f>SUM(IF(Career_History!I21=TRUE,IF(A113&lt;Career_History!D21,0,MIN(A113,Career_History!E21)-Career_History!D21+1),0),IF(Career_History!I22=TRUE,IF(A113&lt;Career_History!D22,0,MIN(A113,Career_History!E22)-Career_History!D22+1),0),IF(Career_History!I23=TRUE,IF(A113&lt;Career_History!D23,0,MIN(A113,Career_History!E23)-Career_History!D23+1),0),IF(Career_History!I24=TRUE,IF(A113&lt;Career_History!D24,0,MIN(A113,Career_History!E24)-Career_History!D24+1),0))/365.2425</f>
        <v>26.505677734655741</v>
      </c>
      <c r="AB113" s="9">
        <f>SUM(IF(Career_History!H21=TRUE,IF(A113&lt;Career_History!D21,0,MIN(A113,Career_History!E21)-Career_History!D21+1),0),IF(Career_History!H22=TRUE,IF(A113&lt;Career_History!D22,0,MIN(A113,Career_History!E22)-Career_History!D22+1),0),IF(Career_History!H23=TRUE,IF(A113&lt;Career_History!D23,0,MIN(A113,Career_History!E23)-Career_History!D23+1),0),IF(Career_History!H24=TRUE,IF(A113&lt;Career_History!D24,0,MIN(A113,Career_History!E24)-Career_History!D24+1),0))/365.2425</f>
        <v>23.669206075415648</v>
      </c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</row>
    <row r="114" spans="1:67">
      <c r="A114" s="8">
        <v>38107</v>
      </c>
      <c r="B114" s="9">
        <f t="shared" si="3"/>
        <v>33.785772466238178</v>
      </c>
      <c r="C114" s="9">
        <f t="shared" si="4"/>
        <v>9.6023874549100938</v>
      </c>
      <c r="D114" s="9">
        <f t="shared" si="5"/>
        <v>21.352389166101972</v>
      </c>
      <c r="E114" s="9"/>
      <c r="F114" s="9"/>
      <c r="G114" s="9"/>
      <c r="H114" s="9"/>
      <c r="I114" s="9"/>
      <c r="J114" s="9"/>
      <c r="K114" s="9"/>
      <c r="L114" s="9"/>
      <c r="M114" s="9"/>
      <c r="N114" s="9">
        <f>SUM(IF(Career_History!G12=TRUE,IF(A114&lt;Career_History!D12,0,MIN(A114,Career_History!E12)-Career_History!D12+1),0),IF(Career_History!G13=TRUE,IF(A114&lt;Career_History!D13,0,MIN(A114,Career_History!E13)-Career_History!D13+1),0))/365.2425</f>
        <v>32.83571873481317</v>
      </c>
      <c r="O114" s="9">
        <f>SUM(IF(Career_History!I12=TRUE,IF(A114&lt;Career_History!D12,0,MIN(A114,Career_History!E12)-Career_History!D12+1),0),IF(Career_History!I13=TRUE,IF(A114&lt;Career_History!D13,0,MIN(A114,Career_History!E13)-Career_History!D13+1),0))/365.2425</f>
        <v>0</v>
      </c>
      <c r="P114" s="9">
        <f>SUM(IF(Career_History!H12=TRUE,IF(A114&lt;Career_History!D12,0,MIN(A114,Career_History!E12)-Career_History!D12+1),0),IF(Career_History!H13=TRUE,IF(A114&lt;Career_History!D13,0,MIN(A114,Career_History!E13)-Career_History!D13+1),0))/365.2425</f>
        <v>9.3307870798168331</v>
      </c>
      <c r="Q114" s="9">
        <f>SUM(IF(Career_History!G14=TRUE,IF(A114&lt;Career_History!D14,0,MIN(A114,Career_History!E14)-Career_History!D14+1),0),IF(Career_History!G15=TRUE,IF(A114&lt;Career_History!D15,0,MIN(A114,Career_History!E15)-Career_History!D15+1),0))/365.2425</f>
        <v>38.588061356496027</v>
      </c>
      <c r="R114" s="9">
        <f>SUM(IF(Career_History!I14=TRUE,IF(A114&lt;Career_History!D14,0,MIN(A114,Career_History!E14)-Career_History!D14+1),0),IF(Career_History!I15=TRUE,IF(A114&lt;Career_History!D15,0,MIN(A114,Career_History!E15)-Career_History!D15+1),0))/365.2425</f>
        <v>0</v>
      </c>
      <c r="S114" s="9">
        <f>SUM(IF(Career_History!H14=TRUE,IF(A114&lt;Career_History!D14,0,MIN(A114,Career_History!E14)-Career_History!D14+1),0),IF(Career_History!H15=TRUE,IF(A114&lt;Career_History!D15,0,MIN(A114,Career_History!E15)-Career_History!D15+1),0))/365.2425</f>
        <v>38.588061356496027</v>
      </c>
      <c r="T114" s="9">
        <f>SUM(IF(Career_History!G16=TRUE,IF(A114&lt;Career_History!D16,0,MIN(A114,Career_History!E16)-Career_History!D16+1),0),IF(Career_History!G17=TRUE,IF(A114&lt;Career_History!D17,0,MIN(A114,Career_History!E17)-Career_History!D17+1),0))/365.2425</f>
        <v>28.835636597602964</v>
      </c>
      <c r="U114" s="9">
        <f>SUM(IF(Career_History!I16=TRUE,IF(A114&lt;Career_History!D16,0,MIN(A114,Career_History!E16)-Career_History!D16+1),0),IF(Career_History!I17=TRUE,IF(A114&lt;Career_History!D17,0,MIN(A114,Career_History!E17)-Career_History!D17+1),0))/365.2425</f>
        <v>21.506259539894728</v>
      </c>
      <c r="V114" s="9">
        <f>SUM(IF(Career_History!H16=TRUE,IF(A114&lt;Career_History!D16,0,MIN(A114,Career_History!E16)-Career_History!D16+1),0),IF(Career_History!H17=TRUE,IF(A114&lt;Career_History!D17,0,MIN(A114,Career_History!E17)-Career_History!D17+1),0))/365.2425</f>
        <v>28.835636597602964</v>
      </c>
      <c r="W114" s="9">
        <f>SUM(IF(Career_History!G18=TRUE,IF(A114&lt;Career_History!D18,0,MIN(A114,Career_History!E18)-Career_History!D18+1),0),IF(Career_History!G19=TRUE,IF(A114&lt;Career_History!D19,0,MIN(A114,Career_History!E19)-Career_History!D19+1),0),IF(Career_History!G20=TRUE,IF(A114&lt;Career_History!D20,0,MIN(A114,Career_History!E20)-Career_History!D20+1),0))/365.2425</f>
        <v>35.833726907465589</v>
      </c>
      <c r="X114" s="9">
        <f>SUM(IF(Career_History!I18=TRUE,IF(A114&lt;Career_History!D18,0,MIN(A114,Career_History!E18)-Career_History!D18+1),0),IF(Career_History!I19=TRUE,IF(A114&lt;Career_History!D19,0,MIN(A114,Career_History!E19)-Career_History!D19+1),0),IF(Career_History!I20=TRUE,IF(A114&lt;Career_History!D20,0,MIN(A114,Career_History!E20)-Career_History!D20+1),0))/365.2425</f>
        <v>0</v>
      </c>
      <c r="Y114" s="9">
        <f>SUM(IF(Career_History!H18=TRUE,IF(A114&lt;Career_History!D18,0,MIN(A114,Career_History!E18)-Career_History!D18+1),0),IF(Career_History!H19=TRUE,IF(A114&lt;Career_History!D19,0,MIN(A114,Career_History!E19)-Career_History!D19+1),0),IF(Career_History!H20=TRUE,IF(A114&lt;Career_History!D20,0,MIN(A114,Career_History!E20)-Career_History!D20+1),0))/365.2425</f>
        <v>6.2561175109687399</v>
      </c>
      <c r="Z114" s="9">
        <f>SUM(IF(Career_History!G21=TRUE,IF(A114&lt;Career_History!D21,0,MIN(A114,Career_History!E21)-Career_History!D21+1),0),IF(Career_History!G22=TRUE,IF(A114&lt;Career_History!D22,0,MIN(A114,Career_History!E22)-Career_History!D22+1),0),IF(Career_History!G23=TRUE,IF(A114&lt;Career_History!D23,0,MIN(A114,Career_History!E23)-Career_History!D23+1),0),IF(Career_History!G24=TRUE,IF(A114&lt;Career_History!D24,0,MIN(A114,Career_History!E24)-Career_History!D24+1),0))/365.2425</f>
        <v>32.83571873481317</v>
      </c>
      <c r="AA114" s="9">
        <f>SUM(IF(Career_History!I21=TRUE,IF(A114&lt;Career_History!D21,0,MIN(A114,Career_History!E21)-Career_History!D21+1),0),IF(Career_History!I22=TRUE,IF(A114&lt;Career_History!D22,0,MIN(A114,Career_History!E22)-Career_History!D22+1),0),IF(Career_History!I23=TRUE,IF(A114&lt;Career_History!D23,0,MIN(A114,Career_History!E23)-Career_History!D23+1),0),IF(Career_History!I24=TRUE,IF(A114&lt;Career_History!D24,0,MIN(A114,Career_History!E24)-Career_History!D24+1),0))/365.2425</f>
        <v>26.505677734655741</v>
      </c>
      <c r="AB114" s="9">
        <f>SUM(IF(Career_History!H21=TRUE,IF(A114&lt;Career_History!D21,0,MIN(A114,Career_History!E21)-Career_History!D21+1),0),IF(Career_History!H22=TRUE,IF(A114&lt;Career_History!D22,0,MIN(A114,Career_History!E22)-Career_History!D22+1),0),IF(Career_History!H23=TRUE,IF(A114&lt;Career_History!D23,0,MIN(A114,Career_History!E23)-Career_History!D23+1),0),IF(Career_History!H24=TRUE,IF(A114&lt;Career_History!D24,0,MIN(A114,Career_History!E24)-Career_History!D24+1),0))/365.2425</f>
        <v>23.751343285625303</v>
      </c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</row>
    <row r="115" spans="1:67">
      <c r="A115" s="8">
        <v>38138</v>
      </c>
      <c r="B115" s="9">
        <f t="shared" si="3"/>
        <v>33.870647583454826</v>
      </c>
      <c r="C115" s="9">
        <f t="shared" si="4"/>
        <v>9.6023874549100938</v>
      </c>
      <c r="D115" s="9">
        <f t="shared" si="5"/>
        <v>21.437264283318619</v>
      </c>
      <c r="E115" s="9"/>
      <c r="F115" s="9"/>
      <c r="G115" s="9"/>
      <c r="H115" s="9"/>
      <c r="I115" s="9"/>
      <c r="J115" s="9"/>
      <c r="K115" s="9"/>
      <c r="L115" s="9"/>
      <c r="M115" s="9"/>
      <c r="N115" s="9">
        <f>SUM(IF(Career_History!G12=TRUE,IF(A115&lt;Career_History!D12,0,MIN(A115,Career_History!E12)-Career_History!D12+1),0),IF(Career_History!G13=TRUE,IF(A115&lt;Career_History!D13,0,MIN(A115,Career_History!E13)-Career_History!D13+1),0))/365.2425</f>
        <v>32.920593852029818</v>
      </c>
      <c r="O115" s="9">
        <f>SUM(IF(Career_History!I12=TRUE,IF(A115&lt;Career_History!D12,0,MIN(A115,Career_History!E12)-Career_History!D12+1),0),IF(Career_History!I13=TRUE,IF(A115&lt;Career_History!D13,0,MIN(A115,Career_History!E13)-Career_History!D13+1),0))/365.2425</f>
        <v>0</v>
      </c>
      <c r="P115" s="9">
        <f>SUM(IF(Career_History!H12=TRUE,IF(A115&lt;Career_History!D12,0,MIN(A115,Career_History!E12)-Career_History!D12+1),0),IF(Career_History!H13=TRUE,IF(A115&lt;Career_History!D13,0,MIN(A115,Career_History!E13)-Career_History!D13+1),0))/365.2425</f>
        <v>9.4156621970334768</v>
      </c>
      <c r="Q115" s="9">
        <f>SUM(IF(Career_History!G14=TRUE,IF(A115&lt;Career_History!D14,0,MIN(A115,Career_History!E14)-Career_History!D14+1),0),IF(Career_History!G15=TRUE,IF(A115&lt;Career_History!D15,0,MIN(A115,Career_History!E15)-Career_History!D15+1),0))/365.2425</f>
        <v>38.672936473712667</v>
      </c>
      <c r="R115" s="9">
        <f>SUM(IF(Career_History!I14=TRUE,IF(A115&lt;Career_History!D14,0,MIN(A115,Career_History!E14)-Career_History!D14+1),0),IF(Career_History!I15=TRUE,IF(A115&lt;Career_History!D15,0,MIN(A115,Career_History!E15)-Career_History!D15+1),0))/365.2425</f>
        <v>0</v>
      </c>
      <c r="S115" s="9">
        <f>SUM(IF(Career_History!H14=TRUE,IF(A115&lt;Career_History!D14,0,MIN(A115,Career_History!E14)-Career_History!D14+1),0),IF(Career_History!H15=TRUE,IF(A115&lt;Career_History!D15,0,MIN(A115,Career_History!E15)-Career_History!D15+1),0))/365.2425</f>
        <v>38.672936473712667</v>
      </c>
      <c r="T115" s="9">
        <f>SUM(IF(Career_History!G16=TRUE,IF(A115&lt;Career_History!D16,0,MIN(A115,Career_History!E16)-Career_History!D16+1),0),IF(Career_History!G17=TRUE,IF(A115&lt;Career_History!D17,0,MIN(A115,Career_History!E17)-Career_History!D17+1),0))/365.2425</f>
        <v>28.920511714819607</v>
      </c>
      <c r="U115" s="9">
        <f>SUM(IF(Career_History!I16=TRUE,IF(A115&lt;Career_History!D16,0,MIN(A115,Career_History!E16)-Career_History!D16+1),0),IF(Career_History!I17=TRUE,IF(A115&lt;Career_History!D17,0,MIN(A115,Career_History!E17)-Career_History!D17+1),0))/365.2425</f>
        <v>21.506259539894728</v>
      </c>
      <c r="V115" s="9">
        <f>SUM(IF(Career_History!H16=TRUE,IF(A115&lt;Career_History!D16,0,MIN(A115,Career_History!E16)-Career_History!D16+1),0),IF(Career_History!H17=TRUE,IF(A115&lt;Career_History!D17,0,MIN(A115,Career_History!E17)-Career_History!D17+1),0))/365.2425</f>
        <v>28.920511714819607</v>
      </c>
      <c r="W115" s="9">
        <f>SUM(IF(Career_History!G18=TRUE,IF(A115&lt;Career_History!D18,0,MIN(A115,Career_History!E18)-Career_History!D18+1),0),IF(Career_History!G19=TRUE,IF(A115&lt;Career_History!D19,0,MIN(A115,Career_History!E19)-Career_History!D19+1),0),IF(Career_History!G20=TRUE,IF(A115&lt;Career_History!D20,0,MIN(A115,Career_History!E20)-Career_History!D20+1),0))/365.2425</f>
        <v>35.91860202468223</v>
      </c>
      <c r="X115" s="9">
        <f>SUM(IF(Career_History!I18=TRUE,IF(A115&lt;Career_History!D18,0,MIN(A115,Career_History!E18)-Career_History!D18+1),0),IF(Career_History!I19=TRUE,IF(A115&lt;Career_History!D19,0,MIN(A115,Career_History!E19)-Career_History!D19+1),0),IF(Career_History!I20=TRUE,IF(A115&lt;Career_History!D20,0,MIN(A115,Career_History!E20)-Career_History!D20+1),0))/365.2425</f>
        <v>0</v>
      </c>
      <c r="Y115" s="9">
        <f>SUM(IF(Career_History!H18=TRUE,IF(A115&lt;Career_History!D18,0,MIN(A115,Career_History!E18)-Career_History!D18+1),0),IF(Career_History!H19=TRUE,IF(A115&lt;Career_History!D19,0,MIN(A115,Career_History!E19)-Career_History!D19+1),0),IF(Career_History!H20=TRUE,IF(A115&lt;Career_History!D20,0,MIN(A115,Career_History!E20)-Career_History!D20+1),0))/365.2425</f>
        <v>6.3409926281853837</v>
      </c>
      <c r="Z115" s="9">
        <f>SUM(IF(Career_History!G21=TRUE,IF(A115&lt;Career_History!D21,0,MIN(A115,Career_History!E21)-Career_History!D21+1),0),IF(Career_History!G22=TRUE,IF(A115&lt;Career_History!D22,0,MIN(A115,Career_History!E22)-Career_History!D22+1),0),IF(Career_History!G23=TRUE,IF(A115&lt;Career_History!D23,0,MIN(A115,Career_History!E23)-Career_History!D23+1),0),IF(Career_History!G24=TRUE,IF(A115&lt;Career_History!D24,0,MIN(A115,Career_History!E24)-Career_History!D24+1),0))/365.2425</f>
        <v>32.920593852029818</v>
      </c>
      <c r="AA115" s="9">
        <f>SUM(IF(Career_History!I21=TRUE,IF(A115&lt;Career_History!D21,0,MIN(A115,Career_History!E21)-Career_History!D21+1),0),IF(Career_History!I22=TRUE,IF(A115&lt;Career_History!D22,0,MIN(A115,Career_History!E22)-Career_History!D22+1),0),IF(Career_History!I23=TRUE,IF(A115&lt;Career_History!D23,0,MIN(A115,Career_History!E23)-Career_History!D23+1),0),IF(Career_History!I24=TRUE,IF(A115&lt;Career_History!D24,0,MIN(A115,Career_History!E24)-Career_History!D24+1),0))/365.2425</f>
        <v>26.505677734655741</v>
      </c>
      <c r="AB115" s="9">
        <f>SUM(IF(Career_History!H21=TRUE,IF(A115&lt;Career_History!D21,0,MIN(A115,Career_History!E21)-Career_History!D21+1),0),IF(Career_History!H22=TRUE,IF(A115&lt;Career_History!D22,0,MIN(A115,Career_History!E22)-Career_History!D22+1),0),IF(Career_History!H23=TRUE,IF(A115&lt;Career_History!D23,0,MIN(A115,Career_History!E23)-Career_History!D23+1),0),IF(Career_History!H24=TRUE,IF(A115&lt;Career_History!D24,0,MIN(A115,Career_History!E24)-Career_History!D24+1),0))/365.2425</f>
        <v>23.836218402841947</v>
      </c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</row>
    <row r="116" spans="1:67">
      <c r="A116" s="8">
        <v>38168</v>
      </c>
      <c r="B116" s="9">
        <f t="shared" si="3"/>
        <v>33.952784793664485</v>
      </c>
      <c r="C116" s="9">
        <f t="shared" si="4"/>
        <v>9.6023874549100938</v>
      </c>
      <c r="D116" s="9">
        <f t="shared" si="5"/>
        <v>21.519401493528271</v>
      </c>
      <c r="E116" s="9"/>
      <c r="F116" s="9"/>
      <c r="G116" s="9"/>
      <c r="H116" s="9"/>
      <c r="I116" s="9"/>
      <c r="J116" s="9"/>
      <c r="K116" s="9"/>
      <c r="L116" s="9"/>
      <c r="M116" s="9"/>
      <c r="N116" s="9">
        <f>SUM(IF(Career_History!G12=TRUE,IF(A116&lt;Career_History!D12,0,MIN(A116,Career_History!E12)-Career_History!D12+1),0),IF(Career_History!G13=TRUE,IF(A116&lt;Career_History!D13,0,MIN(A116,Career_History!E13)-Career_History!D13+1),0))/365.2425</f>
        <v>33.002731062239469</v>
      </c>
      <c r="O116" s="9">
        <f>SUM(IF(Career_History!I12=TRUE,IF(A116&lt;Career_History!D12,0,MIN(A116,Career_History!E12)-Career_History!D12+1),0),IF(Career_History!I13=TRUE,IF(A116&lt;Career_History!D13,0,MIN(A116,Career_History!E13)-Career_History!D13+1),0))/365.2425</f>
        <v>0</v>
      </c>
      <c r="P116" s="9">
        <f>SUM(IF(Career_History!H12=TRUE,IF(A116&lt;Career_History!D12,0,MIN(A116,Career_History!E12)-Career_History!D12+1),0),IF(Career_History!H13=TRUE,IF(A116&lt;Career_History!D13,0,MIN(A116,Career_History!E13)-Career_History!D13+1),0))/365.2425</f>
        <v>9.4977994072431322</v>
      </c>
      <c r="Q116" s="9">
        <f>SUM(IF(Career_History!G14=TRUE,IF(A116&lt;Career_History!D14,0,MIN(A116,Career_History!E14)-Career_History!D14+1),0),IF(Career_History!G15=TRUE,IF(A116&lt;Career_History!D15,0,MIN(A116,Career_History!E15)-Career_History!D15+1),0))/365.2425</f>
        <v>38.755073683922326</v>
      </c>
      <c r="R116" s="9">
        <f>SUM(IF(Career_History!I14=TRUE,IF(A116&lt;Career_History!D14,0,MIN(A116,Career_History!E14)-Career_History!D14+1),0),IF(Career_History!I15=TRUE,IF(A116&lt;Career_History!D15,0,MIN(A116,Career_History!E15)-Career_History!D15+1),0))/365.2425</f>
        <v>0</v>
      </c>
      <c r="S116" s="9">
        <f>SUM(IF(Career_History!H14=TRUE,IF(A116&lt;Career_History!D14,0,MIN(A116,Career_History!E14)-Career_History!D14+1),0),IF(Career_History!H15=TRUE,IF(A116&lt;Career_History!D15,0,MIN(A116,Career_History!E15)-Career_History!D15+1),0))/365.2425</f>
        <v>38.755073683922326</v>
      </c>
      <c r="T116" s="9">
        <f>SUM(IF(Career_History!G16=TRUE,IF(A116&lt;Career_History!D16,0,MIN(A116,Career_History!E16)-Career_History!D16+1),0),IF(Career_History!G17=TRUE,IF(A116&lt;Career_History!D17,0,MIN(A116,Career_History!E17)-Career_History!D17+1),0))/365.2425</f>
        <v>29.002648925029259</v>
      </c>
      <c r="U116" s="9">
        <f>SUM(IF(Career_History!I16=TRUE,IF(A116&lt;Career_History!D16,0,MIN(A116,Career_History!E16)-Career_History!D16+1),0),IF(Career_History!I17=TRUE,IF(A116&lt;Career_History!D17,0,MIN(A116,Career_History!E17)-Career_History!D17+1),0))/365.2425</f>
        <v>21.506259539894728</v>
      </c>
      <c r="V116" s="9">
        <f>SUM(IF(Career_History!H16=TRUE,IF(A116&lt;Career_History!D16,0,MIN(A116,Career_History!E16)-Career_History!D16+1),0),IF(Career_History!H17=TRUE,IF(A116&lt;Career_History!D17,0,MIN(A116,Career_History!E17)-Career_History!D17+1),0))/365.2425</f>
        <v>29.002648925029259</v>
      </c>
      <c r="W116" s="9">
        <f>SUM(IF(Career_History!G18=TRUE,IF(A116&lt;Career_History!D18,0,MIN(A116,Career_History!E18)-Career_History!D18+1),0),IF(Career_History!G19=TRUE,IF(A116&lt;Career_History!D19,0,MIN(A116,Career_History!E19)-Career_History!D19+1),0),IF(Career_History!G20=TRUE,IF(A116&lt;Career_History!D20,0,MIN(A116,Career_History!E20)-Career_History!D20+1),0))/365.2425</f>
        <v>36.000739234891888</v>
      </c>
      <c r="X116" s="9">
        <f>SUM(IF(Career_History!I18=TRUE,IF(A116&lt;Career_History!D18,0,MIN(A116,Career_History!E18)-Career_History!D18+1),0),IF(Career_History!I19=TRUE,IF(A116&lt;Career_History!D19,0,MIN(A116,Career_History!E19)-Career_History!D19+1),0),IF(Career_History!I20=TRUE,IF(A116&lt;Career_History!D20,0,MIN(A116,Career_History!E20)-Career_History!D20+1),0))/365.2425</f>
        <v>0</v>
      </c>
      <c r="Y116" s="9">
        <f>SUM(IF(Career_History!H18=TRUE,IF(A116&lt;Career_History!D18,0,MIN(A116,Career_History!E18)-Career_History!D18+1),0),IF(Career_History!H19=TRUE,IF(A116&lt;Career_History!D19,0,MIN(A116,Career_History!E19)-Career_History!D19+1),0),IF(Career_History!H20=TRUE,IF(A116&lt;Career_History!D20,0,MIN(A116,Career_History!E20)-Career_History!D20+1),0))/365.2425</f>
        <v>6.423129838395039</v>
      </c>
      <c r="Z116" s="9">
        <f>SUM(IF(Career_History!G21=TRUE,IF(A116&lt;Career_History!D21,0,MIN(A116,Career_History!E21)-Career_History!D21+1),0),IF(Career_History!G22=TRUE,IF(A116&lt;Career_History!D22,0,MIN(A116,Career_History!E22)-Career_History!D22+1),0),IF(Career_History!G23=TRUE,IF(A116&lt;Career_History!D23,0,MIN(A116,Career_History!E23)-Career_History!D23+1),0),IF(Career_History!G24=TRUE,IF(A116&lt;Career_History!D24,0,MIN(A116,Career_History!E24)-Career_History!D24+1),0))/365.2425</f>
        <v>33.002731062239469</v>
      </c>
      <c r="AA116" s="9">
        <f>SUM(IF(Career_History!I21=TRUE,IF(A116&lt;Career_History!D21,0,MIN(A116,Career_History!E21)-Career_History!D21+1),0),IF(Career_History!I22=TRUE,IF(A116&lt;Career_History!D22,0,MIN(A116,Career_History!E22)-Career_History!D22+1),0),IF(Career_History!I23=TRUE,IF(A116&lt;Career_History!D23,0,MIN(A116,Career_History!E23)-Career_History!D23+1),0),IF(Career_History!I24=TRUE,IF(A116&lt;Career_History!D24,0,MIN(A116,Career_History!E24)-Career_History!D24+1),0))/365.2425</f>
        <v>26.505677734655741</v>
      </c>
      <c r="AB116" s="9">
        <f>SUM(IF(Career_History!H21=TRUE,IF(A116&lt;Career_History!D21,0,MIN(A116,Career_History!E21)-Career_History!D21+1),0),IF(Career_History!H22=TRUE,IF(A116&lt;Career_History!D22,0,MIN(A116,Career_History!E22)-Career_History!D22+1),0),IF(Career_History!H23=TRUE,IF(A116&lt;Career_History!D23,0,MIN(A116,Career_History!E23)-Career_History!D23+1),0),IF(Career_History!H24=TRUE,IF(A116&lt;Career_History!D24,0,MIN(A116,Career_History!E24)-Career_History!D24+1),0))/365.2425</f>
        <v>23.918355613051602</v>
      </c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</row>
    <row r="117" spans="1:67">
      <c r="A117" s="8">
        <v>38199</v>
      </c>
      <c r="B117" s="9">
        <f t="shared" si="3"/>
        <v>34.037659910881125</v>
      </c>
      <c r="C117" s="9">
        <f t="shared" si="4"/>
        <v>9.6023874549100938</v>
      </c>
      <c r="D117" s="9">
        <f t="shared" si="5"/>
        <v>21.604276610744911</v>
      </c>
      <c r="E117" s="9"/>
      <c r="F117" s="9"/>
      <c r="G117" s="9"/>
      <c r="H117" s="9"/>
      <c r="I117" s="9"/>
      <c r="J117" s="9"/>
      <c r="K117" s="9"/>
      <c r="L117" s="9"/>
      <c r="M117" s="9"/>
      <c r="N117" s="9">
        <f>SUM(IF(Career_History!G12=TRUE,IF(A117&lt;Career_History!D12,0,MIN(A117,Career_History!E12)-Career_History!D12+1),0),IF(Career_History!G13=TRUE,IF(A117&lt;Career_History!D13,0,MIN(A117,Career_History!E13)-Career_History!D13+1),0))/365.2425</f>
        <v>33.087606179456117</v>
      </c>
      <c r="O117" s="9">
        <f>SUM(IF(Career_History!I12=TRUE,IF(A117&lt;Career_History!D12,0,MIN(A117,Career_History!E12)-Career_History!D12+1),0),IF(Career_History!I13=TRUE,IF(A117&lt;Career_History!D13,0,MIN(A117,Career_History!E13)-Career_History!D13+1),0))/365.2425</f>
        <v>0</v>
      </c>
      <c r="P117" s="9">
        <f>SUM(IF(Career_History!H12=TRUE,IF(A117&lt;Career_History!D12,0,MIN(A117,Career_History!E12)-Career_History!D12+1),0),IF(Career_History!H13=TRUE,IF(A117&lt;Career_History!D13,0,MIN(A117,Career_History!E13)-Career_History!D13+1),0))/365.2425</f>
        <v>9.582674524459776</v>
      </c>
      <c r="Q117" s="9">
        <f>SUM(IF(Career_History!G14=TRUE,IF(A117&lt;Career_History!D14,0,MIN(A117,Career_History!E14)-Career_History!D14+1),0),IF(Career_History!G15=TRUE,IF(A117&lt;Career_History!D15,0,MIN(A117,Career_History!E15)-Career_History!D15+1),0))/365.2425</f>
        <v>38.839948801138966</v>
      </c>
      <c r="R117" s="9">
        <f>SUM(IF(Career_History!I14=TRUE,IF(A117&lt;Career_History!D14,0,MIN(A117,Career_History!E14)-Career_History!D14+1),0),IF(Career_History!I15=TRUE,IF(A117&lt;Career_History!D15,0,MIN(A117,Career_History!E15)-Career_History!D15+1),0))/365.2425</f>
        <v>0</v>
      </c>
      <c r="S117" s="9">
        <f>SUM(IF(Career_History!H14=TRUE,IF(A117&lt;Career_History!D14,0,MIN(A117,Career_History!E14)-Career_History!D14+1),0),IF(Career_History!H15=TRUE,IF(A117&lt;Career_History!D15,0,MIN(A117,Career_History!E15)-Career_History!D15+1),0))/365.2425</f>
        <v>38.839948801138966</v>
      </c>
      <c r="T117" s="9">
        <f>SUM(IF(Career_History!G16=TRUE,IF(A117&lt;Career_History!D16,0,MIN(A117,Career_History!E16)-Career_History!D16+1),0),IF(Career_History!G17=TRUE,IF(A117&lt;Career_History!D17,0,MIN(A117,Career_History!E17)-Career_History!D17+1),0))/365.2425</f>
        <v>29.087524042245903</v>
      </c>
      <c r="U117" s="9">
        <f>SUM(IF(Career_History!I16=TRUE,IF(A117&lt;Career_History!D16,0,MIN(A117,Career_History!E16)-Career_History!D16+1),0),IF(Career_History!I17=TRUE,IF(A117&lt;Career_History!D17,0,MIN(A117,Career_History!E17)-Career_History!D17+1),0))/365.2425</f>
        <v>21.506259539894728</v>
      </c>
      <c r="V117" s="9">
        <f>SUM(IF(Career_History!H16=TRUE,IF(A117&lt;Career_History!D16,0,MIN(A117,Career_History!E16)-Career_History!D16+1),0),IF(Career_History!H17=TRUE,IF(A117&lt;Career_History!D17,0,MIN(A117,Career_History!E17)-Career_History!D17+1),0))/365.2425</f>
        <v>29.087524042245903</v>
      </c>
      <c r="W117" s="9">
        <f>SUM(IF(Career_History!G18=TRUE,IF(A117&lt;Career_History!D18,0,MIN(A117,Career_History!E18)-Career_History!D18+1),0),IF(Career_History!G19=TRUE,IF(A117&lt;Career_History!D19,0,MIN(A117,Career_History!E19)-Career_History!D19+1),0),IF(Career_History!G20=TRUE,IF(A117&lt;Career_History!D20,0,MIN(A117,Career_History!E20)-Career_History!D20+1),0))/365.2425</f>
        <v>36.085614352108529</v>
      </c>
      <c r="X117" s="9">
        <f>SUM(IF(Career_History!I18=TRUE,IF(A117&lt;Career_History!D18,0,MIN(A117,Career_History!E18)-Career_History!D18+1),0),IF(Career_History!I19=TRUE,IF(A117&lt;Career_History!D19,0,MIN(A117,Career_History!E19)-Career_History!D19+1),0),IF(Career_History!I20=TRUE,IF(A117&lt;Career_History!D20,0,MIN(A117,Career_History!E20)-Career_History!D20+1),0))/365.2425</f>
        <v>0</v>
      </c>
      <c r="Y117" s="9">
        <f>SUM(IF(Career_History!H18=TRUE,IF(A117&lt;Career_History!D18,0,MIN(A117,Career_History!E18)-Career_History!D18+1),0),IF(Career_History!H19=TRUE,IF(A117&lt;Career_History!D19,0,MIN(A117,Career_History!E19)-Career_History!D19+1),0),IF(Career_History!H20=TRUE,IF(A117&lt;Career_History!D20,0,MIN(A117,Career_History!E20)-Career_History!D20+1),0))/365.2425</f>
        <v>6.5080049556116828</v>
      </c>
      <c r="Z117" s="9">
        <f>SUM(IF(Career_History!G21=TRUE,IF(A117&lt;Career_History!D21,0,MIN(A117,Career_History!E21)-Career_History!D21+1),0),IF(Career_History!G22=TRUE,IF(A117&lt;Career_History!D22,0,MIN(A117,Career_History!E22)-Career_History!D22+1),0),IF(Career_History!G23=TRUE,IF(A117&lt;Career_History!D23,0,MIN(A117,Career_History!E23)-Career_History!D23+1),0),IF(Career_History!G24=TRUE,IF(A117&lt;Career_History!D24,0,MIN(A117,Career_History!E24)-Career_History!D24+1),0))/365.2425</f>
        <v>33.087606179456117</v>
      </c>
      <c r="AA117" s="9">
        <f>SUM(IF(Career_History!I21=TRUE,IF(A117&lt;Career_History!D21,0,MIN(A117,Career_History!E21)-Career_History!D21+1),0),IF(Career_History!I22=TRUE,IF(A117&lt;Career_History!D22,0,MIN(A117,Career_History!E22)-Career_History!D22+1),0),IF(Career_History!I23=TRUE,IF(A117&lt;Career_History!D23,0,MIN(A117,Career_History!E23)-Career_History!D23+1),0),IF(Career_History!I24=TRUE,IF(A117&lt;Career_History!D24,0,MIN(A117,Career_History!E24)-Career_History!D24+1),0))/365.2425</f>
        <v>26.505677734655741</v>
      </c>
      <c r="AB117" s="9">
        <f>SUM(IF(Career_History!H21=TRUE,IF(A117&lt;Career_History!D21,0,MIN(A117,Career_History!E21)-Career_History!D21+1),0),IF(Career_History!H22=TRUE,IF(A117&lt;Career_History!D22,0,MIN(A117,Career_History!E22)-Career_History!D22+1),0),IF(Career_History!H23=TRUE,IF(A117&lt;Career_History!D23,0,MIN(A117,Career_History!E23)-Career_History!D23+1),0),IF(Career_History!H24=TRUE,IF(A117&lt;Career_History!D24,0,MIN(A117,Career_History!E24)-Career_History!D24+1),0))/365.2425</f>
        <v>24.003230730268246</v>
      </c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</row>
    <row r="118" spans="1:67">
      <c r="A118" s="8">
        <v>38230</v>
      </c>
      <c r="B118" s="9">
        <f t="shared" si="3"/>
        <v>34.122535028097765</v>
      </c>
      <c r="C118" s="9">
        <f t="shared" si="4"/>
        <v>9.6023874549100938</v>
      </c>
      <c r="D118" s="9">
        <f t="shared" si="5"/>
        <v>21.689151727961558</v>
      </c>
      <c r="E118" s="9"/>
      <c r="F118" s="9"/>
      <c r="G118" s="9"/>
      <c r="H118" s="9"/>
      <c r="I118" s="9"/>
      <c r="J118" s="9"/>
      <c r="K118" s="9"/>
      <c r="L118" s="9"/>
      <c r="M118" s="9"/>
      <c r="N118" s="9">
        <f>SUM(IF(Career_History!G12=TRUE,IF(A118&lt;Career_History!D12,0,MIN(A118,Career_History!E12)-Career_History!D12+1),0),IF(Career_History!G13=TRUE,IF(A118&lt;Career_History!D13,0,MIN(A118,Career_History!E13)-Career_History!D13+1),0))/365.2425</f>
        <v>33.172481296672757</v>
      </c>
      <c r="O118" s="9">
        <f>SUM(IF(Career_History!I12=TRUE,IF(A118&lt;Career_History!D12,0,MIN(A118,Career_History!E12)-Career_History!D12+1),0),IF(Career_History!I13=TRUE,IF(A118&lt;Career_History!D13,0,MIN(A118,Career_History!E13)-Career_History!D13+1),0))/365.2425</f>
        <v>0</v>
      </c>
      <c r="P118" s="9">
        <f>SUM(IF(Career_History!H12=TRUE,IF(A118&lt;Career_History!D12,0,MIN(A118,Career_History!E12)-Career_History!D12+1),0),IF(Career_History!H13=TRUE,IF(A118&lt;Career_History!D13,0,MIN(A118,Career_History!E13)-Career_History!D13+1),0))/365.2425</f>
        <v>9.6675496416764197</v>
      </c>
      <c r="Q118" s="9">
        <f>SUM(IF(Career_History!G14=TRUE,IF(A118&lt;Career_History!D14,0,MIN(A118,Career_History!E14)-Career_History!D14+1),0),IF(Career_History!G15=TRUE,IF(A118&lt;Career_History!D15,0,MIN(A118,Career_History!E15)-Career_History!D15+1),0))/365.2425</f>
        <v>38.924823918355614</v>
      </c>
      <c r="R118" s="9">
        <f>SUM(IF(Career_History!I14=TRUE,IF(A118&lt;Career_History!D14,0,MIN(A118,Career_History!E14)-Career_History!D14+1),0),IF(Career_History!I15=TRUE,IF(A118&lt;Career_History!D15,0,MIN(A118,Career_History!E15)-Career_History!D15+1),0))/365.2425</f>
        <v>0</v>
      </c>
      <c r="S118" s="9">
        <f>SUM(IF(Career_History!H14=TRUE,IF(A118&lt;Career_History!D14,0,MIN(A118,Career_History!E14)-Career_History!D14+1),0),IF(Career_History!H15=TRUE,IF(A118&lt;Career_History!D15,0,MIN(A118,Career_History!E15)-Career_History!D15+1),0))/365.2425</f>
        <v>38.924823918355614</v>
      </c>
      <c r="T118" s="9">
        <f>SUM(IF(Career_History!G16=TRUE,IF(A118&lt;Career_History!D16,0,MIN(A118,Career_History!E16)-Career_History!D16+1),0),IF(Career_History!G17=TRUE,IF(A118&lt;Career_History!D17,0,MIN(A118,Career_History!E17)-Career_History!D17+1),0))/365.2425</f>
        <v>29.172399159462547</v>
      </c>
      <c r="U118" s="9">
        <f>SUM(IF(Career_History!I16=TRUE,IF(A118&lt;Career_History!D16,0,MIN(A118,Career_History!E16)-Career_History!D16+1),0),IF(Career_History!I17=TRUE,IF(A118&lt;Career_History!D17,0,MIN(A118,Career_History!E17)-Career_History!D17+1),0))/365.2425</f>
        <v>21.506259539894728</v>
      </c>
      <c r="V118" s="9">
        <f>SUM(IF(Career_History!H16=TRUE,IF(A118&lt;Career_History!D16,0,MIN(A118,Career_History!E16)-Career_History!D16+1),0),IF(Career_History!H17=TRUE,IF(A118&lt;Career_History!D17,0,MIN(A118,Career_History!E17)-Career_History!D17+1),0))/365.2425</f>
        <v>29.172399159462547</v>
      </c>
      <c r="W118" s="9">
        <f>SUM(IF(Career_History!G18=TRUE,IF(A118&lt;Career_History!D18,0,MIN(A118,Career_History!E18)-Career_History!D18+1),0),IF(Career_History!G19=TRUE,IF(A118&lt;Career_History!D19,0,MIN(A118,Career_History!E19)-Career_History!D19+1),0),IF(Career_History!G20=TRUE,IF(A118&lt;Career_History!D20,0,MIN(A118,Career_History!E20)-Career_History!D20+1),0))/365.2425</f>
        <v>36.170489469325176</v>
      </c>
      <c r="X118" s="9">
        <f>SUM(IF(Career_History!I18=TRUE,IF(A118&lt;Career_History!D18,0,MIN(A118,Career_History!E18)-Career_History!D18+1),0),IF(Career_History!I19=TRUE,IF(A118&lt;Career_History!D19,0,MIN(A118,Career_History!E19)-Career_History!D19+1),0),IF(Career_History!I20=TRUE,IF(A118&lt;Career_History!D20,0,MIN(A118,Career_History!E20)-Career_History!D20+1),0))/365.2425</f>
        <v>0</v>
      </c>
      <c r="Y118" s="9">
        <f>SUM(IF(Career_History!H18=TRUE,IF(A118&lt;Career_History!D18,0,MIN(A118,Career_History!E18)-Career_History!D18+1),0),IF(Career_History!H19=TRUE,IF(A118&lt;Career_History!D19,0,MIN(A118,Career_History!E19)-Career_History!D19+1),0),IF(Career_History!H20=TRUE,IF(A118&lt;Career_History!D20,0,MIN(A118,Career_History!E20)-Career_History!D20+1),0))/365.2425</f>
        <v>6.5928800728283266</v>
      </c>
      <c r="Z118" s="9">
        <f>SUM(IF(Career_History!G21=TRUE,IF(A118&lt;Career_History!D21,0,MIN(A118,Career_History!E21)-Career_History!D21+1),0),IF(Career_History!G22=TRUE,IF(A118&lt;Career_History!D22,0,MIN(A118,Career_History!E22)-Career_History!D22+1),0),IF(Career_History!G23=TRUE,IF(A118&lt;Career_History!D23,0,MIN(A118,Career_History!E23)-Career_History!D23+1),0),IF(Career_History!G24=TRUE,IF(A118&lt;Career_History!D24,0,MIN(A118,Career_History!E24)-Career_History!D24+1),0))/365.2425</f>
        <v>33.172481296672757</v>
      </c>
      <c r="AA118" s="9">
        <f>SUM(IF(Career_History!I21=TRUE,IF(A118&lt;Career_History!D21,0,MIN(A118,Career_History!E21)-Career_History!D21+1),0),IF(Career_History!I22=TRUE,IF(A118&lt;Career_History!D22,0,MIN(A118,Career_History!E22)-Career_History!D22+1),0),IF(Career_History!I23=TRUE,IF(A118&lt;Career_History!D23,0,MIN(A118,Career_History!E23)-Career_History!D23+1),0),IF(Career_History!I24=TRUE,IF(A118&lt;Career_History!D24,0,MIN(A118,Career_History!E24)-Career_History!D24+1),0))/365.2425</f>
        <v>26.505677734655741</v>
      </c>
      <c r="AB118" s="9">
        <f>SUM(IF(Career_History!H21=TRUE,IF(A118&lt;Career_History!D21,0,MIN(A118,Career_History!E21)-Career_History!D21+1),0),IF(Career_History!H22=TRUE,IF(A118&lt;Career_History!D22,0,MIN(A118,Career_History!E22)-Career_History!D22+1),0),IF(Career_History!H23=TRUE,IF(A118&lt;Career_History!D23,0,MIN(A118,Career_History!E23)-Career_History!D23+1),0),IF(Career_History!H24=TRUE,IF(A118&lt;Career_History!D24,0,MIN(A118,Career_History!E24)-Career_History!D24+1),0))/365.2425</f>
        <v>24.08810584748489</v>
      </c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</row>
    <row r="119" spans="1:67">
      <c r="A119" s="8">
        <v>38260</v>
      </c>
      <c r="B119" s="9">
        <f t="shared" si="3"/>
        <v>34.204672238307424</v>
      </c>
      <c r="C119" s="9">
        <f t="shared" si="4"/>
        <v>9.6023874549100938</v>
      </c>
      <c r="D119" s="9">
        <f t="shared" si="5"/>
        <v>21.771288938171217</v>
      </c>
      <c r="E119" s="9"/>
      <c r="F119" s="9"/>
      <c r="G119" s="9"/>
      <c r="H119" s="9"/>
      <c r="I119" s="9"/>
      <c r="J119" s="9"/>
      <c r="K119" s="9"/>
      <c r="L119" s="9"/>
      <c r="M119" s="9"/>
      <c r="N119" s="9">
        <f>SUM(IF(Career_History!G12=TRUE,IF(A119&lt;Career_History!D12,0,MIN(A119,Career_History!E12)-Career_History!D12+1),0),IF(Career_History!G13=TRUE,IF(A119&lt;Career_History!D13,0,MIN(A119,Career_History!E13)-Career_History!D13+1),0))/365.2425</f>
        <v>33.254618506882416</v>
      </c>
      <c r="O119" s="9">
        <f>SUM(IF(Career_History!I12=TRUE,IF(A119&lt;Career_History!D12,0,MIN(A119,Career_History!E12)-Career_History!D12+1),0),IF(Career_History!I13=TRUE,IF(A119&lt;Career_History!D13,0,MIN(A119,Career_History!E13)-Career_History!D13+1),0))/365.2425</f>
        <v>0</v>
      </c>
      <c r="P119" s="9">
        <f>SUM(IF(Career_History!H12=TRUE,IF(A119&lt;Career_History!D12,0,MIN(A119,Career_History!E12)-Career_History!D12+1),0),IF(Career_History!H13=TRUE,IF(A119&lt;Career_History!D13,0,MIN(A119,Career_History!E13)-Career_History!D13+1),0))/365.2425</f>
        <v>9.7496868518860751</v>
      </c>
      <c r="Q119" s="9">
        <f>SUM(IF(Career_History!G14=TRUE,IF(A119&lt;Career_History!D14,0,MIN(A119,Career_History!E14)-Career_History!D14+1),0),IF(Career_History!G15=TRUE,IF(A119&lt;Career_History!D15,0,MIN(A119,Career_History!E15)-Career_History!D15+1),0))/365.2425</f>
        <v>39.006961128565266</v>
      </c>
      <c r="R119" s="9">
        <f>SUM(IF(Career_History!I14=TRUE,IF(A119&lt;Career_History!D14,0,MIN(A119,Career_History!E14)-Career_History!D14+1),0),IF(Career_History!I15=TRUE,IF(A119&lt;Career_History!D15,0,MIN(A119,Career_History!E15)-Career_History!D15+1),0))/365.2425</f>
        <v>0</v>
      </c>
      <c r="S119" s="9">
        <f>SUM(IF(Career_History!H14=TRUE,IF(A119&lt;Career_History!D14,0,MIN(A119,Career_History!E14)-Career_History!D14+1),0),IF(Career_History!H15=TRUE,IF(A119&lt;Career_History!D15,0,MIN(A119,Career_History!E15)-Career_History!D15+1),0))/365.2425</f>
        <v>39.006961128565266</v>
      </c>
      <c r="T119" s="9">
        <f>SUM(IF(Career_History!G16=TRUE,IF(A119&lt;Career_History!D16,0,MIN(A119,Career_History!E16)-Career_History!D16+1),0),IF(Career_History!G17=TRUE,IF(A119&lt;Career_History!D17,0,MIN(A119,Career_History!E17)-Career_History!D17+1),0))/365.2425</f>
        <v>29.254536369672202</v>
      </c>
      <c r="U119" s="9">
        <f>SUM(IF(Career_History!I16=TRUE,IF(A119&lt;Career_History!D16,0,MIN(A119,Career_History!E16)-Career_History!D16+1),0),IF(Career_History!I17=TRUE,IF(A119&lt;Career_History!D17,0,MIN(A119,Career_History!E17)-Career_History!D17+1),0))/365.2425</f>
        <v>21.506259539894728</v>
      </c>
      <c r="V119" s="9">
        <f>SUM(IF(Career_History!H16=TRUE,IF(A119&lt;Career_History!D16,0,MIN(A119,Career_History!E16)-Career_History!D16+1),0),IF(Career_History!H17=TRUE,IF(A119&lt;Career_History!D17,0,MIN(A119,Career_History!E17)-Career_History!D17+1),0))/365.2425</f>
        <v>29.254536369672202</v>
      </c>
      <c r="W119" s="9">
        <f>SUM(IF(Career_History!G18=TRUE,IF(A119&lt;Career_History!D18,0,MIN(A119,Career_History!E18)-Career_History!D18+1),0),IF(Career_History!G19=TRUE,IF(A119&lt;Career_History!D19,0,MIN(A119,Career_History!E19)-Career_History!D19+1),0),IF(Career_History!G20=TRUE,IF(A119&lt;Career_History!D20,0,MIN(A119,Career_History!E20)-Career_History!D20+1),0))/365.2425</f>
        <v>36.252626679534828</v>
      </c>
      <c r="X119" s="9">
        <f>SUM(IF(Career_History!I18=TRUE,IF(A119&lt;Career_History!D18,0,MIN(A119,Career_History!E18)-Career_History!D18+1),0),IF(Career_History!I19=TRUE,IF(A119&lt;Career_History!D19,0,MIN(A119,Career_History!E19)-Career_History!D19+1),0),IF(Career_History!I20=TRUE,IF(A119&lt;Career_History!D20,0,MIN(A119,Career_History!E20)-Career_History!D20+1),0))/365.2425</f>
        <v>0</v>
      </c>
      <c r="Y119" s="9">
        <f>SUM(IF(Career_History!H18=TRUE,IF(A119&lt;Career_History!D18,0,MIN(A119,Career_History!E18)-Career_History!D18+1),0),IF(Career_History!H19=TRUE,IF(A119&lt;Career_History!D19,0,MIN(A119,Career_History!E19)-Career_History!D19+1),0),IF(Career_History!H20=TRUE,IF(A119&lt;Career_History!D20,0,MIN(A119,Career_History!E20)-Career_History!D20+1),0))/365.2425</f>
        <v>6.6750172830379819</v>
      </c>
      <c r="Z119" s="9">
        <f>SUM(IF(Career_History!G21=TRUE,IF(A119&lt;Career_History!D21,0,MIN(A119,Career_History!E21)-Career_History!D21+1),0),IF(Career_History!G22=TRUE,IF(A119&lt;Career_History!D22,0,MIN(A119,Career_History!E22)-Career_History!D22+1),0),IF(Career_History!G23=TRUE,IF(A119&lt;Career_History!D23,0,MIN(A119,Career_History!E23)-Career_History!D23+1),0),IF(Career_History!G24=TRUE,IF(A119&lt;Career_History!D24,0,MIN(A119,Career_History!E24)-Career_History!D24+1),0))/365.2425</f>
        <v>33.254618506882416</v>
      </c>
      <c r="AA119" s="9">
        <f>SUM(IF(Career_History!I21=TRUE,IF(A119&lt;Career_History!D21,0,MIN(A119,Career_History!E21)-Career_History!D21+1),0),IF(Career_History!I22=TRUE,IF(A119&lt;Career_History!D22,0,MIN(A119,Career_History!E22)-Career_History!D22+1),0),IF(Career_History!I23=TRUE,IF(A119&lt;Career_History!D23,0,MIN(A119,Career_History!E23)-Career_History!D23+1),0),IF(Career_History!I24=TRUE,IF(A119&lt;Career_History!D24,0,MIN(A119,Career_History!E24)-Career_History!D24+1),0))/365.2425</f>
        <v>26.505677734655741</v>
      </c>
      <c r="AB119" s="9">
        <f>SUM(IF(Career_History!H21=TRUE,IF(A119&lt;Career_History!D21,0,MIN(A119,Career_History!E21)-Career_History!D21+1),0),IF(Career_History!H22=TRUE,IF(A119&lt;Career_History!D22,0,MIN(A119,Career_History!E22)-Career_History!D22+1),0),IF(Career_History!H23=TRUE,IF(A119&lt;Career_History!D23,0,MIN(A119,Career_History!E23)-Career_History!D23+1),0),IF(Career_History!H24=TRUE,IF(A119&lt;Career_History!D24,0,MIN(A119,Career_History!E24)-Career_History!D24+1),0))/365.2425</f>
        <v>24.170243057694545</v>
      </c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</row>
    <row r="120" spans="1:67">
      <c r="A120" s="8">
        <v>38291</v>
      </c>
      <c r="B120" s="9">
        <f t="shared" si="3"/>
        <v>34.289547355524071</v>
      </c>
      <c r="C120" s="9">
        <f t="shared" si="4"/>
        <v>9.6023874549100938</v>
      </c>
      <c r="D120" s="9">
        <f t="shared" si="5"/>
        <v>21.856164055387858</v>
      </c>
      <c r="E120" s="9"/>
      <c r="F120" s="9"/>
      <c r="G120" s="9"/>
      <c r="H120" s="9"/>
      <c r="I120" s="9"/>
      <c r="J120" s="9"/>
      <c r="K120" s="9"/>
      <c r="L120" s="9"/>
      <c r="M120" s="9"/>
      <c r="N120" s="9">
        <f>SUM(IF(Career_History!G12=TRUE,IF(A120&lt;Career_History!D12,0,MIN(A120,Career_History!E12)-Career_History!D12+1),0),IF(Career_History!G13=TRUE,IF(A120&lt;Career_History!D13,0,MIN(A120,Career_History!E13)-Career_History!D13+1),0))/365.2425</f>
        <v>33.339493624099056</v>
      </c>
      <c r="O120" s="9">
        <f>SUM(IF(Career_History!I12=TRUE,IF(A120&lt;Career_History!D12,0,MIN(A120,Career_History!E12)-Career_History!D12+1),0),IF(Career_History!I13=TRUE,IF(A120&lt;Career_History!D13,0,MIN(A120,Career_History!E13)-Career_History!D13+1),0))/365.2425</f>
        <v>0</v>
      </c>
      <c r="P120" s="9">
        <f>SUM(IF(Career_History!H12=TRUE,IF(A120&lt;Career_History!D12,0,MIN(A120,Career_History!E12)-Career_History!D12+1),0),IF(Career_History!H13=TRUE,IF(A120&lt;Career_History!D13,0,MIN(A120,Career_History!E13)-Career_History!D13+1),0))/365.2425</f>
        <v>9.8345619691027188</v>
      </c>
      <c r="Q120" s="9">
        <f>SUM(IF(Career_History!G14=TRUE,IF(A120&lt;Career_History!D14,0,MIN(A120,Career_History!E14)-Career_History!D14+1),0),IF(Career_History!G15=TRUE,IF(A120&lt;Career_History!D15,0,MIN(A120,Career_History!E15)-Career_History!D15+1),0))/365.2425</f>
        <v>39.091836245781913</v>
      </c>
      <c r="R120" s="9">
        <f>SUM(IF(Career_History!I14=TRUE,IF(A120&lt;Career_History!D14,0,MIN(A120,Career_History!E14)-Career_History!D14+1),0),IF(Career_History!I15=TRUE,IF(A120&lt;Career_History!D15,0,MIN(A120,Career_History!E15)-Career_History!D15+1),0))/365.2425</f>
        <v>0</v>
      </c>
      <c r="S120" s="9">
        <f>SUM(IF(Career_History!H14=TRUE,IF(A120&lt;Career_History!D14,0,MIN(A120,Career_History!E14)-Career_History!D14+1),0),IF(Career_History!H15=TRUE,IF(A120&lt;Career_History!D15,0,MIN(A120,Career_History!E15)-Career_History!D15+1),0))/365.2425</f>
        <v>39.091836245781913</v>
      </c>
      <c r="T120" s="9">
        <f>SUM(IF(Career_History!G16=TRUE,IF(A120&lt;Career_History!D16,0,MIN(A120,Career_History!E16)-Career_History!D16+1),0),IF(Career_History!G17=TRUE,IF(A120&lt;Career_History!D17,0,MIN(A120,Career_History!E17)-Career_History!D17+1),0))/365.2425</f>
        <v>29.339411486888846</v>
      </c>
      <c r="U120" s="9">
        <f>SUM(IF(Career_History!I16=TRUE,IF(A120&lt;Career_History!D16,0,MIN(A120,Career_History!E16)-Career_History!D16+1),0),IF(Career_History!I17=TRUE,IF(A120&lt;Career_History!D17,0,MIN(A120,Career_History!E17)-Career_History!D17+1),0))/365.2425</f>
        <v>21.506259539894728</v>
      </c>
      <c r="V120" s="9">
        <f>SUM(IF(Career_History!H16=TRUE,IF(A120&lt;Career_History!D16,0,MIN(A120,Career_History!E16)-Career_History!D16+1),0),IF(Career_History!H17=TRUE,IF(A120&lt;Career_History!D17,0,MIN(A120,Career_History!E17)-Career_History!D17+1),0))/365.2425</f>
        <v>29.339411486888846</v>
      </c>
      <c r="W120" s="9">
        <f>SUM(IF(Career_History!G18=TRUE,IF(A120&lt;Career_History!D18,0,MIN(A120,Career_History!E18)-Career_History!D18+1),0),IF(Career_History!G19=TRUE,IF(A120&lt;Career_History!D19,0,MIN(A120,Career_History!E19)-Career_History!D19+1),0),IF(Career_History!G20=TRUE,IF(A120&lt;Career_History!D20,0,MIN(A120,Career_History!E20)-Career_History!D20+1),0))/365.2425</f>
        <v>36.337501796751475</v>
      </c>
      <c r="X120" s="9">
        <f>SUM(IF(Career_History!I18=TRUE,IF(A120&lt;Career_History!D18,0,MIN(A120,Career_History!E18)-Career_History!D18+1),0),IF(Career_History!I19=TRUE,IF(A120&lt;Career_History!D19,0,MIN(A120,Career_History!E19)-Career_History!D19+1),0),IF(Career_History!I20=TRUE,IF(A120&lt;Career_History!D20,0,MIN(A120,Career_History!E20)-Career_History!D20+1),0))/365.2425</f>
        <v>0</v>
      </c>
      <c r="Y120" s="9">
        <f>SUM(IF(Career_History!H18=TRUE,IF(A120&lt;Career_History!D18,0,MIN(A120,Career_History!E18)-Career_History!D18+1),0),IF(Career_History!H19=TRUE,IF(A120&lt;Career_History!D19,0,MIN(A120,Career_History!E19)-Career_History!D19+1),0),IF(Career_History!H20=TRUE,IF(A120&lt;Career_History!D20,0,MIN(A120,Career_History!E20)-Career_History!D20+1),0))/365.2425</f>
        <v>6.7598924002546248</v>
      </c>
      <c r="Z120" s="9">
        <f>SUM(IF(Career_History!G21=TRUE,IF(A120&lt;Career_History!D21,0,MIN(A120,Career_History!E21)-Career_History!D21+1),0),IF(Career_History!G22=TRUE,IF(A120&lt;Career_History!D22,0,MIN(A120,Career_History!E22)-Career_History!D22+1),0),IF(Career_History!G23=TRUE,IF(A120&lt;Career_History!D23,0,MIN(A120,Career_History!E23)-Career_History!D23+1),0),IF(Career_History!G24=TRUE,IF(A120&lt;Career_History!D24,0,MIN(A120,Career_History!E24)-Career_History!D24+1),0))/365.2425</f>
        <v>33.339493624099056</v>
      </c>
      <c r="AA120" s="9">
        <f>SUM(IF(Career_History!I21=TRUE,IF(A120&lt;Career_History!D21,0,MIN(A120,Career_History!E21)-Career_History!D21+1),0),IF(Career_History!I22=TRUE,IF(A120&lt;Career_History!D22,0,MIN(A120,Career_History!E22)-Career_History!D22+1),0),IF(Career_History!I23=TRUE,IF(A120&lt;Career_History!D23,0,MIN(A120,Career_History!E23)-Career_History!D23+1),0),IF(Career_History!I24=TRUE,IF(A120&lt;Career_History!D24,0,MIN(A120,Career_History!E24)-Career_History!D24+1),0))/365.2425</f>
        <v>26.505677734655741</v>
      </c>
      <c r="AB120" s="9">
        <f>SUM(IF(Career_History!H21=TRUE,IF(A120&lt;Career_History!D21,0,MIN(A120,Career_History!E21)-Career_History!D21+1),0),IF(Career_History!H22=TRUE,IF(A120&lt;Career_History!D22,0,MIN(A120,Career_History!E22)-Career_History!D22+1),0),IF(Career_History!H23=TRUE,IF(A120&lt;Career_History!D23,0,MIN(A120,Career_History!E23)-Career_History!D23+1),0),IF(Career_History!H24=TRUE,IF(A120&lt;Career_History!D24,0,MIN(A120,Career_History!E24)-Career_History!D24+1),0))/365.2425</f>
        <v>24.255118174911189</v>
      </c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</row>
    <row r="121" spans="1:67">
      <c r="A121" s="8">
        <v>38321</v>
      </c>
      <c r="B121" s="9">
        <f t="shared" si="3"/>
        <v>34.371684565733723</v>
      </c>
      <c r="C121" s="9">
        <f t="shared" si="4"/>
        <v>9.6023874549100938</v>
      </c>
      <c r="D121" s="9">
        <f t="shared" si="5"/>
        <v>21.938301265597513</v>
      </c>
      <c r="E121" s="9"/>
      <c r="F121" s="9"/>
      <c r="G121" s="9"/>
      <c r="H121" s="9"/>
      <c r="I121" s="9"/>
      <c r="J121" s="9"/>
      <c r="K121" s="9"/>
      <c r="L121" s="9"/>
      <c r="M121" s="9"/>
      <c r="N121" s="9">
        <f>SUM(IF(Career_History!G12=TRUE,IF(A121&lt;Career_History!D12,0,MIN(A121,Career_History!E12)-Career_History!D12+1),0),IF(Career_History!G13=TRUE,IF(A121&lt;Career_History!D13,0,MIN(A121,Career_History!E13)-Career_History!D13+1),0))/365.2425</f>
        <v>33.421630834308715</v>
      </c>
      <c r="O121" s="9">
        <f>SUM(IF(Career_History!I12=TRUE,IF(A121&lt;Career_History!D12,0,MIN(A121,Career_History!E12)-Career_History!D12+1),0),IF(Career_History!I13=TRUE,IF(A121&lt;Career_History!D13,0,MIN(A121,Career_History!E13)-Career_History!D13+1),0))/365.2425</f>
        <v>0</v>
      </c>
      <c r="P121" s="9">
        <f>SUM(IF(Career_History!H12=TRUE,IF(A121&lt;Career_History!D12,0,MIN(A121,Career_History!E12)-Career_History!D12+1),0),IF(Career_History!H13=TRUE,IF(A121&lt;Career_History!D13,0,MIN(A121,Career_History!E13)-Career_History!D13+1),0))/365.2425</f>
        <v>9.9166991793123742</v>
      </c>
      <c r="Q121" s="9">
        <f>SUM(IF(Career_History!G14=TRUE,IF(A121&lt;Career_History!D14,0,MIN(A121,Career_History!E14)-Career_History!D14+1),0),IF(Career_History!G15=TRUE,IF(A121&lt;Career_History!D15,0,MIN(A121,Career_History!E15)-Career_History!D15+1),0))/365.2425</f>
        <v>39.173973455991565</v>
      </c>
      <c r="R121" s="9">
        <f>SUM(IF(Career_History!I14=TRUE,IF(A121&lt;Career_History!D14,0,MIN(A121,Career_History!E14)-Career_History!D14+1),0),IF(Career_History!I15=TRUE,IF(A121&lt;Career_History!D15,0,MIN(A121,Career_History!E15)-Career_History!D15+1),0))/365.2425</f>
        <v>0</v>
      </c>
      <c r="S121" s="9">
        <f>SUM(IF(Career_History!H14=TRUE,IF(A121&lt;Career_History!D14,0,MIN(A121,Career_History!E14)-Career_History!D14+1),0),IF(Career_History!H15=TRUE,IF(A121&lt;Career_History!D15,0,MIN(A121,Career_History!E15)-Career_History!D15+1),0))/365.2425</f>
        <v>39.173973455991565</v>
      </c>
      <c r="T121" s="9">
        <f>SUM(IF(Career_History!G16=TRUE,IF(A121&lt;Career_History!D16,0,MIN(A121,Career_History!E16)-Career_History!D16+1),0),IF(Career_History!G17=TRUE,IF(A121&lt;Career_History!D17,0,MIN(A121,Career_History!E17)-Career_History!D17+1),0))/365.2425</f>
        <v>29.421548697098501</v>
      </c>
      <c r="U121" s="9">
        <f>SUM(IF(Career_History!I16=TRUE,IF(A121&lt;Career_History!D16,0,MIN(A121,Career_History!E16)-Career_History!D16+1),0),IF(Career_History!I17=TRUE,IF(A121&lt;Career_History!D17,0,MIN(A121,Career_History!E17)-Career_History!D17+1),0))/365.2425</f>
        <v>21.506259539894728</v>
      </c>
      <c r="V121" s="9">
        <f>SUM(IF(Career_History!H16=TRUE,IF(A121&lt;Career_History!D16,0,MIN(A121,Career_History!E16)-Career_History!D16+1),0),IF(Career_History!H17=TRUE,IF(A121&lt;Career_History!D17,0,MIN(A121,Career_History!E17)-Career_History!D17+1),0))/365.2425</f>
        <v>29.421548697098501</v>
      </c>
      <c r="W121" s="9">
        <f>SUM(IF(Career_History!G18=TRUE,IF(A121&lt;Career_History!D18,0,MIN(A121,Career_History!E18)-Career_History!D18+1),0),IF(Career_History!G19=TRUE,IF(A121&lt;Career_History!D19,0,MIN(A121,Career_History!E19)-Career_History!D19+1),0),IF(Career_History!G20=TRUE,IF(A121&lt;Career_History!D20,0,MIN(A121,Career_History!E20)-Career_History!D20+1),0))/365.2425</f>
        <v>36.419639006961127</v>
      </c>
      <c r="X121" s="9">
        <f>SUM(IF(Career_History!I18=TRUE,IF(A121&lt;Career_History!D18,0,MIN(A121,Career_History!E18)-Career_History!D18+1),0),IF(Career_History!I19=TRUE,IF(A121&lt;Career_History!D19,0,MIN(A121,Career_History!E19)-Career_History!D19+1),0),IF(Career_History!I20=TRUE,IF(A121&lt;Career_History!D20,0,MIN(A121,Career_History!E20)-Career_History!D20+1),0))/365.2425</f>
        <v>0</v>
      </c>
      <c r="Y121" s="9">
        <f>SUM(IF(Career_History!H18=TRUE,IF(A121&lt;Career_History!D18,0,MIN(A121,Career_History!E18)-Career_History!D18+1),0),IF(Career_History!H19=TRUE,IF(A121&lt;Career_History!D19,0,MIN(A121,Career_History!E19)-Career_History!D19+1),0),IF(Career_History!H20=TRUE,IF(A121&lt;Career_History!D20,0,MIN(A121,Career_History!E20)-Career_History!D20+1),0))/365.2425</f>
        <v>6.8420296104642802</v>
      </c>
      <c r="Z121" s="9">
        <f>SUM(IF(Career_History!G21=TRUE,IF(A121&lt;Career_History!D21,0,MIN(A121,Career_History!E21)-Career_History!D21+1),0),IF(Career_History!G22=TRUE,IF(A121&lt;Career_History!D22,0,MIN(A121,Career_History!E22)-Career_History!D22+1),0),IF(Career_History!G23=TRUE,IF(A121&lt;Career_History!D23,0,MIN(A121,Career_History!E23)-Career_History!D23+1),0),IF(Career_History!G24=TRUE,IF(A121&lt;Career_History!D24,0,MIN(A121,Career_History!E24)-Career_History!D24+1),0))/365.2425</f>
        <v>33.421630834308715</v>
      </c>
      <c r="AA121" s="9">
        <f>SUM(IF(Career_History!I21=TRUE,IF(A121&lt;Career_History!D21,0,MIN(A121,Career_History!E21)-Career_History!D21+1),0),IF(Career_History!I22=TRUE,IF(A121&lt;Career_History!D22,0,MIN(A121,Career_History!E22)-Career_History!D22+1),0),IF(Career_History!I23=TRUE,IF(A121&lt;Career_History!D23,0,MIN(A121,Career_History!E23)-Career_History!D23+1),0),IF(Career_History!I24=TRUE,IF(A121&lt;Career_History!D24,0,MIN(A121,Career_History!E24)-Career_History!D24+1),0))/365.2425</f>
        <v>26.505677734655741</v>
      </c>
      <c r="AB121" s="9">
        <f>SUM(IF(Career_History!H21=TRUE,IF(A121&lt;Career_History!D21,0,MIN(A121,Career_History!E21)-Career_History!D21+1),0),IF(Career_History!H22=TRUE,IF(A121&lt;Career_History!D22,0,MIN(A121,Career_History!E22)-Career_History!D22+1),0),IF(Career_History!H23=TRUE,IF(A121&lt;Career_History!D23,0,MIN(A121,Career_History!E23)-Career_History!D23+1),0),IF(Career_History!H24=TRUE,IF(A121&lt;Career_History!D24,0,MIN(A121,Career_History!E24)-Career_History!D24+1),0))/365.2425</f>
        <v>24.337255385120844</v>
      </c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</row>
    <row r="122" spans="1:67">
      <c r="A122" s="8">
        <v>38352</v>
      </c>
      <c r="B122" s="9">
        <f t="shared" si="3"/>
        <v>34.456559682950363</v>
      </c>
      <c r="C122" s="9">
        <f t="shared" si="4"/>
        <v>9.6023874549100938</v>
      </c>
      <c r="D122" s="9">
        <f t="shared" si="5"/>
        <v>22.023176382814153</v>
      </c>
      <c r="E122" s="9"/>
      <c r="F122" s="9"/>
      <c r="G122" s="9"/>
      <c r="H122" s="9"/>
      <c r="I122" s="9"/>
      <c r="J122" s="9"/>
      <c r="K122" s="9"/>
      <c r="L122" s="9"/>
      <c r="M122" s="9"/>
      <c r="N122" s="9">
        <f>SUM(IF(Career_History!G12=TRUE,IF(A122&lt;Career_History!D12,0,MIN(A122,Career_History!E12)-Career_History!D12+1),0),IF(Career_History!G13=TRUE,IF(A122&lt;Career_History!D13,0,MIN(A122,Career_History!E13)-Career_History!D13+1),0))/365.2425</f>
        <v>33.506505951525355</v>
      </c>
      <c r="O122" s="9">
        <f>SUM(IF(Career_History!I12=TRUE,IF(A122&lt;Career_History!D12,0,MIN(A122,Career_History!E12)-Career_History!D12+1),0),IF(Career_History!I13=TRUE,IF(A122&lt;Career_History!D13,0,MIN(A122,Career_History!E13)-Career_History!D13+1),0))/365.2425</f>
        <v>0</v>
      </c>
      <c r="P122" s="9">
        <f>SUM(IF(Career_History!H12=TRUE,IF(A122&lt;Career_History!D12,0,MIN(A122,Career_History!E12)-Career_History!D12+1),0),IF(Career_History!H13=TRUE,IF(A122&lt;Career_History!D13,0,MIN(A122,Career_History!E13)-Career_History!D13+1),0))/365.2425</f>
        <v>10.001574296529018</v>
      </c>
      <c r="Q122" s="9">
        <f>SUM(IF(Career_History!G14=TRUE,IF(A122&lt;Career_History!D14,0,MIN(A122,Career_History!E14)-Career_History!D14+1),0),IF(Career_History!G15=TRUE,IF(A122&lt;Career_History!D15,0,MIN(A122,Career_History!E15)-Career_History!D15+1),0))/365.2425</f>
        <v>39.258848573208212</v>
      </c>
      <c r="R122" s="9">
        <f>SUM(IF(Career_History!I14=TRUE,IF(A122&lt;Career_History!D14,0,MIN(A122,Career_History!E14)-Career_History!D14+1),0),IF(Career_History!I15=TRUE,IF(A122&lt;Career_History!D15,0,MIN(A122,Career_History!E15)-Career_History!D15+1),0))/365.2425</f>
        <v>0</v>
      </c>
      <c r="S122" s="9">
        <f>SUM(IF(Career_History!H14=TRUE,IF(A122&lt;Career_History!D14,0,MIN(A122,Career_History!E14)-Career_History!D14+1),0),IF(Career_History!H15=TRUE,IF(A122&lt;Career_History!D15,0,MIN(A122,Career_History!E15)-Career_History!D15+1),0))/365.2425</f>
        <v>39.258848573208212</v>
      </c>
      <c r="T122" s="9">
        <f>SUM(IF(Career_History!G16=TRUE,IF(A122&lt;Career_History!D16,0,MIN(A122,Career_History!E16)-Career_History!D16+1),0),IF(Career_History!G17=TRUE,IF(A122&lt;Career_History!D17,0,MIN(A122,Career_History!E17)-Career_History!D17+1),0))/365.2425</f>
        <v>29.506423814315145</v>
      </c>
      <c r="U122" s="9">
        <f>SUM(IF(Career_History!I16=TRUE,IF(A122&lt;Career_History!D16,0,MIN(A122,Career_History!E16)-Career_History!D16+1),0),IF(Career_History!I17=TRUE,IF(A122&lt;Career_History!D17,0,MIN(A122,Career_History!E17)-Career_History!D17+1),0))/365.2425</f>
        <v>21.506259539894728</v>
      </c>
      <c r="V122" s="9">
        <f>SUM(IF(Career_History!H16=TRUE,IF(A122&lt;Career_History!D16,0,MIN(A122,Career_History!E16)-Career_History!D16+1),0),IF(Career_History!H17=TRUE,IF(A122&lt;Career_History!D17,0,MIN(A122,Career_History!E17)-Career_History!D17+1),0))/365.2425</f>
        <v>29.506423814315145</v>
      </c>
      <c r="W122" s="9">
        <f>SUM(IF(Career_History!G18=TRUE,IF(A122&lt;Career_History!D18,0,MIN(A122,Career_History!E18)-Career_History!D18+1),0),IF(Career_History!G19=TRUE,IF(A122&lt;Career_History!D19,0,MIN(A122,Career_History!E19)-Career_History!D19+1),0),IF(Career_History!G20=TRUE,IF(A122&lt;Career_History!D20,0,MIN(A122,Career_History!E20)-Career_History!D20+1),0))/365.2425</f>
        <v>36.504514124177774</v>
      </c>
      <c r="X122" s="9">
        <f>SUM(IF(Career_History!I18=TRUE,IF(A122&lt;Career_History!D18,0,MIN(A122,Career_History!E18)-Career_History!D18+1),0),IF(Career_History!I19=TRUE,IF(A122&lt;Career_History!D19,0,MIN(A122,Career_History!E19)-Career_History!D19+1),0),IF(Career_History!I20=TRUE,IF(A122&lt;Career_History!D20,0,MIN(A122,Career_History!E20)-Career_History!D20+1),0))/365.2425</f>
        <v>0</v>
      </c>
      <c r="Y122" s="9">
        <f>SUM(IF(Career_History!H18=TRUE,IF(A122&lt;Career_History!D18,0,MIN(A122,Career_History!E18)-Career_History!D18+1),0),IF(Career_History!H19=TRUE,IF(A122&lt;Career_History!D19,0,MIN(A122,Career_History!E19)-Career_History!D19+1),0),IF(Career_History!H20=TRUE,IF(A122&lt;Career_History!D20,0,MIN(A122,Career_History!E20)-Career_History!D20+1),0))/365.2425</f>
        <v>6.9269047276809239</v>
      </c>
      <c r="Z122" s="9">
        <f>SUM(IF(Career_History!G21=TRUE,IF(A122&lt;Career_History!D21,0,MIN(A122,Career_History!E21)-Career_History!D21+1),0),IF(Career_History!G22=TRUE,IF(A122&lt;Career_History!D22,0,MIN(A122,Career_History!E22)-Career_History!D22+1),0),IF(Career_History!G23=TRUE,IF(A122&lt;Career_History!D23,0,MIN(A122,Career_History!E23)-Career_History!D23+1),0),IF(Career_History!G24=TRUE,IF(A122&lt;Career_History!D24,0,MIN(A122,Career_History!E24)-Career_History!D24+1),0))/365.2425</f>
        <v>33.506505951525355</v>
      </c>
      <c r="AA122" s="9">
        <f>SUM(IF(Career_History!I21=TRUE,IF(A122&lt;Career_History!D21,0,MIN(A122,Career_History!E21)-Career_History!D21+1),0),IF(Career_History!I22=TRUE,IF(A122&lt;Career_History!D22,0,MIN(A122,Career_History!E22)-Career_History!D22+1),0),IF(Career_History!I23=TRUE,IF(A122&lt;Career_History!D23,0,MIN(A122,Career_History!E23)-Career_History!D23+1),0),IF(Career_History!I24=TRUE,IF(A122&lt;Career_History!D24,0,MIN(A122,Career_History!E24)-Career_History!D24+1),0))/365.2425</f>
        <v>26.505677734655741</v>
      </c>
      <c r="AB122" s="9">
        <f>SUM(IF(Career_History!H21=TRUE,IF(A122&lt;Career_History!D21,0,MIN(A122,Career_History!E21)-Career_History!D21+1),0),IF(Career_History!H22=TRUE,IF(A122&lt;Career_History!D22,0,MIN(A122,Career_History!E22)-Career_History!D22+1),0),IF(Career_History!H23=TRUE,IF(A122&lt;Career_History!D23,0,MIN(A122,Career_History!E23)-Career_History!D23+1),0),IF(Career_History!H24=TRUE,IF(A122&lt;Career_History!D24,0,MIN(A122,Career_History!E24)-Career_History!D24+1),0))/365.2425</f>
        <v>24.422130502337488</v>
      </c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</row>
    <row r="123" spans="1:67">
      <c r="A123" s="8">
        <v>38383</v>
      </c>
      <c r="B123" s="9">
        <f t="shared" si="3"/>
        <v>34.541434800167011</v>
      </c>
      <c r="C123" s="9">
        <f t="shared" si="4"/>
        <v>9.6023874549100938</v>
      </c>
      <c r="D123" s="9">
        <f t="shared" si="5"/>
        <v>22.1080515000308</v>
      </c>
      <c r="E123" s="9"/>
      <c r="F123" s="9"/>
      <c r="G123" s="9"/>
      <c r="H123" s="9"/>
      <c r="I123" s="9"/>
      <c r="J123" s="9"/>
      <c r="K123" s="9"/>
      <c r="L123" s="9"/>
      <c r="M123" s="9"/>
      <c r="N123" s="9">
        <f>SUM(IF(Career_History!G12=TRUE,IF(A123&lt;Career_History!D12,0,MIN(A123,Career_History!E12)-Career_History!D12+1),0),IF(Career_History!G13=TRUE,IF(A123&lt;Career_History!D13,0,MIN(A123,Career_History!E13)-Career_History!D13+1),0))/365.2425</f>
        <v>33.591381068742002</v>
      </c>
      <c r="O123" s="9">
        <f>SUM(IF(Career_History!I12=TRUE,IF(A123&lt;Career_History!D12,0,MIN(A123,Career_History!E12)-Career_History!D12+1),0),IF(Career_History!I13=TRUE,IF(A123&lt;Career_History!D13,0,MIN(A123,Career_History!E13)-Career_History!D13+1),0))/365.2425</f>
        <v>0</v>
      </c>
      <c r="P123" s="9">
        <f>SUM(IF(Career_History!H12=TRUE,IF(A123&lt;Career_History!D12,0,MIN(A123,Career_History!E12)-Career_History!D12+1),0),IF(Career_History!H13=TRUE,IF(A123&lt;Career_History!D13,0,MIN(A123,Career_History!E13)-Career_History!D13+1),0))/365.2425</f>
        <v>10.086449413745662</v>
      </c>
      <c r="Q123" s="9">
        <f>SUM(IF(Career_History!G14=TRUE,IF(A123&lt;Career_History!D14,0,MIN(A123,Career_History!E14)-Career_History!D14+1),0),IF(Career_History!G15=TRUE,IF(A123&lt;Career_History!D15,0,MIN(A123,Career_History!E15)-Career_History!D15+1),0))/365.2425</f>
        <v>39.343723690424852</v>
      </c>
      <c r="R123" s="9">
        <f>SUM(IF(Career_History!I14=TRUE,IF(A123&lt;Career_History!D14,0,MIN(A123,Career_History!E14)-Career_History!D14+1),0),IF(Career_History!I15=TRUE,IF(A123&lt;Career_History!D15,0,MIN(A123,Career_History!E15)-Career_History!D15+1),0))/365.2425</f>
        <v>0</v>
      </c>
      <c r="S123" s="9">
        <f>SUM(IF(Career_History!H14=TRUE,IF(A123&lt;Career_History!D14,0,MIN(A123,Career_History!E14)-Career_History!D14+1),0),IF(Career_History!H15=TRUE,IF(A123&lt;Career_History!D15,0,MIN(A123,Career_History!E15)-Career_History!D15+1),0))/365.2425</f>
        <v>39.343723690424852</v>
      </c>
      <c r="T123" s="9">
        <f>SUM(IF(Career_History!G16=TRUE,IF(A123&lt;Career_History!D16,0,MIN(A123,Career_History!E16)-Career_History!D16+1),0),IF(Career_History!G17=TRUE,IF(A123&lt;Career_History!D17,0,MIN(A123,Career_History!E17)-Career_History!D17+1),0))/365.2425</f>
        <v>29.591298931531789</v>
      </c>
      <c r="U123" s="9">
        <f>SUM(IF(Career_History!I16=TRUE,IF(A123&lt;Career_History!D16,0,MIN(A123,Career_History!E16)-Career_History!D16+1),0),IF(Career_History!I17=TRUE,IF(A123&lt;Career_History!D17,0,MIN(A123,Career_History!E17)-Career_History!D17+1),0))/365.2425</f>
        <v>21.506259539894728</v>
      </c>
      <c r="V123" s="9">
        <f>SUM(IF(Career_History!H16=TRUE,IF(A123&lt;Career_History!D16,0,MIN(A123,Career_History!E16)-Career_History!D16+1),0),IF(Career_History!H17=TRUE,IF(A123&lt;Career_History!D17,0,MIN(A123,Career_History!E17)-Career_History!D17+1),0))/365.2425</f>
        <v>29.591298931531789</v>
      </c>
      <c r="W123" s="9">
        <f>SUM(IF(Career_History!G18=TRUE,IF(A123&lt;Career_History!D18,0,MIN(A123,Career_History!E18)-Career_History!D18+1),0),IF(Career_History!G19=TRUE,IF(A123&lt;Career_History!D19,0,MIN(A123,Career_History!E19)-Career_History!D19+1),0),IF(Career_History!G20=TRUE,IF(A123&lt;Career_History!D20,0,MIN(A123,Career_History!E20)-Career_History!D20+1),0))/365.2425</f>
        <v>36.589389241394414</v>
      </c>
      <c r="X123" s="9">
        <f>SUM(IF(Career_History!I18=TRUE,IF(A123&lt;Career_History!D18,0,MIN(A123,Career_History!E18)-Career_History!D18+1),0),IF(Career_History!I19=TRUE,IF(A123&lt;Career_History!D19,0,MIN(A123,Career_History!E19)-Career_History!D19+1),0),IF(Career_History!I20=TRUE,IF(A123&lt;Career_History!D20,0,MIN(A123,Career_History!E20)-Career_History!D20+1),0))/365.2425</f>
        <v>0</v>
      </c>
      <c r="Y123" s="9">
        <f>SUM(IF(Career_History!H18=TRUE,IF(A123&lt;Career_History!D18,0,MIN(A123,Career_History!E18)-Career_History!D18+1),0),IF(Career_History!H19=TRUE,IF(A123&lt;Career_History!D19,0,MIN(A123,Career_History!E19)-Career_History!D19+1),0),IF(Career_History!H20=TRUE,IF(A123&lt;Career_History!D20,0,MIN(A123,Career_History!E20)-Career_History!D20+1),0))/365.2425</f>
        <v>7.0117798448975677</v>
      </c>
      <c r="Z123" s="9">
        <f>SUM(IF(Career_History!G21=TRUE,IF(A123&lt;Career_History!D21,0,MIN(A123,Career_History!E21)-Career_History!D21+1),0),IF(Career_History!G22=TRUE,IF(A123&lt;Career_History!D22,0,MIN(A123,Career_History!E22)-Career_History!D22+1),0),IF(Career_History!G23=TRUE,IF(A123&lt;Career_History!D23,0,MIN(A123,Career_History!E23)-Career_History!D23+1),0),IF(Career_History!G24=TRUE,IF(A123&lt;Career_History!D24,0,MIN(A123,Career_History!E24)-Career_History!D24+1),0))/365.2425</f>
        <v>33.591381068742002</v>
      </c>
      <c r="AA123" s="9">
        <f>SUM(IF(Career_History!I21=TRUE,IF(A123&lt;Career_History!D21,0,MIN(A123,Career_History!E21)-Career_History!D21+1),0),IF(Career_History!I22=TRUE,IF(A123&lt;Career_History!D22,0,MIN(A123,Career_History!E22)-Career_History!D22+1),0),IF(Career_History!I23=TRUE,IF(A123&lt;Career_History!D23,0,MIN(A123,Career_History!E23)-Career_History!D23+1),0),IF(Career_History!I24=TRUE,IF(A123&lt;Career_History!D24,0,MIN(A123,Career_History!E24)-Career_History!D24+1),0))/365.2425</f>
        <v>26.505677734655741</v>
      </c>
      <c r="AB123" s="9">
        <f>SUM(IF(Career_History!H21=TRUE,IF(A123&lt;Career_History!D21,0,MIN(A123,Career_History!E21)-Career_History!D21+1),0),IF(Career_History!H22=TRUE,IF(A123&lt;Career_History!D22,0,MIN(A123,Career_History!E22)-Career_History!D22+1),0),IF(Career_History!H23=TRUE,IF(A123&lt;Career_History!D23,0,MIN(A123,Career_History!E23)-Career_History!D23+1),0),IF(Career_History!H24=TRUE,IF(A123&lt;Career_History!D24,0,MIN(A123,Career_History!E24)-Career_History!D24+1),0))/365.2425</f>
        <v>24.507005619554132</v>
      </c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</row>
    <row r="124" spans="1:67">
      <c r="A124" s="8">
        <v>38411</v>
      </c>
      <c r="B124" s="9">
        <f t="shared" si="3"/>
        <v>34.618096196362693</v>
      </c>
      <c r="C124" s="9">
        <f t="shared" si="4"/>
        <v>9.6023874549100938</v>
      </c>
      <c r="D124" s="9">
        <f t="shared" si="5"/>
        <v>22.184712896226479</v>
      </c>
      <c r="E124" s="9"/>
      <c r="F124" s="9"/>
      <c r="G124" s="9"/>
      <c r="H124" s="9"/>
      <c r="I124" s="9"/>
      <c r="J124" s="9"/>
      <c r="K124" s="9"/>
      <c r="L124" s="9"/>
      <c r="M124" s="9"/>
      <c r="N124" s="9">
        <f>SUM(IF(Career_History!G12=TRUE,IF(A124&lt;Career_History!D12,0,MIN(A124,Career_History!E12)-Career_History!D12+1),0),IF(Career_History!G13=TRUE,IF(A124&lt;Career_History!D13,0,MIN(A124,Career_History!E13)-Career_History!D13+1),0))/365.2425</f>
        <v>33.668042464937677</v>
      </c>
      <c r="O124" s="9">
        <f>SUM(IF(Career_History!I12=TRUE,IF(A124&lt;Career_History!D12,0,MIN(A124,Career_History!E12)-Career_History!D12+1),0),IF(Career_History!I13=TRUE,IF(A124&lt;Career_History!D13,0,MIN(A124,Career_History!E13)-Career_History!D13+1),0))/365.2425</f>
        <v>0</v>
      </c>
      <c r="P124" s="9">
        <f>SUM(IF(Career_History!H12=TRUE,IF(A124&lt;Career_History!D12,0,MIN(A124,Career_History!E12)-Career_History!D12+1),0),IF(Career_History!H13=TRUE,IF(A124&lt;Career_History!D13,0,MIN(A124,Career_History!E13)-Career_History!D13+1),0))/365.2425</f>
        <v>10.16311080994134</v>
      </c>
      <c r="Q124" s="9">
        <f>SUM(IF(Career_History!G14=TRUE,IF(A124&lt;Career_History!D14,0,MIN(A124,Career_History!E14)-Career_History!D14+1),0),IF(Career_History!G15=TRUE,IF(A124&lt;Career_History!D15,0,MIN(A124,Career_History!E15)-Career_History!D15+1),0))/365.2425</f>
        <v>39.420385086620534</v>
      </c>
      <c r="R124" s="9">
        <f>SUM(IF(Career_History!I14=TRUE,IF(A124&lt;Career_History!D14,0,MIN(A124,Career_History!E14)-Career_History!D14+1),0),IF(Career_History!I15=TRUE,IF(A124&lt;Career_History!D15,0,MIN(A124,Career_History!E15)-Career_History!D15+1),0))/365.2425</f>
        <v>0</v>
      </c>
      <c r="S124" s="9">
        <f>SUM(IF(Career_History!H14=TRUE,IF(A124&lt;Career_History!D14,0,MIN(A124,Career_History!E14)-Career_History!D14+1),0),IF(Career_History!H15=TRUE,IF(A124&lt;Career_History!D15,0,MIN(A124,Career_History!E15)-Career_History!D15+1),0))/365.2425</f>
        <v>39.420385086620534</v>
      </c>
      <c r="T124" s="9">
        <f>SUM(IF(Career_History!G16=TRUE,IF(A124&lt;Career_History!D16,0,MIN(A124,Career_History!E16)-Career_History!D16+1),0),IF(Career_History!G17=TRUE,IF(A124&lt;Career_History!D17,0,MIN(A124,Career_History!E17)-Career_History!D17+1),0))/365.2425</f>
        <v>29.667960327727467</v>
      </c>
      <c r="U124" s="9">
        <f>SUM(IF(Career_History!I16=TRUE,IF(A124&lt;Career_History!D16,0,MIN(A124,Career_History!E16)-Career_History!D16+1),0),IF(Career_History!I17=TRUE,IF(A124&lt;Career_History!D17,0,MIN(A124,Career_History!E17)-Career_History!D17+1),0))/365.2425</f>
        <v>21.506259539894728</v>
      </c>
      <c r="V124" s="9">
        <f>SUM(IF(Career_History!H16=TRUE,IF(A124&lt;Career_History!D16,0,MIN(A124,Career_History!E16)-Career_History!D16+1),0),IF(Career_History!H17=TRUE,IF(A124&lt;Career_History!D17,0,MIN(A124,Career_History!E17)-Career_History!D17+1),0))/365.2425</f>
        <v>29.667960327727467</v>
      </c>
      <c r="W124" s="9">
        <f>SUM(IF(Career_History!G18=TRUE,IF(A124&lt;Career_History!D18,0,MIN(A124,Career_History!E18)-Career_History!D18+1),0),IF(Career_History!G19=TRUE,IF(A124&lt;Career_History!D19,0,MIN(A124,Career_History!E19)-Career_History!D19+1),0),IF(Career_History!G20=TRUE,IF(A124&lt;Career_History!D20,0,MIN(A124,Career_History!E20)-Career_History!D20+1),0))/365.2425</f>
        <v>36.666050637590097</v>
      </c>
      <c r="X124" s="9">
        <f>SUM(IF(Career_History!I18=TRUE,IF(A124&lt;Career_History!D18,0,MIN(A124,Career_History!E18)-Career_History!D18+1),0),IF(Career_History!I19=TRUE,IF(A124&lt;Career_History!D19,0,MIN(A124,Career_History!E19)-Career_History!D19+1),0),IF(Career_History!I20=TRUE,IF(A124&lt;Career_History!D20,0,MIN(A124,Career_History!E20)-Career_History!D20+1),0))/365.2425</f>
        <v>0</v>
      </c>
      <c r="Y124" s="9">
        <f>SUM(IF(Career_History!H18=TRUE,IF(A124&lt;Career_History!D18,0,MIN(A124,Career_History!E18)-Career_History!D18+1),0),IF(Career_History!H19=TRUE,IF(A124&lt;Career_History!D19,0,MIN(A124,Career_History!E19)-Career_History!D19+1),0),IF(Career_History!H20=TRUE,IF(A124&lt;Career_History!D20,0,MIN(A124,Career_History!E20)-Career_History!D20+1),0))/365.2425</f>
        <v>7.0884412410932462</v>
      </c>
      <c r="Z124" s="9">
        <f>SUM(IF(Career_History!G21=TRUE,IF(A124&lt;Career_History!D21,0,MIN(A124,Career_History!E21)-Career_History!D21+1),0),IF(Career_History!G22=TRUE,IF(A124&lt;Career_History!D22,0,MIN(A124,Career_History!E22)-Career_History!D22+1),0),IF(Career_History!G23=TRUE,IF(A124&lt;Career_History!D23,0,MIN(A124,Career_History!E23)-Career_History!D23+1),0),IF(Career_History!G24=TRUE,IF(A124&lt;Career_History!D24,0,MIN(A124,Career_History!E24)-Career_History!D24+1),0))/365.2425</f>
        <v>33.668042464937677</v>
      </c>
      <c r="AA124" s="9">
        <f>SUM(IF(Career_History!I21=TRUE,IF(A124&lt;Career_History!D21,0,MIN(A124,Career_History!E21)-Career_History!D21+1),0),IF(Career_History!I22=TRUE,IF(A124&lt;Career_History!D22,0,MIN(A124,Career_History!E22)-Career_History!D22+1),0),IF(Career_History!I23=TRUE,IF(A124&lt;Career_History!D23,0,MIN(A124,Career_History!E23)-Career_History!D23+1),0),IF(Career_History!I24=TRUE,IF(A124&lt;Career_History!D24,0,MIN(A124,Career_History!E24)-Career_History!D24+1),0))/365.2425</f>
        <v>26.505677734655741</v>
      </c>
      <c r="AB124" s="9">
        <f>SUM(IF(Career_History!H21=TRUE,IF(A124&lt;Career_History!D21,0,MIN(A124,Career_History!E21)-Career_History!D21+1),0),IF(Career_History!H22=TRUE,IF(A124&lt;Career_History!D22,0,MIN(A124,Career_History!E22)-Career_History!D22+1),0),IF(Career_History!H23=TRUE,IF(A124&lt;Career_History!D23,0,MIN(A124,Career_History!E23)-Career_History!D23+1),0),IF(Career_History!H24=TRUE,IF(A124&lt;Career_History!D24,0,MIN(A124,Career_History!E24)-Career_History!D24+1),0))/365.2425</f>
        <v>24.583667015749811</v>
      </c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</row>
    <row r="125" spans="1:67">
      <c r="A125" s="8">
        <v>38442</v>
      </c>
      <c r="B125" s="9">
        <f t="shared" si="3"/>
        <v>34.70297131357934</v>
      </c>
      <c r="C125" s="9">
        <f t="shared" si="4"/>
        <v>9.6023874549100938</v>
      </c>
      <c r="D125" s="9">
        <f t="shared" si="5"/>
        <v>22.269588013443123</v>
      </c>
      <c r="E125" s="9"/>
      <c r="F125" s="9"/>
      <c r="G125" s="9"/>
      <c r="H125" s="9"/>
      <c r="I125" s="9"/>
      <c r="J125" s="9"/>
      <c r="K125" s="9"/>
      <c r="L125" s="9"/>
      <c r="M125" s="9"/>
      <c r="N125" s="9">
        <f>SUM(IF(Career_History!G12=TRUE,IF(A125&lt;Career_History!D12,0,MIN(A125,Career_History!E12)-Career_History!D12+1),0),IF(Career_History!G13=TRUE,IF(A125&lt;Career_History!D13,0,MIN(A125,Career_History!E13)-Career_History!D13+1),0))/365.2425</f>
        <v>33.752917582154325</v>
      </c>
      <c r="O125" s="9">
        <f>SUM(IF(Career_History!I12=TRUE,IF(A125&lt;Career_History!D12,0,MIN(A125,Career_History!E12)-Career_History!D12+1),0),IF(Career_History!I13=TRUE,IF(A125&lt;Career_History!D13,0,MIN(A125,Career_History!E13)-Career_History!D13+1),0))/365.2425</f>
        <v>0</v>
      </c>
      <c r="P125" s="9">
        <f>SUM(IF(Career_History!H12=TRUE,IF(A125&lt;Career_History!D12,0,MIN(A125,Career_History!E12)-Career_History!D12+1),0),IF(Career_History!H13=TRUE,IF(A125&lt;Career_History!D13,0,MIN(A125,Career_History!E13)-Career_History!D13+1),0))/365.2425</f>
        <v>10.247985927157984</v>
      </c>
      <c r="Q125" s="9">
        <f>SUM(IF(Career_History!G14=TRUE,IF(A125&lt;Career_History!D14,0,MIN(A125,Career_History!E14)-Career_History!D14+1),0),IF(Career_History!G15=TRUE,IF(A125&lt;Career_History!D15,0,MIN(A125,Career_History!E15)-Career_History!D15+1),0))/365.2425</f>
        <v>39.505260203837175</v>
      </c>
      <c r="R125" s="9">
        <f>SUM(IF(Career_History!I14=TRUE,IF(A125&lt;Career_History!D14,0,MIN(A125,Career_History!E14)-Career_History!D14+1),0),IF(Career_History!I15=TRUE,IF(A125&lt;Career_History!D15,0,MIN(A125,Career_History!E15)-Career_History!D15+1),0))/365.2425</f>
        <v>0</v>
      </c>
      <c r="S125" s="9">
        <f>SUM(IF(Career_History!H14=TRUE,IF(A125&lt;Career_History!D14,0,MIN(A125,Career_History!E14)-Career_History!D14+1),0),IF(Career_History!H15=TRUE,IF(A125&lt;Career_History!D15,0,MIN(A125,Career_History!E15)-Career_History!D15+1),0))/365.2425</f>
        <v>39.505260203837175</v>
      </c>
      <c r="T125" s="9">
        <f>SUM(IF(Career_History!G16=TRUE,IF(A125&lt;Career_History!D16,0,MIN(A125,Career_History!E16)-Career_History!D16+1),0),IF(Career_History!G17=TRUE,IF(A125&lt;Career_History!D17,0,MIN(A125,Career_History!E17)-Career_History!D17+1),0))/365.2425</f>
        <v>29.752835444944111</v>
      </c>
      <c r="U125" s="9">
        <f>SUM(IF(Career_History!I16=TRUE,IF(A125&lt;Career_History!D16,0,MIN(A125,Career_History!E16)-Career_History!D16+1),0),IF(Career_History!I17=TRUE,IF(A125&lt;Career_History!D17,0,MIN(A125,Career_History!E17)-Career_History!D17+1),0))/365.2425</f>
        <v>21.506259539894728</v>
      </c>
      <c r="V125" s="9">
        <f>SUM(IF(Career_History!H16=TRUE,IF(A125&lt;Career_History!D16,0,MIN(A125,Career_History!E16)-Career_History!D16+1),0),IF(Career_History!H17=TRUE,IF(A125&lt;Career_History!D17,0,MIN(A125,Career_History!E17)-Career_History!D17+1),0))/365.2425</f>
        <v>29.752835444944111</v>
      </c>
      <c r="W125" s="9">
        <f>SUM(IF(Career_History!G18=TRUE,IF(A125&lt;Career_History!D18,0,MIN(A125,Career_History!E18)-Career_History!D18+1),0),IF(Career_History!G19=TRUE,IF(A125&lt;Career_History!D19,0,MIN(A125,Career_History!E19)-Career_History!D19+1),0),IF(Career_History!G20=TRUE,IF(A125&lt;Career_History!D20,0,MIN(A125,Career_History!E20)-Career_History!D20+1),0))/365.2425</f>
        <v>36.750925754806737</v>
      </c>
      <c r="X125" s="9">
        <f>SUM(IF(Career_History!I18=TRUE,IF(A125&lt;Career_History!D18,0,MIN(A125,Career_History!E18)-Career_History!D18+1),0),IF(Career_History!I19=TRUE,IF(A125&lt;Career_History!D19,0,MIN(A125,Career_History!E19)-Career_History!D19+1),0),IF(Career_History!I20=TRUE,IF(A125&lt;Career_History!D20,0,MIN(A125,Career_History!E20)-Career_History!D20+1),0))/365.2425</f>
        <v>0</v>
      </c>
      <c r="Y125" s="9">
        <f>SUM(IF(Career_History!H18=TRUE,IF(A125&lt;Career_History!D18,0,MIN(A125,Career_History!E18)-Career_History!D18+1),0),IF(Career_History!H19=TRUE,IF(A125&lt;Career_History!D19,0,MIN(A125,Career_History!E19)-Career_History!D19+1),0),IF(Career_History!H20=TRUE,IF(A125&lt;Career_History!D20,0,MIN(A125,Career_History!E20)-Career_History!D20+1),0))/365.2425</f>
        <v>7.17331635830989</v>
      </c>
      <c r="Z125" s="9">
        <f>SUM(IF(Career_History!G21=TRUE,IF(A125&lt;Career_History!D21,0,MIN(A125,Career_History!E21)-Career_History!D21+1),0),IF(Career_History!G22=TRUE,IF(A125&lt;Career_History!D22,0,MIN(A125,Career_History!E22)-Career_History!D22+1),0),IF(Career_History!G23=TRUE,IF(A125&lt;Career_History!D23,0,MIN(A125,Career_History!E23)-Career_History!D23+1),0),IF(Career_History!G24=TRUE,IF(A125&lt;Career_History!D24,0,MIN(A125,Career_History!E24)-Career_History!D24+1),0))/365.2425</f>
        <v>33.752917582154325</v>
      </c>
      <c r="AA125" s="9">
        <f>SUM(IF(Career_History!I21=TRUE,IF(A125&lt;Career_History!D21,0,MIN(A125,Career_History!E21)-Career_History!D21+1),0),IF(Career_History!I22=TRUE,IF(A125&lt;Career_History!D22,0,MIN(A125,Career_History!E22)-Career_History!D22+1),0),IF(Career_History!I23=TRUE,IF(A125&lt;Career_History!D23,0,MIN(A125,Career_History!E23)-Career_History!D23+1),0),IF(Career_History!I24=TRUE,IF(A125&lt;Career_History!D24,0,MIN(A125,Career_History!E24)-Career_History!D24+1),0))/365.2425</f>
        <v>26.505677734655741</v>
      </c>
      <c r="AB125" s="9">
        <f>SUM(IF(Career_History!H21=TRUE,IF(A125&lt;Career_History!D21,0,MIN(A125,Career_History!E21)-Career_History!D21+1),0),IF(Career_History!H22=TRUE,IF(A125&lt;Career_History!D22,0,MIN(A125,Career_History!E22)-Career_History!D22+1),0),IF(Career_History!H23=TRUE,IF(A125&lt;Career_History!D23,0,MIN(A125,Career_History!E23)-Career_History!D23+1),0),IF(Career_History!H24=TRUE,IF(A125&lt;Career_History!D24,0,MIN(A125,Career_History!E24)-Career_History!D24+1),0))/365.2425</f>
        <v>24.668542132966454</v>
      </c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</row>
    <row r="126" spans="1:67">
      <c r="A126" s="8">
        <v>38472</v>
      </c>
      <c r="B126" s="9">
        <f t="shared" si="3"/>
        <v>34.785108523788985</v>
      </c>
      <c r="C126" s="9">
        <f t="shared" si="4"/>
        <v>9.6023874549100938</v>
      </c>
      <c r="D126" s="9">
        <f t="shared" si="5"/>
        <v>22.351725223652778</v>
      </c>
      <c r="E126" s="9"/>
      <c r="F126" s="9"/>
      <c r="G126" s="9"/>
      <c r="H126" s="9"/>
      <c r="I126" s="9"/>
      <c r="J126" s="9"/>
      <c r="K126" s="9"/>
      <c r="L126" s="9"/>
      <c r="M126" s="9"/>
      <c r="N126" s="9">
        <f>SUM(IF(Career_History!G12=TRUE,IF(A126&lt;Career_History!D12,0,MIN(A126,Career_History!E12)-Career_History!D12+1),0),IF(Career_History!G13=TRUE,IF(A126&lt;Career_History!D13,0,MIN(A126,Career_History!E13)-Career_History!D13+1),0))/365.2425</f>
        <v>33.835054792363977</v>
      </c>
      <c r="O126" s="9">
        <f>SUM(IF(Career_History!I12=TRUE,IF(A126&lt;Career_History!D12,0,MIN(A126,Career_History!E12)-Career_History!D12+1),0),IF(Career_History!I13=TRUE,IF(A126&lt;Career_History!D13,0,MIN(A126,Career_History!E13)-Career_History!D13+1),0))/365.2425</f>
        <v>0</v>
      </c>
      <c r="P126" s="9">
        <f>SUM(IF(Career_History!H12=TRUE,IF(A126&lt;Career_History!D12,0,MIN(A126,Career_History!E12)-Career_History!D12+1),0),IF(Career_History!H13=TRUE,IF(A126&lt;Career_History!D13,0,MIN(A126,Career_History!E13)-Career_History!D13+1),0))/365.2425</f>
        <v>10.330123137367639</v>
      </c>
      <c r="Q126" s="9">
        <f>SUM(IF(Career_History!G14=TRUE,IF(A126&lt;Career_History!D14,0,MIN(A126,Career_History!E14)-Career_History!D14+1),0),IF(Career_History!G15=TRUE,IF(A126&lt;Career_History!D15,0,MIN(A126,Career_History!E15)-Career_History!D15+1),0))/365.2425</f>
        <v>39.587397414046833</v>
      </c>
      <c r="R126" s="9">
        <f>SUM(IF(Career_History!I14=TRUE,IF(A126&lt;Career_History!D14,0,MIN(A126,Career_History!E14)-Career_History!D14+1),0),IF(Career_History!I15=TRUE,IF(A126&lt;Career_History!D15,0,MIN(A126,Career_History!E15)-Career_History!D15+1),0))/365.2425</f>
        <v>0</v>
      </c>
      <c r="S126" s="9">
        <f>SUM(IF(Career_History!H14=TRUE,IF(A126&lt;Career_History!D14,0,MIN(A126,Career_History!E14)-Career_History!D14+1),0),IF(Career_History!H15=TRUE,IF(A126&lt;Career_History!D15,0,MIN(A126,Career_History!E15)-Career_History!D15+1),0))/365.2425</f>
        <v>39.587397414046833</v>
      </c>
      <c r="T126" s="9">
        <f>SUM(IF(Career_History!G16=TRUE,IF(A126&lt;Career_History!D16,0,MIN(A126,Career_History!E16)-Career_History!D16+1),0),IF(Career_History!G17=TRUE,IF(A126&lt;Career_History!D17,0,MIN(A126,Career_History!E17)-Career_History!D17+1),0))/365.2425</f>
        <v>29.834972655153766</v>
      </c>
      <c r="U126" s="9">
        <f>SUM(IF(Career_History!I16=TRUE,IF(A126&lt;Career_History!D16,0,MIN(A126,Career_History!E16)-Career_History!D16+1),0),IF(Career_History!I17=TRUE,IF(A126&lt;Career_History!D17,0,MIN(A126,Career_History!E17)-Career_History!D17+1),0))/365.2425</f>
        <v>21.506259539894728</v>
      </c>
      <c r="V126" s="9">
        <f>SUM(IF(Career_History!H16=TRUE,IF(A126&lt;Career_History!D16,0,MIN(A126,Career_History!E16)-Career_History!D16+1),0),IF(Career_History!H17=TRUE,IF(A126&lt;Career_History!D17,0,MIN(A126,Career_History!E17)-Career_History!D17+1),0))/365.2425</f>
        <v>29.834972655153766</v>
      </c>
      <c r="W126" s="9">
        <f>SUM(IF(Career_History!G18=TRUE,IF(A126&lt;Career_History!D18,0,MIN(A126,Career_History!E18)-Career_History!D18+1),0),IF(Career_History!G19=TRUE,IF(A126&lt;Career_History!D19,0,MIN(A126,Career_History!E19)-Career_History!D19+1),0),IF(Career_History!G20=TRUE,IF(A126&lt;Career_History!D20,0,MIN(A126,Career_History!E20)-Career_History!D20+1),0))/365.2425</f>
        <v>36.833062965016396</v>
      </c>
      <c r="X126" s="9">
        <f>SUM(IF(Career_History!I18=TRUE,IF(A126&lt;Career_History!D18,0,MIN(A126,Career_History!E18)-Career_History!D18+1),0),IF(Career_History!I19=TRUE,IF(A126&lt;Career_History!D19,0,MIN(A126,Career_History!E19)-Career_History!D19+1),0),IF(Career_History!I20=TRUE,IF(A126&lt;Career_History!D20,0,MIN(A126,Career_History!E20)-Career_History!D20+1),0))/365.2425</f>
        <v>0</v>
      </c>
      <c r="Y126" s="9">
        <f>SUM(IF(Career_History!H18=TRUE,IF(A126&lt;Career_History!D18,0,MIN(A126,Career_History!E18)-Career_History!D18+1),0),IF(Career_History!H19=TRUE,IF(A126&lt;Career_History!D19,0,MIN(A126,Career_History!E19)-Career_History!D19+1),0),IF(Career_History!H20=TRUE,IF(A126&lt;Career_History!D20,0,MIN(A126,Career_History!E20)-Career_History!D20+1),0))/365.2425</f>
        <v>7.2554535685195454</v>
      </c>
      <c r="Z126" s="9">
        <f>SUM(IF(Career_History!G21=TRUE,IF(A126&lt;Career_History!D21,0,MIN(A126,Career_History!E21)-Career_History!D21+1),0),IF(Career_History!G22=TRUE,IF(A126&lt;Career_History!D22,0,MIN(A126,Career_History!E22)-Career_History!D22+1),0),IF(Career_History!G23=TRUE,IF(A126&lt;Career_History!D23,0,MIN(A126,Career_History!E23)-Career_History!D23+1),0),IF(Career_History!G24=TRUE,IF(A126&lt;Career_History!D24,0,MIN(A126,Career_History!E24)-Career_History!D24+1),0))/365.2425</f>
        <v>33.835054792363977</v>
      </c>
      <c r="AA126" s="9">
        <f>SUM(IF(Career_History!I21=TRUE,IF(A126&lt;Career_History!D21,0,MIN(A126,Career_History!E21)-Career_History!D21+1),0),IF(Career_History!I22=TRUE,IF(A126&lt;Career_History!D22,0,MIN(A126,Career_History!E22)-Career_History!D22+1),0),IF(Career_History!I23=TRUE,IF(A126&lt;Career_History!D23,0,MIN(A126,Career_History!E23)-Career_History!D23+1),0),IF(Career_History!I24=TRUE,IF(A126&lt;Career_History!D24,0,MIN(A126,Career_History!E24)-Career_History!D24+1),0))/365.2425</f>
        <v>26.505677734655741</v>
      </c>
      <c r="AB126" s="9">
        <f>SUM(IF(Career_History!H21=TRUE,IF(A126&lt;Career_History!D21,0,MIN(A126,Career_History!E21)-Career_History!D21+1),0),IF(Career_History!H22=TRUE,IF(A126&lt;Career_History!D22,0,MIN(A126,Career_History!E22)-Career_History!D22+1),0),IF(Career_History!H23=TRUE,IF(A126&lt;Career_History!D23,0,MIN(A126,Career_History!E23)-Career_History!D23+1),0),IF(Career_History!H24=TRUE,IF(A126&lt;Career_History!D24,0,MIN(A126,Career_History!E24)-Career_History!D24+1),0))/365.2425</f>
        <v>24.75067934317611</v>
      </c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</row>
    <row r="127" spans="1:67">
      <c r="A127" s="8">
        <v>38503</v>
      </c>
      <c r="B127" s="9">
        <f t="shared" si="3"/>
        <v>34.869983641005632</v>
      </c>
      <c r="C127" s="9">
        <f t="shared" si="4"/>
        <v>9.6023874549100938</v>
      </c>
      <c r="D127" s="9">
        <f t="shared" si="5"/>
        <v>22.436600340869422</v>
      </c>
      <c r="E127" s="9"/>
      <c r="F127" s="9"/>
      <c r="G127" s="9"/>
      <c r="H127" s="9"/>
      <c r="I127" s="9"/>
      <c r="J127" s="9"/>
      <c r="K127" s="9"/>
      <c r="L127" s="9"/>
      <c r="M127" s="9"/>
      <c r="N127" s="9">
        <f>SUM(IF(Career_History!G12=TRUE,IF(A127&lt;Career_History!D12,0,MIN(A127,Career_History!E12)-Career_History!D12+1),0),IF(Career_History!G13=TRUE,IF(A127&lt;Career_History!D13,0,MIN(A127,Career_History!E13)-Career_History!D13+1),0))/365.2425</f>
        <v>33.919929909580624</v>
      </c>
      <c r="O127" s="9">
        <f>SUM(IF(Career_History!I12=TRUE,IF(A127&lt;Career_History!D12,0,MIN(A127,Career_History!E12)-Career_History!D12+1),0),IF(Career_History!I13=TRUE,IF(A127&lt;Career_History!D13,0,MIN(A127,Career_History!E13)-Career_History!D13+1),0))/365.2425</f>
        <v>0</v>
      </c>
      <c r="P127" s="9">
        <f>SUM(IF(Career_History!H12=TRUE,IF(A127&lt;Career_History!D12,0,MIN(A127,Career_History!E12)-Career_History!D12+1),0),IF(Career_History!H13=TRUE,IF(A127&lt;Career_History!D13,0,MIN(A127,Career_History!E13)-Career_History!D13+1),0))/365.2425</f>
        <v>10.414998254584283</v>
      </c>
      <c r="Q127" s="9">
        <f>SUM(IF(Career_History!G14=TRUE,IF(A127&lt;Career_History!D14,0,MIN(A127,Career_History!E14)-Career_History!D14+1),0),IF(Career_History!G15=TRUE,IF(A127&lt;Career_History!D15,0,MIN(A127,Career_History!E15)-Career_History!D15+1),0))/365.2425</f>
        <v>39.672272531263474</v>
      </c>
      <c r="R127" s="9">
        <f>SUM(IF(Career_History!I14=TRUE,IF(A127&lt;Career_History!D14,0,MIN(A127,Career_History!E14)-Career_History!D14+1),0),IF(Career_History!I15=TRUE,IF(A127&lt;Career_History!D15,0,MIN(A127,Career_History!E15)-Career_History!D15+1),0))/365.2425</f>
        <v>0</v>
      </c>
      <c r="S127" s="9">
        <f>SUM(IF(Career_History!H14=TRUE,IF(A127&lt;Career_History!D14,0,MIN(A127,Career_History!E14)-Career_History!D14+1),0),IF(Career_History!H15=TRUE,IF(A127&lt;Career_History!D15,0,MIN(A127,Career_History!E15)-Career_History!D15+1),0))/365.2425</f>
        <v>39.672272531263474</v>
      </c>
      <c r="T127" s="9">
        <f>SUM(IF(Career_History!G16=TRUE,IF(A127&lt;Career_History!D16,0,MIN(A127,Career_History!E16)-Career_History!D16+1),0),IF(Career_History!G17=TRUE,IF(A127&lt;Career_History!D17,0,MIN(A127,Career_History!E17)-Career_History!D17+1),0))/365.2425</f>
        <v>29.91984777237041</v>
      </c>
      <c r="U127" s="9">
        <f>SUM(IF(Career_History!I16=TRUE,IF(A127&lt;Career_History!D16,0,MIN(A127,Career_History!E16)-Career_History!D16+1),0),IF(Career_History!I17=TRUE,IF(A127&lt;Career_History!D17,0,MIN(A127,Career_History!E17)-Career_History!D17+1),0))/365.2425</f>
        <v>21.506259539894728</v>
      </c>
      <c r="V127" s="9">
        <f>SUM(IF(Career_History!H16=TRUE,IF(A127&lt;Career_History!D16,0,MIN(A127,Career_History!E16)-Career_History!D16+1),0),IF(Career_History!H17=TRUE,IF(A127&lt;Career_History!D17,0,MIN(A127,Career_History!E17)-Career_History!D17+1),0))/365.2425</f>
        <v>29.91984777237041</v>
      </c>
      <c r="W127" s="9">
        <f>SUM(IF(Career_History!G18=TRUE,IF(A127&lt;Career_History!D18,0,MIN(A127,Career_History!E18)-Career_History!D18+1),0),IF(Career_History!G19=TRUE,IF(A127&lt;Career_History!D19,0,MIN(A127,Career_History!E19)-Career_History!D19+1),0),IF(Career_History!G20=TRUE,IF(A127&lt;Career_History!D20,0,MIN(A127,Career_History!E20)-Career_History!D20+1),0))/365.2425</f>
        <v>36.917938082233036</v>
      </c>
      <c r="X127" s="9">
        <f>SUM(IF(Career_History!I18=TRUE,IF(A127&lt;Career_History!D18,0,MIN(A127,Career_History!E18)-Career_History!D18+1),0),IF(Career_History!I19=TRUE,IF(A127&lt;Career_History!D19,0,MIN(A127,Career_History!E19)-Career_History!D19+1),0),IF(Career_History!I20=TRUE,IF(A127&lt;Career_History!D20,0,MIN(A127,Career_History!E20)-Career_History!D20+1),0))/365.2425</f>
        <v>0</v>
      </c>
      <c r="Y127" s="9">
        <f>SUM(IF(Career_History!H18=TRUE,IF(A127&lt;Career_History!D18,0,MIN(A127,Career_History!E18)-Career_History!D18+1),0),IF(Career_History!H19=TRUE,IF(A127&lt;Career_History!D19,0,MIN(A127,Career_History!E19)-Career_History!D19+1),0),IF(Career_History!H20=TRUE,IF(A127&lt;Career_History!D20,0,MIN(A127,Career_History!E20)-Career_History!D20+1),0))/365.2425</f>
        <v>7.3403286857361891</v>
      </c>
      <c r="Z127" s="9">
        <f>SUM(IF(Career_History!G21=TRUE,IF(A127&lt;Career_History!D21,0,MIN(A127,Career_History!E21)-Career_History!D21+1),0),IF(Career_History!G22=TRUE,IF(A127&lt;Career_History!D22,0,MIN(A127,Career_History!E22)-Career_History!D22+1),0),IF(Career_History!G23=TRUE,IF(A127&lt;Career_History!D23,0,MIN(A127,Career_History!E23)-Career_History!D23+1),0),IF(Career_History!G24=TRUE,IF(A127&lt;Career_History!D24,0,MIN(A127,Career_History!E24)-Career_History!D24+1),0))/365.2425</f>
        <v>33.919929909580624</v>
      </c>
      <c r="AA127" s="9">
        <f>SUM(IF(Career_History!I21=TRUE,IF(A127&lt;Career_History!D21,0,MIN(A127,Career_History!E21)-Career_History!D21+1),0),IF(Career_History!I22=TRUE,IF(A127&lt;Career_History!D22,0,MIN(A127,Career_History!E22)-Career_History!D22+1),0),IF(Career_History!I23=TRUE,IF(A127&lt;Career_History!D23,0,MIN(A127,Career_History!E23)-Career_History!D23+1),0),IF(Career_History!I24=TRUE,IF(A127&lt;Career_History!D24,0,MIN(A127,Career_History!E24)-Career_History!D24+1),0))/365.2425</f>
        <v>26.505677734655741</v>
      </c>
      <c r="AB127" s="9">
        <f>SUM(IF(Career_History!H21=TRUE,IF(A127&lt;Career_History!D21,0,MIN(A127,Career_History!E21)-Career_History!D21+1),0),IF(Career_History!H22=TRUE,IF(A127&lt;Career_History!D22,0,MIN(A127,Career_History!E22)-Career_History!D22+1),0),IF(Career_History!H23=TRUE,IF(A127&lt;Career_History!D23,0,MIN(A127,Career_History!E23)-Career_History!D23+1),0),IF(Career_History!H24=TRUE,IF(A127&lt;Career_History!D24,0,MIN(A127,Career_History!E24)-Career_History!D24+1),0))/365.2425</f>
        <v>24.835554460392753</v>
      </c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</row>
    <row r="128" spans="1:67">
      <c r="A128" s="8">
        <v>38533</v>
      </c>
      <c r="B128" s="9">
        <f t="shared" si="3"/>
        <v>34.952120851215291</v>
      </c>
      <c r="C128" s="9">
        <f t="shared" si="4"/>
        <v>9.6023874549100938</v>
      </c>
      <c r="D128" s="9">
        <f t="shared" si="5"/>
        <v>22.518737551079077</v>
      </c>
      <c r="E128" s="9"/>
      <c r="F128" s="9"/>
      <c r="G128" s="9"/>
      <c r="H128" s="9"/>
      <c r="I128" s="9"/>
      <c r="J128" s="9"/>
      <c r="K128" s="9"/>
      <c r="L128" s="9"/>
      <c r="M128" s="9"/>
      <c r="N128" s="9">
        <f>SUM(IF(Career_History!G12=TRUE,IF(A128&lt;Career_History!D12,0,MIN(A128,Career_History!E12)-Career_History!D12+1),0),IF(Career_History!G13=TRUE,IF(A128&lt;Career_History!D13,0,MIN(A128,Career_History!E13)-Career_History!D13+1),0))/365.2425</f>
        <v>34.002067119790276</v>
      </c>
      <c r="O128" s="9">
        <f>SUM(IF(Career_History!I12=TRUE,IF(A128&lt;Career_History!D12,0,MIN(A128,Career_History!E12)-Career_History!D12+1),0),IF(Career_History!I13=TRUE,IF(A128&lt;Career_History!D13,0,MIN(A128,Career_History!E13)-Career_History!D13+1),0))/365.2425</f>
        <v>0</v>
      </c>
      <c r="P128" s="9">
        <f>SUM(IF(Career_History!H12=TRUE,IF(A128&lt;Career_History!D12,0,MIN(A128,Career_History!E12)-Career_History!D12+1),0),IF(Career_History!H13=TRUE,IF(A128&lt;Career_History!D13,0,MIN(A128,Career_History!E13)-Career_History!D13+1),0))/365.2425</f>
        <v>10.497135464793939</v>
      </c>
      <c r="Q128" s="9">
        <f>SUM(IF(Career_History!G14=TRUE,IF(A128&lt;Career_History!D14,0,MIN(A128,Career_History!E14)-Career_History!D14+1),0),IF(Career_History!G15=TRUE,IF(A128&lt;Career_History!D15,0,MIN(A128,Career_History!E15)-Career_History!D15+1),0))/365.2425</f>
        <v>39.754409741473133</v>
      </c>
      <c r="R128" s="9">
        <f>SUM(IF(Career_History!I14=TRUE,IF(A128&lt;Career_History!D14,0,MIN(A128,Career_History!E14)-Career_History!D14+1),0),IF(Career_History!I15=TRUE,IF(A128&lt;Career_History!D15,0,MIN(A128,Career_History!E15)-Career_History!D15+1),0))/365.2425</f>
        <v>0</v>
      </c>
      <c r="S128" s="9">
        <f>SUM(IF(Career_History!H14=TRUE,IF(A128&lt;Career_History!D14,0,MIN(A128,Career_History!E14)-Career_History!D14+1),0),IF(Career_History!H15=TRUE,IF(A128&lt;Career_History!D15,0,MIN(A128,Career_History!E15)-Career_History!D15+1),0))/365.2425</f>
        <v>39.754409741473133</v>
      </c>
      <c r="T128" s="9">
        <f>SUM(IF(Career_History!G16=TRUE,IF(A128&lt;Career_History!D16,0,MIN(A128,Career_History!E16)-Career_History!D16+1),0),IF(Career_History!G17=TRUE,IF(A128&lt;Career_History!D17,0,MIN(A128,Career_History!E17)-Career_History!D17+1),0))/365.2425</f>
        <v>30.001984982580066</v>
      </c>
      <c r="U128" s="9">
        <f>SUM(IF(Career_History!I16=TRUE,IF(A128&lt;Career_History!D16,0,MIN(A128,Career_History!E16)-Career_History!D16+1),0),IF(Career_History!I17=TRUE,IF(A128&lt;Career_History!D17,0,MIN(A128,Career_History!E17)-Career_History!D17+1),0))/365.2425</f>
        <v>21.506259539894728</v>
      </c>
      <c r="V128" s="9">
        <f>SUM(IF(Career_History!H16=TRUE,IF(A128&lt;Career_History!D16,0,MIN(A128,Career_History!E16)-Career_History!D16+1),0),IF(Career_History!H17=TRUE,IF(A128&lt;Career_History!D17,0,MIN(A128,Career_History!E17)-Career_History!D17+1),0))/365.2425</f>
        <v>30.001984982580066</v>
      </c>
      <c r="W128" s="9">
        <f>SUM(IF(Career_History!G18=TRUE,IF(A128&lt;Career_History!D18,0,MIN(A128,Career_History!E18)-Career_History!D18+1),0),IF(Career_History!G19=TRUE,IF(A128&lt;Career_History!D19,0,MIN(A128,Career_History!E19)-Career_History!D19+1),0),IF(Career_History!G20=TRUE,IF(A128&lt;Career_History!D20,0,MIN(A128,Career_History!E20)-Career_History!D20+1),0))/365.2425</f>
        <v>37.000075292442695</v>
      </c>
      <c r="X128" s="9">
        <f>SUM(IF(Career_History!I18=TRUE,IF(A128&lt;Career_History!D18,0,MIN(A128,Career_History!E18)-Career_History!D18+1),0),IF(Career_History!I19=TRUE,IF(A128&lt;Career_History!D19,0,MIN(A128,Career_History!E19)-Career_History!D19+1),0),IF(Career_History!I20=TRUE,IF(A128&lt;Career_History!D20,0,MIN(A128,Career_History!E20)-Career_History!D20+1),0))/365.2425</f>
        <v>0</v>
      </c>
      <c r="Y128" s="9">
        <f>SUM(IF(Career_History!H18=TRUE,IF(A128&lt;Career_History!D18,0,MIN(A128,Career_History!E18)-Career_History!D18+1),0),IF(Career_History!H19=TRUE,IF(A128&lt;Career_History!D19,0,MIN(A128,Career_History!E19)-Career_History!D19+1),0),IF(Career_History!H20=TRUE,IF(A128&lt;Career_History!D20,0,MIN(A128,Career_History!E20)-Career_History!D20+1),0))/365.2425</f>
        <v>7.4224658959458445</v>
      </c>
      <c r="Z128" s="9">
        <f>SUM(IF(Career_History!G21=TRUE,IF(A128&lt;Career_History!D21,0,MIN(A128,Career_History!E21)-Career_History!D21+1),0),IF(Career_History!G22=TRUE,IF(A128&lt;Career_History!D22,0,MIN(A128,Career_History!E22)-Career_History!D22+1),0),IF(Career_History!G23=TRUE,IF(A128&lt;Career_History!D23,0,MIN(A128,Career_History!E23)-Career_History!D23+1),0),IF(Career_History!G24=TRUE,IF(A128&lt;Career_History!D24,0,MIN(A128,Career_History!E24)-Career_History!D24+1),0))/365.2425</f>
        <v>34.002067119790276</v>
      </c>
      <c r="AA128" s="9">
        <f>SUM(IF(Career_History!I21=TRUE,IF(A128&lt;Career_History!D21,0,MIN(A128,Career_History!E21)-Career_History!D21+1),0),IF(Career_History!I22=TRUE,IF(A128&lt;Career_History!D22,0,MIN(A128,Career_History!E22)-Career_History!D22+1),0),IF(Career_History!I23=TRUE,IF(A128&lt;Career_History!D23,0,MIN(A128,Career_History!E23)-Career_History!D23+1),0),IF(Career_History!I24=TRUE,IF(A128&lt;Career_History!D24,0,MIN(A128,Career_History!E24)-Career_History!D24+1),0))/365.2425</f>
        <v>26.505677734655741</v>
      </c>
      <c r="AB128" s="9">
        <f>SUM(IF(Career_History!H21=TRUE,IF(A128&lt;Career_History!D21,0,MIN(A128,Career_History!E21)-Career_History!D21+1),0),IF(Career_History!H22=TRUE,IF(A128&lt;Career_History!D22,0,MIN(A128,Career_History!E22)-Career_History!D22+1),0),IF(Career_History!H23=TRUE,IF(A128&lt;Career_History!D23,0,MIN(A128,Career_History!E23)-Career_History!D23+1),0),IF(Career_History!H24=TRUE,IF(A128&lt;Career_History!D24,0,MIN(A128,Career_History!E24)-Career_History!D24+1),0))/365.2425</f>
        <v>24.917691670602409</v>
      </c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</row>
    <row r="129" spans="1:67">
      <c r="A129" s="8">
        <v>38564</v>
      </c>
      <c r="B129" s="9">
        <f t="shared" si="3"/>
        <v>35.036995968431931</v>
      </c>
      <c r="C129" s="9">
        <f t="shared" si="4"/>
        <v>9.6023874549100938</v>
      </c>
      <c r="D129" s="9">
        <f t="shared" si="5"/>
        <v>22.603612668295717</v>
      </c>
      <c r="E129" s="9"/>
      <c r="F129" s="9"/>
      <c r="G129" s="9"/>
      <c r="H129" s="9"/>
      <c r="I129" s="9"/>
      <c r="J129" s="9"/>
      <c r="K129" s="9"/>
      <c r="L129" s="9"/>
      <c r="M129" s="9"/>
      <c r="N129" s="9">
        <f>SUM(IF(Career_History!G12=TRUE,IF(A129&lt;Career_History!D12,0,MIN(A129,Career_History!E12)-Career_History!D12+1),0),IF(Career_History!G13=TRUE,IF(A129&lt;Career_History!D13,0,MIN(A129,Career_History!E13)-Career_History!D13+1),0))/365.2425</f>
        <v>34.086942237006916</v>
      </c>
      <c r="O129" s="9">
        <f>SUM(IF(Career_History!I12=TRUE,IF(A129&lt;Career_History!D12,0,MIN(A129,Career_History!E12)-Career_History!D12+1),0),IF(Career_History!I13=TRUE,IF(A129&lt;Career_History!D13,0,MIN(A129,Career_History!E13)-Career_History!D13+1),0))/365.2425</f>
        <v>0</v>
      </c>
      <c r="P129" s="9">
        <f>SUM(IF(Career_History!H12=TRUE,IF(A129&lt;Career_History!D12,0,MIN(A129,Career_History!E12)-Career_History!D12+1),0),IF(Career_History!H13=TRUE,IF(A129&lt;Career_History!D13,0,MIN(A129,Career_History!E13)-Career_History!D13+1),0))/365.2425</f>
        <v>10.582010582010582</v>
      </c>
      <c r="Q129" s="9">
        <f>SUM(IF(Career_History!G14=TRUE,IF(A129&lt;Career_History!D14,0,MIN(A129,Career_History!E14)-Career_History!D14+1),0),IF(Career_History!G15=TRUE,IF(A129&lt;Career_History!D15,0,MIN(A129,Career_History!E15)-Career_History!D15+1),0))/365.2425</f>
        <v>39.839284858689773</v>
      </c>
      <c r="R129" s="9">
        <f>SUM(IF(Career_History!I14=TRUE,IF(A129&lt;Career_History!D14,0,MIN(A129,Career_History!E14)-Career_History!D14+1),0),IF(Career_History!I15=TRUE,IF(A129&lt;Career_History!D15,0,MIN(A129,Career_History!E15)-Career_History!D15+1),0))/365.2425</f>
        <v>0</v>
      </c>
      <c r="S129" s="9">
        <f>SUM(IF(Career_History!H14=TRUE,IF(A129&lt;Career_History!D14,0,MIN(A129,Career_History!E14)-Career_History!D14+1),0),IF(Career_History!H15=TRUE,IF(A129&lt;Career_History!D15,0,MIN(A129,Career_History!E15)-Career_History!D15+1),0))/365.2425</f>
        <v>39.839284858689773</v>
      </c>
      <c r="T129" s="9">
        <f>SUM(IF(Career_History!G16=TRUE,IF(A129&lt;Career_History!D16,0,MIN(A129,Career_History!E16)-Career_History!D16+1),0),IF(Career_History!G17=TRUE,IF(A129&lt;Career_History!D17,0,MIN(A129,Career_History!E17)-Career_History!D17+1),0))/365.2425</f>
        <v>30.086860099796709</v>
      </c>
      <c r="U129" s="9">
        <f>SUM(IF(Career_History!I16=TRUE,IF(A129&lt;Career_History!D16,0,MIN(A129,Career_History!E16)-Career_History!D16+1),0),IF(Career_History!I17=TRUE,IF(A129&lt;Career_History!D17,0,MIN(A129,Career_History!E17)-Career_History!D17+1),0))/365.2425</f>
        <v>21.506259539894728</v>
      </c>
      <c r="V129" s="9">
        <f>SUM(IF(Career_History!H16=TRUE,IF(A129&lt;Career_History!D16,0,MIN(A129,Career_History!E16)-Career_History!D16+1),0),IF(Career_History!H17=TRUE,IF(A129&lt;Career_History!D17,0,MIN(A129,Career_History!E17)-Career_History!D17+1),0))/365.2425</f>
        <v>30.086860099796709</v>
      </c>
      <c r="W129" s="9">
        <f>SUM(IF(Career_History!G18=TRUE,IF(A129&lt;Career_History!D18,0,MIN(A129,Career_History!E18)-Career_History!D18+1),0),IF(Career_History!G19=TRUE,IF(A129&lt;Career_History!D19,0,MIN(A129,Career_History!E19)-Career_History!D19+1),0),IF(Career_History!G20=TRUE,IF(A129&lt;Career_History!D20,0,MIN(A129,Career_History!E20)-Career_History!D20+1),0))/365.2425</f>
        <v>37.084950409659335</v>
      </c>
      <c r="X129" s="9">
        <f>SUM(IF(Career_History!I18=TRUE,IF(A129&lt;Career_History!D18,0,MIN(A129,Career_History!E18)-Career_History!D18+1),0),IF(Career_History!I19=TRUE,IF(A129&lt;Career_History!D19,0,MIN(A129,Career_History!E19)-Career_History!D19+1),0),IF(Career_History!I20=TRUE,IF(A129&lt;Career_History!D20,0,MIN(A129,Career_History!E20)-Career_History!D20+1),0))/365.2425</f>
        <v>0</v>
      </c>
      <c r="Y129" s="9">
        <f>SUM(IF(Career_History!H18=TRUE,IF(A129&lt;Career_History!D18,0,MIN(A129,Career_History!E18)-Career_History!D18+1),0),IF(Career_History!H19=TRUE,IF(A129&lt;Career_History!D19,0,MIN(A129,Career_History!E19)-Career_History!D19+1),0),IF(Career_History!H20=TRUE,IF(A129&lt;Career_History!D20,0,MIN(A129,Career_History!E20)-Career_History!D20+1),0))/365.2425</f>
        <v>7.5073410131624874</v>
      </c>
      <c r="Z129" s="9">
        <f>SUM(IF(Career_History!G21=TRUE,IF(A129&lt;Career_History!D21,0,MIN(A129,Career_History!E21)-Career_History!D21+1),0),IF(Career_History!G22=TRUE,IF(A129&lt;Career_History!D22,0,MIN(A129,Career_History!E22)-Career_History!D22+1),0),IF(Career_History!G23=TRUE,IF(A129&lt;Career_History!D23,0,MIN(A129,Career_History!E23)-Career_History!D23+1),0),IF(Career_History!G24=TRUE,IF(A129&lt;Career_History!D24,0,MIN(A129,Career_History!E24)-Career_History!D24+1),0))/365.2425</f>
        <v>34.086942237006916</v>
      </c>
      <c r="AA129" s="9">
        <f>SUM(IF(Career_History!I21=TRUE,IF(A129&lt;Career_History!D21,0,MIN(A129,Career_History!E21)-Career_History!D21+1),0),IF(Career_History!I22=TRUE,IF(A129&lt;Career_History!D22,0,MIN(A129,Career_History!E22)-Career_History!D22+1),0),IF(Career_History!I23=TRUE,IF(A129&lt;Career_History!D23,0,MIN(A129,Career_History!E23)-Career_History!D23+1),0),IF(Career_History!I24=TRUE,IF(A129&lt;Career_History!D24,0,MIN(A129,Career_History!E24)-Career_History!D24+1),0))/365.2425</f>
        <v>26.505677734655741</v>
      </c>
      <c r="AB129" s="9">
        <f>SUM(IF(Career_History!H21=TRUE,IF(A129&lt;Career_History!D21,0,MIN(A129,Career_History!E21)-Career_History!D21+1),0),IF(Career_History!H22=TRUE,IF(A129&lt;Career_History!D22,0,MIN(A129,Career_History!E22)-Career_History!D22+1),0),IF(Career_History!H23=TRUE,IF(A129&lt;Career_History!D23,0,MIN(A129,Career_History!E23)-Career_History!D23+1),0),IF(Career_History!H24=TRUE,IF(A129&lt;Career_History!D24,0,MIN(A129,Career_History!E24)-Career_History!D24+1),0))/365.2425</f>
        <v>25.002566787819053</v>
      </c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</row>
    <row r="130" spans="1:67">
      <c r="A130" s="8">
        <v>38595</v>
      </c>
      <c r="B130" s="9">
        <f t="shared" si="3"/>
        <v>35.121871085648571</v>
      </c>
      <c r="C130" s="9">
        <f t="shared" si="4"/>
        <v>9.6023874549100938</v>
      </c>
      <c r="D130" s="9">
        <f t="shared" si="5"/>
        <v>22.688487785512365</v>
      </c>
      <c r="E130" s="9"/>
      <c r="F130" s="9"/>
      <c r="G130" s="9"/>
      <c r="H130" s="9"/>
      <c r="I130" s="9"/>
      <c r="J130" s="9"/>
      <c r="K130" s="9"/>
      <c r="L130" s="9"/>
      <c r="M130" s="9"/>
      <c r="N130" s="9">
        <f>SUM(IF(Career_History!G12=TRUE,IF(A130&lt;Career_History!D12,0,MIN(A130,Career_History!E12)-Career_History!D12+1),0),IF(Career_History!G13=TRUE,IF(A130&lt;Career_History!D13,0,MIN(A130,Career_History!E13)-Career_History!D13+1),0))/365.2425</f>
        <v>34.171817354223563</v>
      </c>
      <c r="O130" s="9">
        <f>SUM(IF(Career_History!I12=TRUE,IF(A130&lt;Career_History!D12,0,MIN(A130,Career_History!E12)-Career_History!D12+1),0),IF(Career_History!I13=TRUE,IF(A130&lt;Career_History!D13,0,MIN(A130,Career_History!E13)-Career_History!D13+1),0))/365.2425</f>
        <v>0</v>
      </c>
      <c r="P130" s="9">
        <f>SUM(IF(Career_History!H12=TRUE,IF(A130&lt;Career_History!D12,0,MIN(A130,Career_History!E12)-Career_History!D12+1),0),IF(Career_History!H13=TRUE,IF(A130&lt;Career_History!D13,0,MIN(A130,Career_History!E13)-Career_History!D13+1),0))/365.2425</f>
        <v>10.666885699227226</v>
      </c>
      <c r="Q130" s="9">
        <f>SUM(IF(Career_History!G14=TRUE,IF(A130&lt;Career_History!D14,0,MIN(A130,Career_History!E14)-Career_History!D14+1),0),IF(Career_History!G15=TRUE,IF(A130&lt;Career_History!D15,0,MIN(A130,Career_History!E15)-Career_History!D15+1),0))/365.2425</f>
        <v>39.92415997590642</v>
      </c>
      <c r="R130" s="9">
        <f>SUM(IF(Career_History!I14=TRUE,IF(A130&lt;Career_History!D14,0,MIN(A130,Career_History!E14)-Career_History!D14+1),0),IF(Career_History!I15=TRUE,IF(A130&lt;Career_History!D15,0,MIN(A130,Career_History!E15)-Career_History!D15+1),0))/365.2425</f>
        <v>0</v>
      </c>
      <c r="S130" s="9">
        <f>SUM(IF(Career_History!H14=TRUE,IF(A130&lt;Career_History!D14,0,MIN(A130,Career_History!E14)-Career_History!D14+1),0),IF(Career_History!H15=TRUE,IF(A130&lt;Career_History!D15,0,MIN(A130,Career_History!E15)-Career_History!D15+1),0))/365.2425</f>
        <v>39.92415997590642</v>
      </c>
      <c r="T130" s="9">
        <f>SUM(IF(Career_History!G16=TRUE,IF(A130&lt;Career_History!D16,0,MIN(A130,Career_History!E16)-Career_History!D16+1),0),IF(Career_History!G17=TRUE,IF(A130&lt;Career_History!D17,0,MIN(A130,Career_History!E17)-Career_History!D17+1),0))/365.2425</f>
        <v>30.171735217013353</v>
      </c>
      <c r="U130" s="9">
        <f>SUM(IF(Career_History!I16=TRUE,IF(A130&lt;Career_History!D16,0,MIN(A130,Career_History!E16)-Career_History!D16+1),0),IF(Career_History!I17=TRUE,IF(A130&lt;Career_History!D17,0,MIN(A130,Career_History!E17)-Career_History!D17+1),0))/365.2425</f>
        <v>21.506259539894728</v>
      </c>
      <c r="V130" s="9">
        <f>SUM(IF(Career_History!H16=TRUE,IF(A130&lt;Career_History!D16,0,MIN(A130,Career_History!E16)-Career_History!D16+1),0),IF(Career_History!H17=TRUE,IF(A130&lt;Career_History!D17,0,MIN(A130,Career_History!E17)-Career_History!D17+1),0))/365.2425</f>
        <v>30.171735217013353</v>
      </c>
      <c r="W130" s="9">
        <f>SUM(IF(Career_History!G18=TRUE,IF(A130&lt;Career_History!D18,0,MIN(A130,Career_History!E18)-Career_History!D18+1),0),IF(Career_History!G19=TRUE,IF(A130&lt;Career_History!D19,0,MIN(A130,Career_History!E19)-Career_History!D19+1),0),IF(Career_History!G20=TRUE,IF(A130&lt;Career_History!D20,0,MIN(A130,Career_History!E20)-Career_History!D20+1),0))/365.2425</f>
        <v>37.169825526875982</v>
      </c>
      <c r="X130" s="9">
        <f>SUM(IF(Career_History!I18=TRUE,IF(A130&lt;Career_History!D18,0,MIN(A130,Career_History!E18)-Career_History!D18+1),0),IF(Career_History!I19=TRUE,IF(A130&lt;Career_History!D19,0,MIN(A130,Career_History!E19)-Career_History!D19+1),0),IF(Career_History!I20=TRUE,IF(A130&lt;Career_History!D20,0,MIN(A130,Career_History!E20)-Career_History!D20+1),0))/365.2425</f>
        <v>0</v>
      </c>
      <c r="Y130" s="9">
        <f>SUM(IF(Career_History!H18=TRUE,IF(A130&lt;Career_History!D18,0,MIN(A130,Career_History!E18)-Career_History!D18+1),0),IF(Career_History!H19=TRUE,IF(A130&lt;Career_History!D19,0,MIN(A130,Career_History!E19)-Career_History!D19+1),0),IF(Career_History!H20=TRUE,IF(A130&lt;Career_History!D20,0,MIN(A130,Career_History!E20)-Career_History!D20+1),0))/365.2425</f>
        <v>7.5922161303791311</v>
      </c>
      <c r="Z130" s="9">
        <f>SUM(IF(Career_History!G21=TRUE,IF(A130&lt;Career_History!D21,0,MIN(A130,Career_History!E21)-Career_History!D21+1),0),IF(Career_History!G22=TRUE,IF(A130&lt;Career_History!D22,0,MIN(A130,Career_History!E22)-Career_History!D22+1),0),IF(Career_History!G23=TRUE,IF(A130&lt;Career_History!D23,0,MIN(A130,Career_History!E23)-Career_History!D23+1),0),IF(Career_History!G24=TRUE,IF(A130&lt;Career_History!D24,0,MIN(A130,Career_History!E24)-Career_History!D24+1),0))/365.2425</f>
        <v>34.171817354223563</v>
      </c>
      <c r="AA130" s="9">
        <f>SUM(IF(Career_History!I21=TRUE,IF(A130&lt;Career_History!D21,0,MIN(A130,Career_History!E21)-Career_History!D21+1),0),IF(Career_History!I22=TRUE,IF(A130&lt;Career_History!D22,0,MIN(A130,Career_History!E22)-Career_History!D22+1),0),IF(Career_History!I23=TRUE,IF(A130&lt;Career_History!D23,0,MIN(A130,Career_History!E23)-Career_History!D23+1),0),IF(Career_History!I24=TRUE,IF(A130&lt;Career_History!D24,0,MIN(A130,Career_History!E24)-Career_History!D24+1),0))/365.2425</f>
        <v>26.505677734655741</v>
      </c>
      <c r="AB130" s="9">
        <f>SUM(IF(Career_History!H21=TRUE,IF(A130&lt;Career_History!D21,0,MIN(A130,Career_History!E21)-Career_History!D21+1),0),IF(Career_History!H22=TRUE,IF(A130&lt;Career_History!D22,0,MIN(A130,Career_History!E22)-Career_History!D22+1),0),IF(Career_History!H23=TRUE,IF(A130&lt;Career_History!D23,0,MIN(A130,Career_History!E23)-Career_History!D23+1),0),IF(Career_History!H24=TRUE,IF(A130&lt;Career_History!D24,0,MIN(A130,Career_History!E24)-Career_History!D24+1),0))/365.2425</f>
        <v>25.087441905035696</v>
      </c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</row>
    <row r="131" spans="1:67">
      <c r="A131" s="8">
        <v>38625</v>
      </c>
      <c r="B131" s="9">
        <f t="shared" ref="B131:B194" si="6">IFERROR(AVERAGE(E131,H131,K131,N131,Q131,T131,W131,Z131,AC131,AF131,AI131,AL131,AO131,AR131,AU131,AX131,BA131,BD131,BG131,BJ131,BM131),"")</f>
        <v>35.20400829585823</v>
      </c>
      <c r="C131" s="9">
        <f t="shared" ref="C131:C194" si="7">IFERROR(AVERAGE(F131,I131,L131,O131,R131,U131,X131,AA131,AD131,AG131,AJ131,AM131,AP131,AS131,AV131,AY131,BB131,BE131,BH131,BK131,BN131),"")</f>
        <v>9.6023874549100938</v>
      </c>
      <c r="D131" s="9">
        <f t="shared" ref="D131:D194" si="8">IFERROR(AVERAGE(G131,J131,M131,P131,S131,V131,Y131,AB131,AE131,AH131,AK131,AN131,AQ131,AT131,AW131,AZ131,BC131,BF131,BI131,BL131,BO131),"")</f>
        <v>22.77062499572202</v>
      </c>
      <c r="E131" s="9"/>
      <c r="F131" s="9"/>
      <c r="G131" s="9"/>
      <c r="H131" s="9"/>
      <c r="I131" s="9"/>
      <c r="J131" s="9"/>
      <c r="K131" s="9"/>
      <c r="L131" s="9"/>
      <c r="M131" s="9"/>
      <c r="N131" s="9">
        <f>SUM(IF(Career_History!G12=TRUE,IF(A131&lt;Career_History!D12,0,MIN(A131,Career_History!E12)-Career_History!D12+1),0),IF(Career_History!G13=TRUE,IF(A131&lt;Career_History!D13,0,MIN(A131,Career_History!E13)-Career_History!D13+1),0))/365.2425</f>
        <v>34.253954564433215</v>
      </c>
      <c r="O131" s="9">
        <f>SUM(IF(Career_History!I12=TRUE,IF(A131&lt;Career_History!D12,0,MIN(A131,Career_History!E12)-Career_History!D12+1),0),IF(Career_History!I13=TRUE,IF(A131&lt;Career_History!D13,0,MIN(A131,Career_History!E13)-Career_History!D13+1),0))/365.2425</f>
        <v>0</v>
      </c>
      <c r="P131" s="9">
        <f>SUM(IF(Career_History!H12=TRUE,IF(A131&lt;Career_History!D12,0,MIN(A131,Career_History!E12)-Career_History!D12+1),0),IF(Career_History!H13=TRUE,IF(A131&lt;Career_History!D13,0,MIN(A131,Career_History!E13)-Career_History!D13+1),0))/365.2425</f>
        <v>10.749022909436881</v>
      </c>
      <c r="Q131" s="9">
        <f>SUM(IF(Career_History!G14=TRUE,IF(A131&lt;Career_History!D14,0,MIN(A131,Career_History!E14)-Career_History!D14+1),0),IF(Career_History!G15=TRUE,IF(A131&lt;Career_History!D15,0,MIN(A131,Career_History!E15)-Career_History!D15+1),0))/365.2425</f>
        <v>40.006297186116072</v>
      </c>
      <c r="R131" s="9">
        <f>SUM(IF(Career_History!I14=TRUE,IF(A131&lt;Career_History!D14,0,MIN(A131,Career_History!E14)-Career_History!D14+1),0),IF(Career_History!I15=TRUE,IF(A131&lt;Career_History!D15,0,MIN(A131,Career_History!E15)-Career_History!D15+1),0))/365.2425</f>
        <v>0</v>
      </c>
      <c r="S131" s="9">
        <f>SUM(IF(Career_History!H14=TRUE,IF(A131&lt;Career_History!D14,0,MIN(A131,Career_History!E14)-Career_History!D14+1),0),IF(Career_History!H15=TRUE,IF(A131&lt;Career_History!D15,0,MIN(A131,Career_History!E15)-Career_History!D15+1),0))/365.2425</f>
        <v>40.006297186116072</v>
      </c>
      <c r="T131" s="9">
        <f>SUM(IF(Career_History!G16=TRUE,IF(A131&lt;Career_History!D16,0,MIN(A131,Career_History!E16)-Career_History!D16+1),0),IF(Career_History!G17=TRUE,IF(A131&lt;Career_History!D17,0,MIN(A131,Career_History!E17)-Career_History!D17+1),0))/365.2425</f>
        <v>30.253872427223008</v>
      </c>
      <c r="U131" s="9">
        <f>SUM(IF(Career_History!I16=TRUE,IF(A131&lt;Career_History!D16,0,MIN(A131,Career_History!E16)-Career_History!D16+1),0),IF(Career_History!I17=TRUE,IF(A131&lt;Career_History!D17,0,MIN(A131,Career_History!E17)-Career_History!D17+1),0))/365.2425</f>
        <v>21.506259539894728</v>
      </c>
      <c r="V131" s="9">
        <f>SUM(IF(Career_History!H16=TRUE,IF(A131&lt;Career_History!D16,0,MIN(A131,Career_History!E16)-Career_History!D16+1),0),IF(Career_History!H17=TRUE,IF(A131&lt;Career_History!D17,0,MIN(A131,Career_History!E17)-Career_History!D17+1),0))/365.2425</f>
        <v>30.253872427223008</v>
      </c>
      <c r="W131" s="9">
        <f>SUM(IF(Career_History!G18=TRUE,IF(A131&lt;Career_History!D18,0,MIN(A131,Career_History!E18)-Career_History!D18+1),0),IF(Career_History!G19=TRUE,IF(A131&lt;Career_History!D19,0,MIN(A131,Career_History!E19)-Career_History!D19+1),0),IF(Career_History!G20=TRUE,IF(A131&lt;Career_History!D20,0,MIN(A131,Career_History!E20)-Career_History!D20+1),0))/365.2425</f>
        <v>37.251962737085634</v>
      </c>
      <c r="X131" s="9">
        <f>SUM(IF(Career_History!I18=TRUE,IF(A131&lt;Career_History!D18,0,MIN(A131,Career_History!E18)-Career_History!D18+1),0),IF(Career_History!I19=TRUE,IF(A131&lt;Career_History!D19,0,MIN(A131,Career_History!E19)-Career_History!D19+1),0),IF(Career_History!I20=TRUE,IF(A131&lt;Career_History!D20,0,MIN(A131,Career_History!E20)-Career_History!D20+1),0))/365.2425</f>
        <v>0</v>
      </c>
      <c r="Y131" s="9">
        <f>SUM(IF(Career_History!H18=TRUE,IF(A131&lt;Career_History!D18,0,MIN(A131,Career_History!E18)-Career_History!D18+1),0),IF(Career_History!H19=TRUE,IF(A131&lt;Career_History!D19,0,MIN(A131,Career_History!E19)-Career_History!D19+1),0),IF(Career_History!H20=TRUE,IF(A131&lt;Career_History!D20,0,MIN(A131,Career_History!E20)-Career_History!D20+1),0))/365.2425</f>
        <v>7.6743533405887865</v>
      </c>
      <c r="Z131" s="9">
        <f>SUM(IF(Career_History!G21=TRUE,IF(A131&lt;Career_History!D21,0,MIN(A131,Career_History!E21)-Career_History!D21+1),0),IF(Career_History!G22=TRUE,IF(A131&lt;Career_History!D22,0,MIN(A131,Career_History!E22)-Career_History!D22+1),0),IF(Career_History!G23=TRUE,IF(A131&lt;Career_History!D23,0,MIN(A131,Career_History!E23)-Career_History!D23+1),0),IF(Career_History!G24=TRUE,IF(A131&lt;Career_History!D24,0,MIN(A131,Career_History!E24)-Career_History!D24+1),0))/365.2425</f>
        <v>34.253954564433215</v>
      </c>
      <c r="AA131" s="9">
        <f>SUM(IF(Career_History!I21=TRUE,IF(A131&lt;Career_History!D21,0,MIN(A131,Career_History!E21)-Career_History!D21+1),0),IF(Career_History!I22=TRUE,IF(A131&lt;Career_History!D22,0,MIN(A131,Career_History!E22)-Career_History!D22+1),0),IF(Career_History!I23=TRUE,IF(A131&lt;Career_History!D23,0,MIN(A131,Career_History!E23)-Career_History!D23+1),0),IF(Career_History!I24=TRUE,IF(A131&lt;Career_History!D24,0,MIN(A131,Career_History!E24)-Career_History!D24+1),0))/365.2425</f>
        <v>26.505677734655741</v>
      </c>
      <c r="AB131" s="9">
        <f>SUM(IF(Career_History!H21=TRUE,IF(A131&lt;Career_History!D21,0,MIN(A131,Career_History!E21)-Career_History!D21+1),0),IF(Career_History!H22=TRUE,IF(A131&lt;Career_History!D22,0,MIN(A131,Career_History!E22)-Career_History!D22+1),0),IF(Career_History!H23=TRUE,IF(A131&lt;Career_History!D23,0,MIN(A131,Career_History!E23)-Career_History!D23+1),0),IF(Career_History!H24=TRUE,IF(A131&lt;Career_History!D24,0,MIN(A131,Career_History!E24)-Career_History!D24+1),0))/365.2425</f>
        <v>25.169579115245352</v>
      </c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</row>
    <row r="132" spans="1:67">
      <c r="A132" s="8">
        <v>38656</v>
      </c>
      <c r="B132" s="9">
        <f t="shared" si="6"/>
        <v>35.288883413074878</v>
      </c>
      <c r="C132" s="9">
        <f t="shared" si="7"/>
        <v>9.6023874549100938</v>
      </c>
      <c r="D132" s="9">
        <f t="shared" si="8"/>
        <v>22.855500112938664</v>
      </c>
      <c r="E132" s="9"/>
      <c r="F132" s="9"/>
      <c r="G132" s="9"/>
      <c r="H132" s="9"/>
      <c r="I132" s="9"/>
      <c r="J132" s="9"/>
      <c r="K132" s="9"/>
      <c r="L132" s="9"/>
      <c r="M132" s="9"/>
      <c r="N132" s="9">
        <f>SUM(IF(Career_History!G12=TRUE,IF(A132&lt;Career_History!D12,0,MIN(A132,Career_History!E12)-Career_History!D12+1),0),IF(Career_History!G13=TRUE,IF(A132&lt;Career_History!D13,0,MIN(A132,Career_History!E13)-Career_History!D13+1),0))/365.2425</f>
        <v>34.338829681649862</v>
      </c>
      <c r="O132" s="9">
        <f>SUM(IF(Career_History!I12=TRUE,IF(A132&lt;Career_History!D12,0,MIN(A132,Career_History!E12)-Career_History!D12+1),0),IF(Career_History!I13=TRUE,IF(A132&lt;Career_History!D13,0,MIN(A132,Career_History!E13)-Career_History!D13+1),0))/365.2425</f>
        <v>0</v>
      </c>
      <c r="P132" s="9">
        <f>SUM(IF(Career_History!H12=TRUE,IF(A132&lt;Career_History!D12,0,MIN(A132,Career_History!E12)-Career_History!D12+1),0),IF(Career_History!H13=TRUE,IF(A132&lt;Career_History!D13,0,MIN(A132,Career_History!E13)-Career_History!D13+1),0))/365.2425</f>
        <v>10.833898026653525</v>
      </c>
      <c r="Q132" s="9">
        <f>SUM(IF(Career_History!G14=TRUE,IF(A132&lt;Career_History!D14,0,MIN(A132,Career_History!E14)-Career_History!D14+1),0),IF(Career_History!G15=TRUE,IF(A132&lt;Career_History!D15,0,MIN(A132,Career_History!E15)-Career_History!D15+1),0))/365.2425</f>
        <v>40.091172303332719</v>
      </c>
      <c r="R132" s="9">
        <f>SUM(IF(Career_History!I14=TRUE,IF(A132&lt;Career_History!D14,0,MIN(A132,Career_History!E14)-Career_History!D14+1),0),IF(Career_History!I15=TRUE,IF(A132&lt;Career_History!D15,0,MIN(A132,Career_History!E15)-Career_History!D15+1),0))/365.2425</f>
        <v>0</v>
      </c>
      <c r="S132" s="9">
        <f>SUM(IF(Career_History!H14=TRUE,IF(A132&lt;Career_History!D14,0,MIN(A132,Career_History!E14)-Career_History!D14+1),0),IF(Career_History!H15=TRUE,IF(A132&lt;Career_History!D15,0,MIN(A132,Career_History!E15)-Career_History!D15+1),0))/365.2425</f>
        <v>40.091172303332719</v>
      </c>
      <c r="T132" s="9">
        <f>SUM(IF(Career_History!G16=TRUE,IF(A132&lt;Career_History!D16,0,MIN(A132,Career_History!E16)-Career_History!D16+1),0),IF(Career_History!G17=TRUE,IF(A132&lt;Career_History!D17,0,MIN(A132,Career_History!E17)-Career_History!D17+1),0))/365.2425</f>
        <v>30.338747544439652</v>
      </c>
      <c r="U132" s="9">
        <f>SUM(IF(Career_History!I16=TRUE,IF(A132&lt;Career_History!D16,0,MIN(A132,Career_History!E16)-Career_History!D16+1),0),IF(Career_History!I17=TRUE,IF(A132&lt;Career_History!D17,0,MIN(A132,Career_History!E17)-Career_History!D17+1),0))/365.2425</f>
        <v>21.506259539894728</v>
      </c>
      <c r="V132" s="9">
        <f>SUM(IF(Career_History!H16=TRUE,IF(A132&lt;Career_History!D16,0,MIN(A132,Career_History!E16)-Career_History!D16+1),0),IF(Career_History!H17=TRUE,IF(A132&lt;Career_History!D17,0,MIN(A132,Career_History!E17)-Career_History!D17+1),0))/365.2425</f>
        <v>30.338747544439652</v>
      </c>
      <c r="W132" s="9">
        <f>SUM(IF(Career_History!G18=TRUE,IF(A132&lt;Career_History!D18,0,MIN(A132,Career_History!E18)-Career_History!D18+1),0),IF(Career_History!G19=TRUE,IF(A132&lt;Career_History!D19,0,MIN(A132,Career_History!E19)-Career_History!D19+1),0),IF(Career_History!G20=TRUE,IF(A132&lt;Career_History!D20,0,MIN(A132,Career_History!E20)-Career_History!D20+1),0))/365.2425</f>
        <v>37.336837854302281</v>
      </c>
      <c r="X132" s="9">
        <f>SUM(IF(Career_History!I18=TRUE,IF(A132&lt;Career_History!D18,0,MIN(A132,Career_History!E18)-Career_History!D18+1),0),IF(Career_History!I19=TRUE,IF(A132&lt;Career_History!D19,0,MIN(A132,Career_History!E19)-Career_History!D19+1),0),IF(Career_History!I20=TRUE,IF(A132&lt;Career_History!D20,0,MIN(A132,Career_History!E20)-Career_History!D20+1),0))/365.2425</f>
        <v>0</v>
      </c>
      <c r="Y132" s="9">
        <f>SUM(IF(Career_History!H18=TRUE,IF(A132&lt;Career_History!D18,0,MIN(A132,Career_History!E18)-Career_History!D18+1),0),IF(Career_History!H19=TRUE,IF(A132&lt;Career_History!D19,0,MIN(A132,Career_History!E19)-Career_History!D19+1),0),IF(Career_History!H20=TRUE,IF(A132&lt;Career_History!D20,0,MIN(A132,Career_History!E20)-Career_History!D20+1),0))/365.2425</f>
        <v>7.7592284578054302</v>
      </c>
      <c r="Z132" s="9">
        <f>SUM(IF(Career_History!G21=TRUE,IF(A132&lt;Career_History!D21,0,MIN(A132,Career_History!E21)-Career_History!D21+1),0),IF(Career_History!G22=TRUE,IF(A132&lt;Career_History!D22,0,MIN(A132,Career_History!E22)-Career_History!D22+1),0),IF(Career_History!G23=TRUE,IF(A132&lt;Career_History!D23,0,MIN(A132,Career_History!E23)-Career_History!D23+1),0),IF(Career_History!G24=TRUE,IF(A132&lt;Career_History!D24,0,MIN(A132,Career_History!E24)-Career_History!D24+1),0))/365.2425</f>
        <v>34.338829681649862</v>
      </c>
      <c r="AA132" s="9">
        <f>SUM(IF(Career_History!I21=TRUE,IF(A132&lt;Career_History!D21,0,MIN(A132,Career_History!E21)-Career_History!D21+1),0),IF(Career_History!I22=TRUE,IF(A132&lt;Career_History!D22,0,MIN(A132,Career_History!E22)-Career_History!D22+1),0),IF(Career_History!I23=TRUE,IF(A132&lt;Career_History!D23,0,MIN(A132,Career_History!E23)-Career_History!D23+1),0),IF(Career_History!I24=TRUE,IF(A132&lt;Career_History!D24,0,MIN(A132,Career_History!E24)-Career_History!D24+1),0))/365.2425</f>
        <v>26.505677734655741</v>
      </c>
      <c r="AB132" s="9">
        <f>SUM(IF(Career_History!H21=TRUE,IF(A132&lt;Career_History!D21,0,MIN(A132,Career_History!E21)-Career_History!D21+1),0),IF(Career_History!H22=TRUE,IF(A132&lt;Career_History!D22,0,MIN(A132,Career_History!E22)-Career_History!D22+1),0),IF(Career_History!H23=TRUE,IF(A132&lt;Career_History!D23,0,MIN(A132,Career_History!E23)-Career_History!D23+1),0),IF(Career_History!H24=TRUE,IF(A132&lt;Career_History!D24,0,MIN(A132,Career_History!E24)-Career_History!D24+1),0))/365.2425</f>
        <v>25.254454232461995</v>
      </c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</row>
    <row r="133" spans="1:67">
      <c r="A133" s="8">
        <v>38686</v>
      </c>
      <c r="B133" s="9">
        <f t="shared" si="6"/>
        <v>35.371020623284529</v>
      </c>
      <c r="C133" s="9">
        <f t="shared" si="7"/>
        <v>9.6023874549100938</v>
      </c>
      <c r="D133" s="9">
        <f t="shared" si="8"/>
        <v>22.937637323148319</v>
      </c>
      <c r="E133" s="9"/>
      <c r="F133" s="9"/>
      <c r="G133" s="9"/>
      <c r="H133" s="9"/>
      <c r="I133" s="9"/>
      <c r="J133" s="9"/>
      <c r="K133" s="9"/>
      <c r="L133" s="9"/>
      <c r="M133" s="9"/>
      <c r="N133" s="9">
        <f>SUM(IF(Career_History!G12=TRUE,IF(A133&lt;Career_History!D12,0,MIN(A133,Career_History!E12)-Career_History!D12+1),0),IF(Career_History!G13=TRUE,IF(A133&lt;Career_History!D13,0,MIN(A133,Career_History!E13)-Career_History!D13+1),0))/365.2425</f>
        <v>34.420966891859514</v>
      </c>
      <c r="O133" s="9">
        <f>SUM(IF(Career_History!I12=TRUE,IF(A133&lt;Career_History!D12,0,MIN(A133,Career_History!E12)-Career_History!D12+1),0),IF(Career_History!I13=TRUE,IF(A133&lt;Career_History!D13,0,MIN(A133,Career_History!E13)-Career_History!D13+1),0))/365.2425</f>
        <v>0</v>
      </c>
      <c r="P133" s="9">
        <f>SUM(IF(Career_History!H12=TRUE,IF(A133&lt;Career_History!D12,0,MIN(A133,Career_History!E12)-Career_History!D12+1),0),IF(Career_History!H13=TRUE,IF(A133&lt;Career_History!D13,0,MIN(A133,Career_History!E13)-Career_History!D13+1),0))/365.2425</f>
        <v>10.916035236863181</v>
      </c>
      <c r="Q133" s="9">
        <f>SUM(IF(Career_History!G14=TRUE,IF(A133&lt;Career_History!D14,0,MIN(A133,Career_History!E14)-Career_History!D14+1),0),IF(Career_History!G15=TRUE,IF(A133&lt;Career_History!D15,0,MIN(A133,Career_History!E15)-Career_History!D15+1),0))/365.2425</f>
        <v>40.173309513542371</v>
      </c>
      <c r="R133" s="9">
        <f>SUM(IF(Career_History!I14=TRUE,IF(A133&lt;Career_History!D14,0,MIN(A133,Career_History!E14)-Career_History!D14+1),0),IF(Career_History!I15=TRUE,IF(A133&lt;Career_History!D15,0,MIN(A133,Career_History!E15)-Career_History!D15+1),0))/365.2425</f>
        <v>0</v>
      </c>
      <c r="S133" s="9">
        <f>SUM(IF(Career_History!H14=TRUE,IF(A133&lt;Career_History!D14,0,MIN(A133,Career_History!E14)-Career_History!D14+1),0),IF(Career_History!H15=TRUE,IF(A133&lt;Career_History!D15,0,MIN(A133,Career_History!E15)-Career_History!D15+1),0))/365.2425</f>
        <v>40.173309513542371</v>
      </c>
      <c r="T133" s="9">
        <f>SUM(IF(Career_History!G16=TRUE,IF(A133&lt;Career_History!D16,0,MIN(A133,Career_History!E16)-Career_History!D16+1),0),IF(Career_History!G17=TRUE,IF(A133&lt;Career_History!D17,0,MIN(A133,Career_History!E17)-Career_History!D17+1),0))/365.2425</f>
        <v>30.420884754649308</v>
      </c>
      <c r="U133" s="9">
        <f>SUM(IF(Career_History!I16=TRUE,IF(A133&lt;Career_History!D16,0,MIN(A133,Career_History!E16)-Career_History!D16+1),0),IF(Career_History!I17=TRUE,IF(A133&lt;Career_History!D17,0,MIN(A133,Career_History!E17)-Career_History!D17+1),0))/365.2425</f>
        <v>21.506259539894728</v>
      </c>
      <c r="V133" s="9">
        <f>SUM(IF(Career_History!H16=TRUE,IF(A133&lt;Career_History!D16,0,MIN(A133,Career_History!E16)-Career_History!D16+1),0),IF(Career_History!H17=TRUE,IF(A133&lt;Career_History!D17,0,MIN(A133,Career_History!E17)-Career_History!D17+1),0))/365.2425</f>
        <v>30.420884754649308</v>
      </c>
      <c r="W133" s="9">
        <f>SUM(IF(Career_History!G18=TRUE,IF(A133&lt;Career_History!D18,0,MIN(A133,Career_History!E18)-Career_History!D18+1),0),IF(Career_History!G19=TRUE,IF(A133&lt;Career_History!D19,0,MIN(A133,Career_History!E19)-Career_History!D19+1),0),IF(Career_History!G20=TRUE,IF(A133&lt;Career_History!D20,0,MIN(A133,Career_History!E20)-Career_History!D20+1),0))/365.2425</f>
        <v>37.418975064511933</v>
      </c>
      <c r="X133" s="9">
        <f>SUM(IF(Career_History!I18=TRUE,IF(A133&lt;Career_History!D18,0,MIN(A133,Career_History!E18)-Career_History!D18+1),0),IF(Career_History!I19=TRUE,IF(A133&lt;Career_History!D19,0,MIN(A133,Career_History!E19)-Career_History!D19+1),0),IF(Career_History!I20=TRUE,IF(A133&lt;Career_History!D20,0,MIN(A133,Career_History!E20)-Career_History!D20+1),0))/365.2425</f>
        <v>0</v>
      </c>
      <c r="Y133" s="9">
        <f>SUM(IF(Career_History!H18=TRUE,IF(A133&lt;Career_History!D18,0,MIN(A133,Career_History!E18)-Career_History!D18+1),0),IF(Career_History!H19=TRUE,IF(A133&lt;Career_History!D19,0,MIN(A133,Career_History!E19)-Career_History!D19+1),0),IF(Career_History!H20=TRUE,IF(A133&lt;Career_History!D20,0,MIN(A133,Career_History!E20)-Career_History!D20+1),0))/365.2425</f>
        <v>7.8413656680150856</v>
      </c>
      <c r="Z133" s="9">
        <f>SUM(IF(Career_History!G21=TRUE,IF(A133&lt;Career_History!D21,0,MIN(A133,Career_History!E21)-Career_History!D21+1),0),IF(Career_History!G22=TRUE,IF(A133&lt;Career_History!D22,0,MIN(A133,Career_History!E22)-Career_History!D22+1),0),IF(Career_History!G23=TRUE,IF(A133&lt;Career_History!D23,0,MIN(A133,Career_History!E23)-Career_History!D23+1),0),IF(Career_History!G24=TRUE,IF(A133&lt;Career_History!D24,0,MIN(A133,Career_History!E24)-Career_History!D24+1),0))/365.2425</f>
        <v>34.420966891859514</v>
      </c>
      <c r="AA133" s="9">
        <f>SUM(IF(Career_History!I21=TRUE,IF(A133&lt;Career_History!D21,0,MIN(A133,Career_History!E21)-Career_History!D21+1),0),IF(Career_History!I22=TRUE,IF(A133&lt;Career_History!D22,0,MIN(A133,Career_History!E22)-Career_History!D22+1),0),IF(Career_History!I23=TRUE,IF(A133&lt;Career_History!D23,0,MIN(A133,Career_History!E23)-Career_History!D23+1),0),IF(Career_History!I24=TRUE,IF(A133&lt;Career_History!D24,0,MIN(A133,Career_History!E24)-Career_History!D24+1),0))/365.2425</f>
        <v>26.505677734655741</v>
      </c>
      <c r="AB133" s="9">
        <f>SUM(IF(Career_History!H21=TRUE,IF(A133&lt;Career_History!D21,0,MIN(A133,Career_History!E21)-Career_History!D21+1),0),IF(Career_History!H22=TRUE,IF(A133&lt;Career_History!D22,0,MIN(A133,Career_History!E22)-Career_History!D22+1),0),IF(Career_History!H23=TRUE,IF(A133&lt;Career_History!D23,0,MIN(A133,Career_History!E23)-Career_History!D23+1),0),IF(Career_History!H24=TRUE,IF(A133&lt;Career_History!D24,0,MIN(A133,Career_History!E24)-Career_History!D24+1),0))/365.2425</f>
        <v>25.336591442671651</v>
      </c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</row>
    <row r="134" spans="1:67">
      <c r="A134" s="8">
        <v>38717</v>
      </c>
      <c r="B134" s="9">
        <f t="shared" si="6"/>
        <v>35.45589574050117</v>
      </c>
      <c r="C134" s="9">
        <f t="shared" si="7"/>
        <v>9.6023874549100938</v>
      </c>
      <c r="D134" s="9">
        <f t="shared" si="8"/>
        <v>23.022512440364959</v>
      </c>
      <c r="E134" s="9"/>
      <c r="F134" s="9"/>
      <c r="G134" s="9"/>
      <c r="H134" s="9"/>
      <c r="I134" s="9"/>
      <c r="J134" s="9"/>
      <c r="K134" s="9"/>
      <c r="L134" s="9"/>
      <c r="M134" s="9"/>
      <c r="N134" s="9">
        <f>SUM(IF(Career_History!G12=TRUE,IF(A134&lt;Career_History!D12,0,MIN(A134,Career_History!E12)-Career_History!D12+1),0),IF(Career_History!G13=TRUE,IF(A134&lt;Career_History!D13,0,MIN(A134,Career_History!E13)-Career_History!D13+1),0))/365.2425</f>
        <v>34.505842009076162</v>
      </c>
      <c r="O134" s="9">
        <f>SUM(IF(Career_History!I12=TRUE,IF(A134&lt;Career_History!D12,0,MIN(A134,Career_History!E12)-Career_History!D12+1),0),IF(Career_History!I13=TRUE,IF(A134&lt;Career_History!D13,0,MIN(A134,Career_History!E13)-Career_History!D13+1),0))/365.2425</f>
        <v>0</v>
      </c>
      <c r="P134" s="9">
        <f>SUM(IF(Career_History!H12=TRUE,IF(A134&lt;Career_History!D12,0,MIN(A134,Career_History!E12)-Career_History!D12+1),0),IF(Career_History!H13=TRUE,IF(A134&lt;Career_History!D13,0,MIN(A134,Career_History!E13)-Career_History!D13+1),0))/365.2425</f>
        <v>11.000910354079824</v>
      </c>
      <c r="Q134" s="9">
        <f>SUM(IF(Career_History!G14=TRUE,IF(A134&lt;Career_History!D14,0,MIN(A134,Career_History!E14)-Career_History!D14+1),0),IF(Career_History!G15=TRUE,IF(A134&lt;Career_History!D15,0,MIN(A134,Career_History!E15)-Career_History!D15+1),0))/365.2425</f>
        <v>40.258184630759018</v>
      </c>
      <c r="R134" s="9">
        <f>SUM(IF(Career_History!I14=TRUE,IF(A134&lt;Career_History!D14,0,MIN(A134,Career_History!E14)-Career_History!D14+1),0),IF(Career_History!I15=TRUE,IF(A134&lt;Career_History!D15,0,MIN(A134,Career_History!E15)-Career_History!D15+1),0))/365.2425</f>
        <v>0</v>
      </c>
      <c r="S134" s="9">
        <f>SUM(IF(Career_History!H14=TRUE,IF(A134&lt;Career_History!D14,0,MIN(A134,Career_History!E14)-Career_History!D14+1),0),IF(Career_History!H15=TRUE,IF(A134&lt;Career_History!D15,0,MIN(A134,Career_History!E15)-Career_History!D15+1),0))/365.2425</f>
        <v>40.258184630759018</v>
      </c>
      <c r="T134" s="9">
        <f>SUM(IF(Career_History!G16=TRUE,IF(A134&lt;Career_History!D16,0,MIN(A134,Career_History!E16)-Career_History!D16+1),0),IF(Career_History!G17=TRUE,IF(A134&lt;Career_History!D17,0,MIN(A134,Career_History!E17)-Career_History!D17+1),0))/365.2425</f>
        <v>30.505759871865951</v>
      </c>
      <c r="U134" s="9">
        <f>SUM(IF(Career_History!I16=TRUE,IF(A134&lt;Career_History!D16,0,MIN(A134,Career_History!E16)-Career_History!D16+1),0),IF(Career_History!I17=TRUE,IF(A134&lt;Career_History!D17,0,MIN(A134,Career_History!E17)-Career_History!D17+1),0))/365.2425</f>
        <v>21.506259539894728</v>
      </c>
      <c r="V134" s="9">
        <f>SUM(IF(Career_History!H16=TRUE,IF(A134&lt;Career_History!D16,0,MIN(A134,Career_History!E16)-Career_History!D16+1),0),IF(Career_History!H17=TRUE,IF(A134&lt;Career_History!D17,0,MIN(A134,Career_History!E17)-Career_History!D17+1),0))/365.2425</f>
        <v>30.505759871865951</v>
      </c>
      <c r="W134" s="9">
        <f>SUM(IF(Career_History!G18=TRUE,IF(A134&lt;Career_History!D18,0,MIN(A134,Career_History!E18)-Career_History!D18+1),0),IF(Career_History!G19=TRUE,IF(A134&lt;Career_History!D19,0,MIN(A134,Career_History!E19)-Career_History!D19+1),0),IF(Career_History!G20=TRUE,IF(A134&lt;Career_History!D20,0,MIN(A134,Career_History!E20)-Career_History!D20+1),0))/365.2425</f>
        <v>37.503850181728573</v>
      </c>
      <c r="X134" s="9">
        <f>SUM(IF(Career_History!I18=TRUE,IF(A134&lt;Career_History!D18,0,MIN(A134,Career_History!E18)-Career_History!D18+1),0),IF(Career_History!I19=TRUE,IF(A134&lt;Career_History!D19,0,MIN(A134,Career_History!E19)-Career_History!D19+1),0),IF(Career_History!I20=TRUE,IF(A134&lt;Career_History!D20,0,MIN(A134,Career_History!E20)-Career_History!D20+1),0))/365.2425</f>
        <v>0</v>
      </c>
      <c r="Y134" s="9">
        <f>SUM(IF(Career_History!H18=TRUE,IF(A134&lt;Career_History!D18,0,MIN(A134,Career_History!E18)-Career_History!D18+1),0),IF(Career_History!H19=TRUE,IF(A134&lt;Career_History!D19,0,MIN(A134,Career_History!E19)-Career_History!D19+1),0),IF(Career_History!H20=TRUE,IF(A134&lt;Career_History!D20,0,MIN(A134,Career_History!E20)-Career_History!D20+1),0))/365.2425</f>
        <v>7.9262407852317294</v>
      </c>
      <c r="Z134" s="9">
        <f>SUM(IF(Career_History!G21=TRUE,IF(A134&lt;Career_History!D21,0,MIN(A134,Career_History!E21)-Career_History!D21+1),0),IF(Career_History!G22=TRUE,IF(A134&lt;Career_History!D22,0,MIN(A134,Career_History!E22)-Career_History!D22+1),0),IF(Career_History!G23=TRUE,IF(A134&lt;Career_History!D23,0,MIN(A134,Career_History!E23)-Career_History!D23+1),0),IF(Career_History!G24=TRUE,IF(A134&lt;Career_History!D24,0,MIN(A134,Career_History!E24)-Career_History!D24+1),0))/365.2425</f>
        <v>34.505842009076162</v>
      </c>
      <c r="AA134" s="9">
        <f>SUM(IF(Career_History!I21=TRUE,IF(A134&lt;Career_History!D21,0,MIN(A134,Career_History!E21)-Career_History!D21+1),0),IF(Career_History!I22=TRUE,IF(A134&lt;Career_History!D22,0,MIN(A134,Career_History!E22)-Career_History!D22+1),0),IF(Career_History!I23=TRUE,IF(A134&lt;Career_History!D23,0,MIN(A134,Career_History!E23)-Career_History!D23+1),0),IF(Career_History!I24=TRUE,IF(A134&lt;Career_History!D24,0,MIN(A134,Career_History!E24)-Career_History!D24+1),0))/365.2425</f>
        <v>26.505677734655741</v>
      </c>
      <c r="AB134" s="9">
        <f>SUM(IF(Career_History!H21=TRUE,IF(A134&lt;Career_History!D21,0,MIN(A134,Career_History!E21)-Career_History!D21+1),0),IF(Career_History!H22=TRUE,IF(A134&lt;Career_History!D22,0,MIN(A134,Career_History!E22)-Career_History!D22+1),0),IF(Career_History!H23=TRUE,IF(A134&lt;Career_History!D23,0,MIN(A134,Career_History!E23)-Career_History!D23+1),0),IF(Career_History!H24=TRUE,IF(A134&lt;Career_History!D24,0,MIN(A134,Career_History!E24)-Career_History!D24+1),0))/365.2425</f>
        <v>25.421466559888295</v>
      </c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</row>
    <row r="135" spans="1:67">
      <c r="A135" s="8">
        <v>38748</v>
      </c>
      <c r="B135" s="9">
        <f t="shared" si="6"/>
        <v>35.540770857717817</v>
      </c>
      <c r="C135" s="9">
        <f t="shared" si="7"/>
        <v>9.6023874549100938</v>
      </c>
      <c r="D135" s="9">
        <f t="shared" si="8"/>
        <v>23.107387557581607</v>
      </c>
      <c r="E135" s="9"/>
      <c r="F135" s="9"/>
      <c r="G135" s="9"/>
      <c r="H135" s="9"/>
      <c r="I135" s="9"/>
      <c r="J135" s="9"/>
      <c r="K135" s="9"/>
      <c r="L135" s="9"/>
      <c r="M135" s="9"/>
      <c r="N135" s="9">
        <f>SUM(IF(Career_History!G12=TRUE,IF(A135&lt;Career_History!D12,0,MIN(A135,Career_History!E12)-Career_History!D12+1),0),IF(Career_History!G13=TRUE,IF(A135&lt;Career_History!D13,0,MIN(A135,Career_History!E13)-Career_History!D13+1),0))/365.2425</f>
        <v>34.590717126292802</v>
      </c>
      <c r="O135" s="9">
        <f>SUM(IF(Career_History!I12=TRUE,IF(A135&lt;Career_History!D12,0,MIN(A135,Career_History!E12)-Career_History!D12+1),0),IF(Career_History!I13=TRUE,IF(A135&lt;Career_History!D13,0,MIN(A135,Career_History!E13)-Career_History!D13+1),0))/365.2425</f>
        <v>0</v>
      </c>
      <c r="P135" s="9">
        <f>SUM(IF(Career_History!H12=TRUE,IF(A135&lt;Career_History!D12,0,MIN(A135,Career_History!E12)-Career_History!D12+1),0),IF(Career_History!H13=TRUE,IF(A135&lt;Career_History!D13,0,MIN(A135,Career_History!E13)-Career_History!D13+1),0))/365.2425</f>
        <v>11.085785471296468</v>
      </c>
      <c r="Q135" s="9">
        <f>SUM(IF(Career_History!G14=TRUE,IF(A135&lt;Career_History!D14,0,MIN(A135,Career_History!E14)-Career_History!D14+1),0),IF(Career_History!G15=TRUE,IF(A135&lt;Career_History!D15,0,MIN(A135,Career_History!E15)-Career_History!D15+1),0))/365.2425</f>
        <v>40.343059747975659</v>
      </c>
      <c r="R135" s="9">
        <f>SUM(IF(Career_History!I14=TRUE,IF(A135&lt;Career_History!D14,0,MIN(A135,Career_History!E14)-Career_History!D14+1),0),IF(Career_History!I15=TRUE,IF(A135&lt;Career_History!D15,0,MIN(A135,Career_History!E15)-Career_History!D15+1),0))/365.2425</f>
        <v>0</v>
      </c>
      <c r="S135" s="9">
        <f>SUM(IF(Career_History!H14=TRUE,IF(A135&lt;Career_History!D14,0,MIN(A135,Career_History!E14)-Career_History!D14+1),0),IF(Career_History!H15=TRUE,IF(A135&lt;Career_History!D15,0,MIN(A135,Career_History!E15)-Career_History!D15+1),0))/365.2425</f>
        <v>40.343059747975659</v>
      </c>
      <c r="T135" s="9">
        <f>SUM(IF(Career_History!G16=TRUE,IF(A135&lt;Career_History!D16,0,MIN(A135,Career_History!E16)-Career_History!D16+1),0),IF(Career_History!G17=TRUE,IF(A135&lt;Career_History!D17,0,MIN(A135,Career_History!E17)-Career_History!D17+1),0))/365.2425</f>
        <v>30.590634989082595</v>
      </c>
      <c r="U135" s="9">
        <f>SUM(IF(Career_History!I16=TRUE,IF(A135&lt;Career_History!D16,0,MIN(A135,Career_History!E16)-Career_History!D16+1),0),IF(Career_History!I17=TRUE,IF(A135&lt;Career_History!D17,0,MIN(A135,Career_History!E17)-Career_History!D17+1),0))/365.2425</f>
        <v>21.506259539894728</v>
      </c>
      <c r="V135" s="9">
        <f>SUM(IF(Career_History!H16=TRUE,IF(A135&lt;Career_History!D16,0,MIN(A135,Career_History!E16)-Career_History!D16+1),0),IF(Career_History!H17=TRUE,IF(A135&lt;Career_History!D17,0,MIN(A135,Career_History!E17)-Career_History!D17+1),0))/365.2425</f>
        <v>30.590634989082595</v>
      </c>
      <c r="W135" s="9">
        <f>SUM(IF(Career_History!G18=TRUE,IF(A135&lt;Career_History!D18,0,MIN(A135,Career_History!E18)-Career_History!D18+1),0),IF(Career_History!G19=TRUE,IF(A135&lt;Career_History!D19,0,MIN(A135,Career_History!E19)-Career_History!D19+1),0),IF(Career_History!G20=TRUE,IF(A135&lt;Career_History!D20,0,MIN(A135,Career_History!E20)-Career_History!D20+1),0))/365.2425</f>
        <v>37.588725298945221</v>
      </c>
      <c r="X135" s="9">
        <f>SUM(IF(Career_History!I18=TRUE,IF(A135&lt;Career_History!D18,0,MIN(A135,Career_History!E18)-Career_History!D18+1),0),IF(Career_History!I19=TRUE,IF(A135&lt;Career_History!D19,0,MIN(A135,Career_History!E19)-Career_History!D19+1),0),IF(Career_History!I20=TRUE,IF(A135&lt;Career_History!D20,0,MIN(A135,Career_History!E20)-Career_History!D20+1),0))/365.2425</f>
        <v>0</v>
      </c>
      <c r="Y135" s="9">
        <f>SUM(IF(Career_History!H18=TRUE,IF(A135&lt;Career_History!D18,0,MIN(A135,Career_History!E18)-Career_History!D18+1),0),IF(Career_History!H19=TRUE,IF(A135&lt;Career_History!D19,0,MIN(A135,Career_History!E19)-Career_History!D19+1),0),IF(Career_History!H20=TRUE,IF(A135&lt;Career_History!D20,0,MIN(A135,Career_History!E20)-Career_History!D20+1),0))/365.2425</f>
        <v>8.011115902448374</v>
      </c>
      <c r="Z135" s="9">
        <f>SUM(IF(Career_History!G21=TRUE,IF(A135&lt;Career_History!D21,0,MIN(A135,Career_History!E21)-Career_History!D21+1),0),IF(Career_History!G22=TRUE,IF(A135&lt;Career_History!D22,0,MIN(A135,Career_History!E22)-Career_History!D22+1),0),IF(Career_History!G23=TRUE,IF(A135&lt;Career_History!D23,0,MIN(A135,Career_History!E23)-Career_History!D23+1),0),IF(Career_History!G24=TRUE,IF(A135&lt;Career_History!D24,0,MIN(A135,Career_History!E24)-Career_History!D24+1),0))/365.2425</f>
        <v>34.590717126292802</v>
      </c>
      <c r="AA135" s="9">
        <f>SUM(IF(Career_History!I21=TRUE,IF(A135&lt;Career_History!D21,0,MIN(A135,Career_History!E21)-Career_History!D21+1),0),IF(Career_History!I22=TRUE,IF(A135&lt;Career_History!D22,0,MIN(A135,Career_History!E22)-Career_History!D22+1),0),IF(Career_History!I23=TRUE,IF(A135&lt;Career_History!D23,0,MIN(A135,Career_History!E23)-Career_History!D23+1),0),IF(Career_History!I24=TRUE,IF(A135&lt;Career_History!D24,0,MIN(A135,Career_History!E24)-Career_History!D24+1),0))/365.2425</f>
        <v>26.505677734655741</v>
      </c>
      <c r="AB135" s="9">
        <f>SUM(IF(Career_History!H21=TRUE,IF(A135&lt;Career_History!D21,0,MIN(A135,Career_History!E21)-Career_History!D21+1),0),IF(Career_History!H22=TRUE,IF(A135&lt;Career_History!D22,0,MIN(A135,Career_History!E22)-Career_History!D22+1),0),IF(Career_History!H23=TRUE,IF(A135&lt;Career_History!D23,0,MIN(A135,Career_History!E23)-Career_History!D23+1),0),IF(Career_History!H24=TRUE,IF(A135&lt;Career_History!D24,0,MIN(A135,Career_History!E24)-Career_History!D24+1),0))/365.2425</f>
        <v>25.506341677104938</v>
      </c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</row>
    <row r="136" spans="1:67">
      <c r="A136" s="8">
        <v>38776</v>
      </c>
      <c r="B136" s="9">
        <f t="shared" si="6"/>
        <v>35.617432253913499</v>
      </c>
      <c r="C136" s="9">
        <f t="shared" si="7"/>
        <v>9.6023874549100938</v>
      </c>
      <c r="D136" s="9">
        <f t="shared" si="8"/>
        <v>23.184048953777285</v>
      </c>
      <c r="E136" s="9"/>
      <c r="F136" s="9"/>
      <c r="G136" s="9"/>
      <c r="H136" s="9"/>
      <c r="I136" s="9"/>
      <c r="J136" s="9"/>
      <c r="K136" s="9"/>
      <c r="L136" s="9"/>
      <c r="M136" s="9"/>
      <c r="N136" s="9">
        <f>SUM(IF(Career_History!G12=TRUE,IF(A136&lt;Career_History!D12,0,MIN(A136,Career_History!E12)-Career_History!D12+1),0),IF(Career_History!G13=TRUE,IF(A136&lt;Career_History!D13,0,MIN(A136,Career_History!E13)-Career_History!D13+1),0))/365.2425</f>
        <v>34.667378522488484</v>
      </c>
      <c r="O136" s="9">
        <f>SUM(IF(Career_History!I12=TRUE,IF(A136&lt;Career_History!D12,0,MIN(A136,Career_History!E12)-Career_History!D12+1),0),IF(Career_History!I13=TRUE,IF(A136&lt;Career_History!D13,0,MIN(A136,Career_History!E13)-Career_History!D13+1),0))/365.2425</f>
        <v>0</v>
      </c>
      <c r="P136" s="9">
        <f>SUM(IF(Career_History!H12=TRUE,IF(A136&lt;Career_History!D12,0,MIN(A136,Career_History!E12)-Career_History!D12+1),0),IF(Career_History!H13=TRUE,IF(A136&lt;Career_History!D13,0,MIN(A136,Career_History!E13)-Career_History!D13+1),0))/365.2425</f>
        <v>11.162446867492145</v>
      </c>
      <c r="Q136" s="9">
        <f>SUM(IF(Career_History!G14=TRUE,IF(A136&lt;Career_History!D14,0,MIN(A136,Career_History!E14)-Career_History!D14+1),0),IF(Career_History!G15=TRUE,IF(A136&lt;Career_History!D15,0,MIN(A136,Career_History!E15)-Career_History!D15+1),0))/365.2425</f>
        <v>40.419721144171341</v>
      </c>
      <c r="R136" s="9">
        <f>SUM(IF(Career_History!I14=TRUE,IF(A136&lt;Career_History!D14,0,MIN(A136,Career_History!E14)-Career_History!D14+1),0),IF(Career_History!I15=TRUE,IF(A136&lt;Career_History!D15,0,MIN(A136,Career_History!E15)-Career_History!D15+1),0))/365.2425</f>
        <v>0</v>
      </c>
      <c r="S136" s="9">
        <f>SUM(IF(Career_History!H14=TRUE,IF(A136&lt;Career_History!D14,0,MIN(A136,Career_History!E14)-Career_History!D14+1),0),IF(Career_History!H15=TRUE,IF(A136&lt;Career_History!D15,0,MIN(A136,Career_History!E15)-Career_History!D15+1),0))/365.2425</f>
        <v>40.419721144171341</v>
      </c>
      <c r="T136" s="9">
        <f>SUM(IF(Career_History!G16=TRUE,IF(A136&lt;Career_History!D16,0,MIN(A136,Career_History!E16)-Career_History!D16+1),0),IF(Career_History!G17=TRUE,IF(A136&lt;Career_History!D17,0,MIN(A136,Career_History!E17)-Career_History!D17+1),0))/365.2425</f>
        <v>30.667296385278274</v>
      </c>
      <c r="U136" s="9">
        <f>SUM(IF(Career_History!I16=TRUE,IF(A136&lt;Career_History!D16,0,MIN(A136,Career_History!E16)-Career_History!D16+1),0),IF(Career_History!I17=TRUE,IF(A136&lt;Career_History!D17,0,MIN(A136,Career_History!E17)-Career_History!D17+1),0))/365.2425</f>
        <v>21.506259539894728</v>
      </c>
      <c r="V136" s="9">
        <f>SUM(IF(Career_History!H16=TRUE,IF(A136&lt;Career_History!D16,0,MIN(A136,Career_History!E16)-Career_History!D16+1),0),IF(Career_History!H17=TRUE,IF(A136&lt;Career_History!D17,0,MIN(A136,Career_History!E17)-Career_History!D17+1),0))/365.2425</f>
        <v>30.667296385278274</v>
      </c>
      <c r="W136" s="9">
        <f>SUM(IF(Career_History!G18=TRUE,IF(A136&lt;Career_History!D18,0,MIN(A136,Career_History!E18)-Career_History!D18+1),0),IF(Career_History!G19=TRUE,IF(A136&lt;Career_History!D19,0,MIN(A136,Career_History!E19)-Career_History!D19+1),0),IF(Career_History!G20=TRUE,IF(A136&lt;Career_History!D20,0,MIN(A136,Career_History!E20)-Career_History!D20+1),0))/365.2425</f>
        <v>37.665386695140896</v>
      </c>
      <c r="X136" s="9">
        <f>SUM(IF(Career_History!I18=TRUE,IF(A136&lt;Career_History!D18,0,MIN(A136,Career_History!E18)-Career_History!D18+1),0),IF(Career_History!I19=TRUE,IF(A136&lt;Career_History!D19,0,MIN(A136,Career_History!E19)-Career_History!D19+1),0),IF(Career_History!I20=TRUE,IF(A136&lt;Career_History!D20,0,MIN(A136,Career_History!E20)-Career_History!D20+1),0))/365.2425</f>
        <v>0</v>
      </c>
      <c r="Y136" s="9">
        <f>SUM(IF(Career_History!H18=TRUE,IF(A136&lt;Career_History!D18,0,MIN(A136,Career_History!E18)-Career_History!D18+1),0),IF(Career_History!H19=TRUE,IF(A136&lt;Career_History!D19,0,MIN(A136,Career_History!E19)-Career_History!D19+1),0),IF(Career_History!H20=TRUE,IF(A136&lt;Career_History!D20,0,MIN(A136,Career_History!E20)-Career_History!D20+1),0))/365.2425</f>
        <v>8.0877772986440508</v>
      </c>
      <c r="Z136" s="9">
        <f>SUM(IF(Career_History!G21=TRUE,IF(A136&lt;Career_History!D21,0,MIN(A136,Career_History!E21)-Career_History!D21+1),0),IF(Career_History!G22=TRUE,IF(A136&lt;Career_History!D22,0,MIN(A136,Career_History!E22)-Career_History!D22+1),0),IF(Career_History!G23=TRUE,IF(A136&lt;Career_History!D23,0,MIN(A136,Career_History!E23)-Career_History!D23+1),0),IF(Career_History!G24=TRUE,IF(A136&lt;Career_History!D24,0,MIN(A136,Career_History!E24)-Career_History!D24+1),0))/365.2425</f>
        <v>34.667378522488484</v>
      </c>
      <c r="AA136" s="9">
        <f>SUM(IF(Career_History!I21=TRUE,IF(A136&lt;Career_History!D21,0,MIN(A136,Career_History!E21)-Career_History!D21+1),0),IF(Career_History!I22=TRUE,IF(A136&lt;Career_History!D22,0,MIN(A136,Career_History!E22)-Career_History!D22+1),0),IF(Career_History!I23=TRUE,IF(A136&lt;Career_History!D23,0,MIN(A136,Career_History!E23)-Career_History!D23+1),0),IF(Career_History!I24=TRUE,IF(A136&lt;Career_History!D24,0,MIN(A136,Career_History!E24)-Career_History!D24+1),0))/365.2425</f>
        <v>26.505677734655741</v>
      </c>
      <c r="AB136" s="9">
        <f>SUM(IF(Career_History!H21=TRUE,IF(A136&lt;Career_History!D21,0,MIN(A136,Career_History!E21)-Career_History!D21+1),0),IF(Career_History!H22=TRUE,IF(A136&lt;Career_History!D22,0,MIN(A136,Career_History!E22)-Career_History!D22+1),0),IF(Career_History!H23=TRUE,IF(A136&lt;Career_History!D23,0,MIN(A136,Career_History!E23)-Career_History!D23+1),0),IF(Career_History!H24=TRUE,IF(A136&lt;Career_History!D24,0,MIN(A136,Career_History!E24)-Career_History!D24+1),0))/365.2425</f>
        <v>25.583003073300613</v>
      </c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</row>
    <row r="137" spans="1:67">
      <c r="A137" s="8">
        <v>38807</v>
      </c>
      <c r="B137" s="9">
        <f t="shared" si="6"/>
        <v>35.702307371130139</v>
      </c>
      <c r="C137" s="9">
        <f t="shared" si="7"/>
        <v>9.6023874549100938</v>
      </c>
      <c r="D137" s="9">
        <f t="shared" si="8"/>
        <v>23.268924070993929</v>
      </c>
      <c r="E137" s="9"/>
      <c r="F137" s="9"/>
      <c r="G137" s="9"/>
      <c r="H137" s="9"/>
      <c r="I137" s="9"/>
      <c r="J137" s="9"/>
      <c r="K137" s="9"/>
      <c r="L137" s="9"/>
      <c r="M137" s="9"/>
      <c r="N137" s="9">
        <f>SUM(IF(Career_History!G12=TRUE,IF(A137&lt;Career_History!D12,0,MIN(A137,Career_History!E12)-Career_History!D12+1),0),IF(Career_History!G13=TRUE,IF(A137&lt;Career_History!D13,0,MIN(A137,Career_History!E13)-Career_History!D13+1),0))/365.2425</f>
        <v>34.752253639705124</v>
      </c>
      <c r="O137" s="9">
        <f>SUM(IF(Career_History!I12=TRUE,IF(A137&lt;Career_History!D12,0,MIN(A137,Career_History!E12)-Career_History!D12+1),0),IF(Career_History!I13=TRUE,IF(A137&lt;Career_History!D13,0,MIN(A137,Career_History!E13)-Career_History!D13+1),0))/365.2425</f>
        <v>0</v>
      </c>
      <c r="P137" s="9">
        <f>SUM(IF(Career_History!H12=TRUE,IF(A137&lt;Career_History!D12,0,MIN(A137,Career_History!E12)-Career_History!D12+1),0),IF(Career_History!H13=TRUE,IF(A137&lt;Career_History!D13,0,MIN(A137,Career_History!E13)-Career_History!D13+1),0))/365.2425</f>
        <v>11.247321984708789</v>
      </c>
      <c r="Q137" s="9">
        <f>SUM(IF(Career_History!G14=TRUE,IF(A137&lt;Career_History!D14,0,MIN(A137,Career_History!E14)-Career_History!D14+1),0),IF(Career_History!G15=TRUE,IF(A137&lt;Career_History!D15,0,MIN(A137,Career_History!E15)-Career_History!D15+1),0))/365.2425</f>
        <v>40.504596261387981</v>
      </c>
      <c r="R137" s="9">
        <f>SUM(IF(Career_History!I14=TRUE,IF(A137&lt;Career_History!D14,0,MIN(A137,Career_History!E14)-Career_History!D14+1),0),IF(Career_History!I15=TRUE,IF(A137&lt;Career_History!D15,0,MIN(A137,Career_History!E15)-Career_History!D15+1),0))/365.2425</f>
        <v>0</v>
      </c>
      <c r="S137" s="9">
        <f>SUM(IF(Career_History!H14=TRUE,IF(A137&lt;Career_History!D14,0,MIN(A137,Career_History!E14)-Career_History!D14+1),0),IF(Career_History!H15=TRUE,IF(A137&lt;Career_History!D15,0,MIN(A137,Career_History!E15)-Career_History!D15+1),0))/365.2425</f>
        <v>40.504596261387981</v>
      </c>
      <c r="T137" s="9">
        <f>SUM(IF(Career_History!G16=TRUE,IF(A137&lt;Career_History!D16,0,MIN(A137,Career_History!E16)-Career_History!D16+1),0),IF(Career_History!G17=TRUE,IF(A137&lt;Career_History!D17,0,MIN(A137,Career_History!E17)-Career_History!D17+1),0))/365.2425</f>
        <v>30.752171502494917</v>
      </c>
      <c r="U137" s="9">
        <f>SUM(IF(Career_History!I16=TRUE,IF(A137&lt;Career_History!D16,0,MIN(A137,Career_History!E16)-Career_History!D16+1),0),IF(Career_History!I17=TRUE,IF(A137&lt;Career_History!D17,0,MIN(A137,Career_History!E17)-Career_History!D17+1),0))/365.2425</f>
        <v>21.506259539894728</v>
      </c>
      <c r="V137" s="9">
        <f>SUM(IF(Career_History!H16=TRUE,IF(A137&lt;Career_History!D16,0,MIN(A137,Career_History!E16)-Career_History!D16+1),0),IF(Career_History!H17=TRUE,IF(A137&lt;Career_History!D17,0,MIN(A137,Career_History!E17)-Career_History!D17+1),0))/365.2425</f>
        <v>30.752171502494917</v>
      </c>
      <c r="W137" s="9">
        <f>SUM(IF(Career_History!G18=TRUE,IF(A137&lt;Career_History!D18,0,MIN(A137,Career_History!E18)-Career_History!D18+1),0),IF(Career_History!G19=TRUE,IF(A137&lt;Career_History!D19,0,MIN(A137,Career_History!E19)-Career_History!D19+1),0),IF(Career_History!G20=TRUE,IF(A137&lt;Career_History!D20,0,MIN(A137,Career_History!E20)-Career_History!D20+1),0))/365.2425</f>
        <v>37.750261812357543</v>
      </c>
      <c r="X137" s="9">
        <f>SUM(IF(Career_History!I18=TRUE,IF(A137&lt;Career_History!D18,0,MIN(A137,Career_History!E18)-Career_History!D18+1),0),IF(Career_History!I19=TRUE,IF(A137&lt;Career_History!D19,0,MIN(A137,Career_History!E19)-Career_History!D19+1),0),IF(Career_History!I20=TRUE,IF(A137&lt;Career_History!D20,0,MIN(A137,Career_History!E20)-Career_History!D20+1),0))/365.2425</f>
        <v>0</v>
      </c>
      <c r="Y137" s="9">
        <f>SUM(IF(Career_History!H18=TRUE,IF(A137&lt;Career_History!D18,0,MIN(A137,Career_History!E18)-Career_History!D18+1),0),IF(Career_History!H19=TRUE,IF(A137&lt;Career_History!D19,0,MIN(A137,Career_History!E19)-Career_History!D19+1),0),IF(Career_History!H20=TRUE,IF(A137&lt;Career_History!D20,0,MIN(A137,Career_History!E20)-Career_History!D20+1),0))/365.2425</f>
        <v>8.1726524158606946</v>
      </c>
      <c r="Z137" s="9">
        <f>SUM(IF(Career_History!G21=TRUE,IF(A137&lt;Career_History!D21,0,MIN(A137,Career_History!E21)-Career_History!D21+1),0),IF(Career_History!G22=TRUE,IF(A137&lt;Career_History!D22,0,MIN(A137,Career_History!E22)-Career_History!D22+1),0),IF(Career_History!G23=TRUE,IF(A137&lt;Career_History!D23,0,MIN(A137,Career_History!E23)-Career_History!D23+1),0),IF(Career_History!G24=TRUE,IF(A137&lt;Career_History!D24,0,MIN(A137,Career_History!E24)-Career_History!D24+1),0))/365.2425</f>
        <v>34.752253639705124</v>
      </c>
      <c r="AA137" s="9">
        <f>SUM(IF(Career_History!I21=TRUE,IF(A137&lt;Career_History!D21,0,MIN(A137,Career_History!E21)-Career_History!D21+1),0),IF(Career_History!I22=TRUE,IF(A137&lt;Career_History!D22,0,MIN(A137,Career_History!E22)-Career_History!D22+1),0),IF(Career_History!I23=TRUE,IF(A137&lt;Career_History!D23,0,MIN(A137,Career_History!E23)-Career_History!D23+1),0),IF(Career_History!I24=TRUE,IF(A137&lt;Career_History!D24,0,MIN(A137,Career_History!E24)-Career_History!D24+1),0))/365.2425</f>
        <v>26.505677734655741</v>
      </c>
      <c r="AB137" s="9">
        <f>SUM(IF(Career_History!H21=TRUE,IF(A137&lt;Career_History!D21,0,MIN(A137,Career_History!E21)-Career_History!D21+1),0),IF(Career_History!H22=TRUE,IF(A137&lt;Career_History!D22,0,MIN(A137,Career_History!E22)-Career_History!D22+1),0),IF(Career_History!H23=TRUE,IF(A137&lt;Career_History!D23,0,MIN(A137,Career_History!E23)-Career_History!D23+1),0),IF(Career_History!H24=TRUE,IF(A137&lt;Career_History!D24,0,MIN(A137,Career_History!E24)-Career_History!D24+1),0))/365.2425</f>
        <v>25.667878190517257</v>
      </c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</row>
    <row r="138" spans="1:67">
      <c r="A138" s="8">
        <v>38837</v>
      </c>
      <c r="B138" s="9">
        <f t="shared" si="6"/>
        <v>35.784444581339791</v>
      </c>
      <c r="C138" s="9">
        <f t="shared" si="7"/>
        <v>9.6023874549100938</v>
      </c>
      <c r="D138" s="9">
        <f t="shared" si="8"/>
        <v>23.351061281203581</v>
      </c>
      <c r="E138" s="9"/>
      <c r="F138" s="9"/>
      <c r="G138" s="9"/>
      <c r="H138" s="9"/>
      <c r="I138" s="9"/>
      <c r="J138" s="9"/>
      <c r="K138" s="9"/>
      <c r="L138" s="9"/>
      <c r="M138" s="9"/>
      <c r="N138" s="9">
        <f>SUM(IF(Career_History!G12=TRUE,IF(A138&lt;Career_History!D12,0,MIN(A138,Career_History!E12)-Career_History!D12+1),0),IF(Career_History!G13=TRUE,IF(A138&lt;Career_History!D13,0,MIN(A138,Career_History!E13)-Career_History!D13+1),0))/365.2425</f>
        <v>34.834390849914783</v>
      </c>
      <c r="O138" s="9">
        <f>SUM(IF(Career_History!I12=TRUE,IF(A138&lt;Career_History!D12,0,MIN(A138,Career_History!E12)-Career_History!D12+1),0),IF(Career_History!I13=TRUE,IF(A138&lt;Career_History!D13,0,MIN(A138,Career_History!E13)-Career_History!D13+1),0))/365.2425</f>
        <v>0</v>
      </c>
      <c r="P138" s="9">
        <f>SUM(IF(Career_History!H12=TRUE,IF(A138&lt;Career_History!D12,0,MIN(A138,Career_History!E12)-Career_History!D12+1),0),IF(Career_History!H13=TRUE,IF(A138&lt;Career_History!D13,0,MIN(A138,Career_History!E13)-Career_History!D13+1),0))/365.2425</f>
        <v>11.329459194918444</v>
      </c>
      <c r="Q138" s="9">
        <f>SUM(IF(Career_History!G14=TRUE,IF(A138&lt;Career_History!D14,0,MIN(A138,Career_History!E14)-Career_History!D14+1),0),IF(Career_History!G15=TRUE,IF(A138&lt;Career_History!D15,0,MIN(A138,Career_History!E15)-Career_History!D15+1),0))/365.2425</f>
        <v>40.58673347159764</v>
      </c>
      <c r="R138" s="9">
        <f>SUM(IF(Career_History!I14=TRUE,IF(A138&lt;Career_History!D14,0,MIN(A138,Career_History!E14)-Career_History!D14+1),0),IF(Career_History!I15=TRUE,IF(A138&lt;Career_History!D15,0,MIN(A138,Career_History!E15)-Career_History!D15+1),0))/365.2425</f>
        <v>0</v>
      </c>
      <c r="S138" s="9">
        <f>SUM(IF(Career_History!H14=TRUE,IF(A138&lt;Career_History!D14,0,MIN(A138,Career_History!E14)-Career_History!D14+1),0),IF(Career_History!H15=TRUE,IF(A138&lt;Career_History!D15,0,MIN(A138,Career_History!E15)-Career_History!D15+1),0))/365.2425</f>
        <v>40.58673347159764</v>
      </c>
      <c r="T138" s="9">
        <f>SUM(IF(Career_History!G16=TRUE,IF(A138&lt;Career_History!D16,0,MIN(A138,Career_History!E16)-Career_History!D16+1),0),IF(Career_History!G17=TRUE,IF(A138&lt;Career_History!D17,0,MIN(A138,Career_History!E17)-Career_History!D17+1),0))/365.2425</f>
        <v>30.834308712704573</v>
      </c>
      <c r="U138" s="9">
        <f>SUM(IF(Career_History!I16=TRUE,IF(A138&lt;Career_History!D16,0,MIN(A138,Career_History!E16)-Career_History!D16+1),0),IF(Career_History!I17=TRUE,IF(A138&lt;Career_History!D17,0,MIN(A138,Career_History!E17)-Career_History!D17+1),0))/365.2425</f>
        <v>21.506259539894728</v>
      </c>
      <c r="V138" s="9">
        <f>SUM(IF(Career_History!H16=TRUE,IF(A138&lt;Career_History!D16,0,MIN(A138,Career_History!E16)-Career_History!D16+1),0),IF(Career_History!H17=TRUE,IF(A138&lt;Career_History!D17,0,MIN(A138,Career_History!E17)-Career_History!D17+1),0))/365.2425</f>
        <v>30.834308712704573</v>
      </c>
      <c r="W138" s="9">
        <f>SUM(IF(Career_History!G18=TRUE,IF(A138&lt;Career_History!D18,0,MIN(A138,Career_History!E18)-Career_History!D18+1),0),IF(Career_History!G19=TRUE,IF(A138&lt;Career_History!D19,0,MIN(A138,Career_History!E19)-Career_History!D19+1),0),IF(Career_History!G20=TRUE,IF(A138&lt;Career_History!D20,0,MIN(A138,Career_History!E20)-Career_History!D20+1),0))/365.2425</f>
        <v>37.832399022567195</v>
      </c>
      <c r="X138" s="9">
        <f>SUM(IF(Career_History!I18=TRUE,IF(A138&lt;Career_History!D18,0,MIN(A138,Career_History!E18)-Career_History!D18+1),0),IF(Career_History!I19=TRUE,IF(A138&lt;Career_History!D19,0,MIN(A138,Career_History!E19)-Career_History!D19+1),0),IF(Career_History!I20=TRUE,IF(A138&lt;Career_History!D20,0,MIN(A138,Career_History!E20)-Career_History!D20+1),0))/365.2425</f>
        <v>0</v>
      </c>
      <c r="Y138" s="9">
        <f>SUM(IF(Career_History!H18=TRUE,IF(A138&lt;Career_History!D18,0,MIN(A138,Career_History!E18)-Career_History!D18+1),0),IF(Career_History!H19=TRUE,IF(A138&lt;Career_History!D19,0,MIN(A138,Career_History!E19)-Career_History!D19+1),0),IF(Career_History!H20=TRUE,IF(A138&lt;Career_History!D20,0,MIN(A138,Career_History!E20)-Career_History!D20+1),0))/365.2425</f>
        <v>8.2547896260703499</v>
      </c>
      <c r="Z138" s="9">
        <f>SUM(IF(Career_History!G21=TRUE,IF(A138&lt;Career_History!D21,0,MIN(A138,Career_History!E21)-Career_History!D21+1),0),IF(Career_History!G22=TRUE,IF(A138&lt;Career_History!D22,0,MIN(A138,Career_History!E22)-Career_History!D22+1),0),IF(Career_History!G23=TRUE,IF(A138&lt;Career_History!D23,0,MIN(A138,Career_History!E23)-Career_History!D23+1),0),IF(Career_History!G24=TRUE,IF(A138&lt;Career_History!D24,0,MIN(A138,Career_History!E24)-Career_History!D24+1),0))/365.2425</f>
        <v>34.834390849914783</v>
      </c>
      <c r="AA138" s="9">
        <f>SUM(IF(Career_History!I21=TRUE,IF(A138&lt;Career_History!D21,0,MIN(A138,Career_History!E21)-Career_History!D21+1),0),IF(Career_History!I22=TRUE,IF(A138&lt;Career_History!D22,0,MIN(A138,Career_History!E22)-Career_History!D22+1),0),IF(Career_History!I23=TRUE,IF(A138&lt;Career_History!D23,0,MIN(A138,Career_History!E23)-Career_History!D23+1),0),IF(Career_History!I24=TRUE,IF(A138&lt;Career_History!D24,0,MIN(A138,Career_History!E24)-Career_History!D24+1),0))/365.2425</f>
        <v>26.505677734655741</v>
      </c>
      <c r="AB138" s="9">
        <f>SUM(IF(Career_History!H21=TRUE,IF(A138&lt;Career_History!D21,0,MIN(A138,Career_History!E21)-Career_History!D21+1),0),IF(Career_History!H22=TRUE,IF(A138&lt;Career_History!D22,0,MIN(A138,Career_History!E22)-Career_History!D22+1),0),IF(Career_History!H23=TRUE,IF(A138&lt;Career_History!D23,0,MIN(A138,Career_History!E23)-Career_History!D23+1),0),IF(Career_History!H24=TRUE,IF(A138&lt;Career_History!D24,0,MIN(A138,Career_History!E24)-Career_History!D24+1),0))/365.2425</f>
        <v>25.750015400726912</v>
      </c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</row>
    <row r="139" spans="1:67">
      <c r="A139" s="8">
        <v>38868</v>
      </c>
      <c r="B139" s="9">
        <f t="shared" si="6"/>
        <v>35.869319698556438</v>
      </c>
      <c r="C139" s="9">
        <f t="shared" si="7"/>
        <v>9.6023874549100938</v>
      </c>
      <c r="D139" s="9">
        <f t="shared" si="8"/>
        <v>23.435936398420228</v>
      </c>
      <c r="E139" s="9"/>
      <c r="F139" s="9"/>
      <c r="G139" s="9"/>
      <c r="H139" s="9"/>
      <c r="I139" s="9"/>
      <c r="J139" s="9"/>
      <c r="K139" s="9"/>
      <c r="L139" s="9"/>
      <c r="M139" s="9"/>
      <c r="N139" s="9">
        <f>SUM(IF(Career_History!G12=TRUE,IF(A139&lt;Career_History!D12,0,MIN(A139,Career_History!E12)-Career_History!D12+1),0),IF(Career_History!G13=TRUE,IF(A139&lt;Career_History!D13,0,MIN(A139,Career_History!E13)-Career_History!D13+1),0))/365.2425</f>
        <v>34.919265967131423</v>
      </c>
      <c r="O139" s="9">
        <f>SUM(IF(Career_History!I12=TRUE,IF(A139&lt;Career_History!D12,0,MIN(A139,Career_History!E12)-Career_History!D12+1),0),IF(Career_History!I13=TRUE,IF(A139&lt;Career_History!D13,0,MIN(A139,Career_History!E13)-Career_History!D13+1),0))/365.2425</f>
        <v>0</v>
      </c>
      <c r="P139" s="9">
        <f>SUM(IF(Career_History!H12=TRUE,IF(A139&lt;Career_History!D12,0,MIN(A139,Career_History!E12)-Career_History!D12+1),0),IF(Career_History!H13=TRUE,IF(A139&lt;Career_History!D13,0,MIN(A139,Career_History!E13)-Career_History!D13+1),0))/365.2425</f>
        <v>11.414334312135088</v>
      </c>
      <c r="Q139" s="9">
        <f>SUM(IF(Career_History!G14=TRUE,IF(A139&lt;Career_History!D14,0,MIN(A139,Career_History!E14)-Career_History!D14+1),0),IF(Career_History!G15=TRUE,IF(A139&lt;Career_History!D15,0,MIN(A139,Career_History!E15)-Career_History!D15+1),0))/365.2425</f>
        <v>40.67160858881428</v>
      </c>
      <c r="R139" s="9">
        <f>SUM(IF(Career_History!I14=TRUE,IF(A139&lt;Career_History!D14,0,MIN(A139,Career_History!E14)-Career_History!D14+1),0),IF(Career_History!I15=TRUE,IF(A139&lt;Career_History!D15,0,MIN(A139,Career_History!E15)-Career_History!D15+1),0))/365.2425</f>
        <v>0</v>
      </c>
      <c r="S139" s="9">
        <f>SUM(IF(Career_History!H14=TRUE,IF(A139&lt;Career_History!D14,0,MIN(A139,Career_History!E14)-Career_History!D14+1),0),IF(Career_History!H15=TRUE,IF(A139&lt;Career_History!D15,0,MIN(A139,Career_History!E15)-Career_History!D15+1),0))/365.2425</f>
        <v>40.67160858881428</v>
      </c>
      <c r="T139" s="9">
        <f>SUM(IF(Career_History!G16=TRUE,IF(A139&lt;Career_History!D16,0,MIN(A139,Career_History!E16)-Career_History!D16+1),0),IF(Career_History!G17=TRUE,IF(A139&lt;Career_History!D17,0,MIN(A139,Career_History!E17)-Career_History!D17+1),0))/365.2425</f>
        <v>30.919183829921216</v>
      </c>
      <c r="U139" s="9">
        <f>SUM(IF(Career_History!I16=TRUE,IF(A139&lt;Career_History!D16,0,MIN(A139,Career_History!E16)-Career_History!D16+1),0),IF(Career_History!I17=TRUE,IF(A139&lt;Career_History!D17,0,MIN(A139,Career_History!E17)-Career_History!D17+1),0))/365.2425</f>
        <v>21.506259539894728</v>
      </c>
      <c r="V139" s="9">
        <f>SUM(IF(Career_History!H16=TRUE,IF(A139&lt;Career_History!D16,0,MIN(A139,Career_History!E16)-Career_History!D16+1),0),IF(Career_History!H17=TRUE,IF(A139&lt;Career_History!D17,0,MIN(A139,Career_History!E17)-Career_History!D17+1),0))/365.2425</f>
        <v>30.919183829921216</v>
      </c>
      <c r="W139" s="9">
        <f>SUM(IF(Career_History!G18=TRUE,IF(A139&lt;Career_History!D18,0,MIN(A139,Career_History!E18)-Career_History!D18+1),0),IF(Career_History!G19=TRUE,IF(A139&lt;Career_History!D19,0,MIN(A139,Career_History!E19)-Career_History!D19+1),0),IF(Career_History!G20=TRUE,IF(A139&lt;Career_History!D20,0,MIN(A139,Career_History!E20)-Career_History!D20+1),0))/365.2425</f>
        <v>37.917274139783842</v>
      </c>
      <c r="X139" s="9">
        <f>SUM(IF(Career_History!I18=TRUE,IF(A139&lt;Career_History!D18,0,MIN(A139,Career_History!E18)-Career_History!D18+1),0),IF(Career_History!I19=TRUE,IF(A139&lt;Career_History!D19,0,MIN(A139,Career_History!E19)-Career_History!D19+1),0),IF(Career_History!I20=TRUE,IF(A139&lt;Career_History!D20,0,MIN(A139,Career_History!E20)-Career_History!D20+1),0))/365.2425</f>
        <v>0</v>
      </c>
      <c r="Y139" s="9">
        <f>SUM(IF(Career_History!H18=TRUE,IF(A139&lt;Career_History!D18,0,MIN(A139,Career_History!E18)-Career_History!D18+1),0),IF(Career_History!H19=TRUE,IF(A139&lt;Career_History!D19,0,MIN(A139,Career_History!E19)-Career_History!D19+1),0),IF(Career_History!H20=TRUE,IF(A139&lt;Career_History!D20,0,MIN(A139,Career_History!E20)-Career_History!D20+1),0))/365.2425</f>
        <v>8.3396647432869937</v>
      </c>
      <c r="Z139" s="9">
        <f>SUM(IF(Career_History!G21=TRUE,IF(A139&lt;Career_History!D21,0,MIN(A139,Career_History!E21)-Career_History!D21+1),0),IF(Career_History!G22=TRUE,IF(A139&lt;Career_History!D22,0,MIN(A139,Career_History!E22)-Career_History!D22+1),0),IF(Career_History!G23=TRUE,IF(A139&lt;Career_History!D23,0,MIN(A139,Career_History!E23)-Career_History!D23+1),0),IF(Career_History!G24=TRUE,IF(A139&lt;Career_History!D24,0,MIN(A139,Career_History!E24)-Career_History!D24+1),0))/365.2425</f>
        <v>34.919265967131423</v>
      </c>
      <c r="AA139" s="9">
        <f>SUM(IF(Career_History!I21=TRUE,IF(A139&lt;Career_History!D21,0,MIN(A139,Career_History!E21)-Career_History!D21+1),0),IF(Career_History!I22=TRUE,IF(A139&lt;Career_History!D22,0,MIN(A139,Career_History!E22)-Career_History!D22+1),0),IF(Career_History!I23=TRUE,IF(A139&lt;Career_History!D23,0,MIN(A139,Career_History!E23)-Career_History!D23+1),0),IF(Career_History!I24=TRUE,IF(A139&lt;Career_History!D24,0,MIN(A139,Career_History!E24)-Career_History!D24+1),0))/365.2425</f>
        <v>26.505677734655741</v>
      </c>
      <c r="AB139" s="9">
        <f>SUM(IF(Career_History!H21=TRUE,IF(A139&lt;Career_History!D21,0,MIN(A139,Career_History!E21)-Career_History!D21+1),0),IF(Career_History!H22=TRUE,IF(A139&lt;Career_History!D22,0,MIN(A139,Career_History!E22)-Career_History!D22+1),0),IF(Career_History!H23=TRUE,IF(A139&lt;Career_History!D23,0,MIN(A139,Career_History!E23)-Career_History!D23+1),0),IF(Career_History!H24=TRUE,IF(A139&lt;Career_History!D24,0,MIN(A139,Career_History!E24)-Career_History!D24+1),0))/365.2425</f>
        <v>25.834890517943556</v>
      </c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</row>
    <row r="140" spans="1:67">
      <c r="A140" s="8">
        <v>38898</v>
      </c>
      <c r="B140" s="9">
        <f t="shared" si="6"/>
        <v>35.951456908766097</v>
      </c>
      <c r="C140" s="9">
        <f t="shared" si="7"/>
        <v>9.6023874549100938</v>
      </c>
      <c r="D140" s="9">
        <f t="shared" si="8"/>
        <v>23.518073608629884</v>
      </c>
      <c r="E140" s="9"/>
      <c r="F140" s="9"/>
      <c r="G140" s="9"/>
      <c r="H140" s="9"/>
      <c r="I140" s="9"/>
      <c r="J140" s="9"/>
      <c r="K140" s="9"/>
      <c r="L140" s="9"/>
      <c r="M140" s="9"/>
      <c r="N140" s="9">
        <f>SUM(IF(Career_History!G12=TRUE,IF(A140&lt;Career_History!D12,0,MIN(A140,Career_History!E12)-Career_History!D12+1),0),IF(Career_History!G13=TRUE,IF(A140&lt;Career_History!D13,0,MIN(A140,Career_History!E13)-Career_History!D13+1),0))/365.2425</f>
        <v>35.001403177341082</v>
      </c>
      <c r="O140" s="9">
        <f>SUM(IF(Career_History!I12=TRUE,IF(A140&lt;Career_History!D12,0,MIN(A140,Career_History!E12)-Career_History!D12+1),0),IF(Career_History!I13=TRUE,IF(A140&lt;Career_History!D13,0,MIN(A140,Career_History!E13)-Career_History!D13+1),0))/365.2425</f>
        <v>0</v>
      </c>
      <c r="P140" s="9">
        <f>SUM(IF(Career_History!H12=TRUE,IF(A140&lt;Career_History!D12,0,MIN(A140,Career_History!E12)-Career_History!D12+1),0),IF(Career_History!H13=TRUE,IF(A140&lt;Career_History!D13,0,MIN(A140,Career_History!E13)-Career_History!D13+1),0))/365.2425</f>
        <v>11.496471522344743</v>
      </c>
      <c r="Q140" s="9">
        <f>SUM(IF(Career_History!G14=TRUE,IF(A140&lt;Career_History!D14,0,MIN(A140,Career_History!E14)-Career_History!D14+1),0),IF(Career_History!G15=TRUE,IF(A140&lt;Career_History!D15,0,MIN(A140,Career_History!E15)-Career_History!D15+1),0))/365.2425</f>
        <v>40.753745799023939</v>
      </c>
      <c r="R140" s="9">
        <f>SUM(IF(Career_History!I14=TRUE,IF(A140&lt;Career_History!D14,0,MIN(A140,Career_History!E14)-Career_History!D14+1),0),IF(Career_History!I15=TRUE,IF(A140&lt;Career_History!D15,0,MIN(A140,Career_History!E15)-Career_History!D15+1),0))/365.2425</f>
        <v>0</v>
      </c>
      <c r="S140" s="9">
        <f>SUM(IF(Career_History!H14=TRUE,IF(A140&lt;Career_History!D14,0,MIN(A140,Career_History!E14)-Career_History!D14+1),0),IF(Career_History!H15=TRUE,IF(A140&lt;Career_History!D15,0,MIN(A140,Career_History!E15)-Career_History!D15+1),0))/365.2425</f>
        <v>40.753745799023939</v>
      </c>
      <c r="T140" s="9">
        <f>SUM(IF(Career_History!G16=TRUE,IF(A140&lt;Career_History!D16,0,MIN(A140,Career_History!E16)-Career_History!D16+1),0),IF(Career_History!G17=TRUE,IF(A140&lt;Career_History!D17,0,MIN(A140,Career_History!E17)-Career_History!D17+1),0))/365.2425</f>
        <v>31.001321040130872</v>
      </c>
      <c r="U140" s="9">
        <f>SUM(IF(Career_History!I16=TRUE,IF(A140&lt;Career_History!D16,0,MIN(A140,Career_History!E16)-Career_History!D16+1),0),IF(Career_History!I17=TRUE,IF(A140&lt;Career_History!D17,0,MIN(A140,Career_History!E17)-Career_History!D17+1),0))/365.2425</f>
        <v>21.506259539894728</v>
      </c>
      <c r="V140" s="9">
        <f>SUM(IF(Career_History!H16=TRUE,IF(A140&lt;Career_History!D16,0,MIN(A140,Career_History!E16)-Career_History!D16+1),0),IF(Career_History!H17=TRUE,IF(A140&lt;Career_History!D17,0,MIN(A140,Career_History!E17)-Career_History!D17+1),0))/365.2425</f>
        <v>31.001321040130872</v>
      </c>
      <c r="W140" s="9">
        <f>SUM(IF(Career_History!G18=TRUE,IF(A140&lt;Career_History!D18,0,MIN(A140,Career_History!E18)-Career_History!D18+1),0),IF(Career_History!G19=TRUE,IF(A140&lt;Career_History!D19,0,MIN(A140,Career_History!E19)-Career_History!D19+1),0),IF(Career_History!G20=TRUE,IF(A140&lt;Career_History!D20,0,MIN(A140,Career_History!E20)-Career_History!D20+1),0))/365.2425</f>
        <v>37.999411349993494</v>
      </c>
      <c r="X140" s="9">
        <f>SUM(IF(Career_History!I18=TRUE,IF(A140&lt;Career_History!D18,0,MIN(A140,Career_History!E18)-Career_History!D18+1),0),IF(Career_History!I19=TRUE,IF(A140&lt;Career_History!D19,0,MIN(A140,Career_History!E19)-Career_History!D19+1),0),IF(Career_History!I20=TRUE,IF(A140&lt;Career_History!D20,0,MIN(A140,Career_History!E20)-Career_History!D20+1),0))/365.2425</f>
        <v>0</v>
      </c>
      <c r="Y140" s="9">
        <f>SUM(IF(Career_History!H18=TRUE,IF(A140&lt;Career_History!D18,0,MIN(A140,Career_History!E18)-Career_History!D18+1),0),IF(Career_History!H19=TRUE,IF(A140&lt;Career_History!D19,0,MIN(A140,Career_History!E19)-Career_History!D19+1),0),IF(Career_History!H20=TRUE,IF(A140&lt;Career_History!D20,0,MIN(A140,Career_History!E20)-Career_History!D20+1),0))/365.2425</f>
        <v>8.4218019534966491</v>
      </c>
      <c r="Z140" s="9">
        <f>SUM(IF(Career_History!G21=TRUE,IF(A140&lt;Career_History!D21,0,MIN(A140,Career_History!E21)-Career_History!D21+1),0),IF(Career_History!G22=TRUE,IF(A140&lt;Career_History!D22,0,MIN(A140,Career_History!E22)-Career_History!D22+1),0),IF(Career_History!G23=TRUE,IF(A140&lt;Career_History!D23,0,MIN(A140,Career_History!E23)-Career_History!D23+1),0),IF(Career_History!G24=TRUE,IF(A140&lt;Career_History!D24,0,MIN(A140,Career_History!E24)-Career_History!D24+1),0))/365.2425</f>
        <v>35.001403177341082</v>
      </c>
      <c r="AA140" s="9">
        <f>SUM(IF(Career_History!I21=TRUE,IF(A140&lt;Career_History!D21,0,MIN(A140,Career_History!E21)-Career_History!D21+1),0),IF(Career_History!I22=TRUE,IF(A140&lt;Career_History!D22,0,MIN(A140,Career_History!E22)-Career_History!D22+1),0),IF(Career_History!I23=TRUE,IF(A140&lt;Career_History!D23,0,MIN(A140,Career_History!E23)-Career_History!D23+1),0),IF(Career_History!I24=TRUE,IF(A140&lt;Career_History!D24,0,MIN(A140,Career_History!E24)-Career_History!D24+1),0))/365.2425</f>
        <v>26.505677734655741</v>
      </c>
      <c r="AB140" s="9">
        <f>SUM(IF(Career_History!H21=TRUE,IF(A140&lt;Career_History!D21,0,MIN(A140,Career_History!E21)-Career_History!D21+1),0),IF(Career_History!H22=TRUE,IF(A140&lt;Career_History!D22,0,MIN(A140,Career_History!E22)-Career_History!D22+1),0),IF(Career_History!H23=TRUE,IF(A140&lt;Career_History!D23,0,MIN(A140,Career_History!E23)-Career_History!D23+1),0),IF(Career_History!H24=TRUE,IF(A140&lt;Career_History!D24,0,MIN(A140,Career_History!E24)-Career_History!D24+1),0))/365.2425</f>
        <v>25.917027728153212</v>
      </c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</row>
    <row r="141" spans="1:67">
      <c r="A141" s="8">
        <v>38929</v>
      </c>
      <c r="B141" s="9">
        <f t="shared" si="6"/>
        <v>36.036332025982738</v>
      </c>
      <c r="C141" s="9">
        <f t="shared" si="7"/>
        <v>9.6023874549100938</v>
      </c>
      <c r="D141" s="9">
        <f t="shared" si="8"/>
        <v>23.602948725846524</v>
      </c>
      <c r="E141" s="9"/>
      <c r="F141" s="9"/>
      <c r="G141" s="9"/>
      <c r="H141" s="9"/>
      <c r="I141" s="9"/>
      <c r="J141" s="9"/>
      <c r="K141" s="9"/>
      <c r="L141" s="9"/>
      <c r="M141" s="9"/>
      <c r="N141" s="9">
        <f>SUM(IF(Career_History!G12=TRUE,IF(A141&lt;Career_History!D12,0,MIN(A141,Career_History!E12)-Career_History!D12+1),0),IF(Career_History!G13=TRUE,IF(A141&lt;Career_History!D13,0,MIN(A141,Career_History!E13)-Career_History!D13+1),0))/365.2425</f>
        <v>35.086278294557722</v>
      </c>
      <c r="O141" s="9">
        <f>SUM(IF(Career_History!I12=TRUE,IF(A141&lt;Career_History!D12,0,MIN(A141,Career_History!E12)-Career_History!D12+1),0),IF(Career_History!I13=TRUE,IF(A141&lt;Career_History!D13,0,MIN(A141,Career_History!E13)-Career_History!D13+1),0))/365.2425</f>
        <v>0</v>
      </c>
      <c r="P141" s="9">
        <f>SUM(IF(Career_History!H12=TRUE,IF(A141&lt;Career_History!D12,0,MIN(A141,Career_History!E12)-Career_History!D12+1),0),IF(Career_History!H13=TRUE,IF(A141&lt;Career_History!D13,0,MIN(A141,Career_History!E13)-Career_History!D13+1),0))/365.2425</f>
        <v>11.581346639561387</v>
      </c>
      <c r="Q141" s="9">
        <f>SUM(IF(Career_History!G14=TRUE,IF(A141&lt;Career_History!D14,0,MIN(A141,Career_History!E14)-Career_History!D14+1),0),IF(Career_History!G15=TRUE,IF(A141&lt;Career_History!D15,0,MIN(A141,Career_History!E15)-Career_History!D15+1),0))/365.2425</f>
        <v>40.838620916240579</v>
      </c>
      <c r="R141" s="9">
        <f>SUM(IF(Career_History!I14=TRUE,IF(A141&lt;Career_History!D14,0,MIN(A141,Career_History!E14)-Career_History!D14+1),0),IF(Career_History!I15=TRUE,IF(A141&lt;Career_History!D15,0,MIN(A141,Career_History!E15)-Career_History!D15+1),0))/365.2425</f>
        <v>0</v>
      </c>
      <c r="S141" s="9">
        <f>SUM(IF(Career_History!H14=TRUE,IF(A141&lt;Career_History!D14,0,MIN(A141,Career_History!E14)-Career_History!D14+1),0),IF(Career_History!H15=TRUE,IF(A141&lt;Career_History!D15,0,MIN(A141,Career_History!E15)-Career_History!D15+1),0))/365.2425</f>
        <v>40.838620916240579</v>
      </c>
      <c r="T141" s="9">
        <f>SUM(IF(Career_History!G16=TRUE,IF(A141&lt;Career_History!D16,0,MIN(A141,Career_History!E16)-Career_History!D16+1),0),IF(Career_History!G17=TRUE,IF(A141&lt;Career_History!D17,0,MIN(A141,Career_History!E17)-Career_History!D17+1),0))/365.2425</f>
        <v>31.086196157347516</v>
      </c>
      <c r="U141" s="9">
        <f>SUM(IF(Career_History!I16=TRUE,IF(A141&lt;Career_History!D16,0,MIN(A141,Career_History!E16)-Career_History!D16+1),0),IF(Career_History!I17=TRUE,IF(A141&lt;Career_History!D17,0,MIN(A141,Career_History!E17)-Career_History!D17+1),0))/365.2425</f>
        <v>21.506259539894728</v>
      </c>
      <c r="V141" s="9">
        <f>SUM(IF(Career_History!H16=TRUE,IF(A141&lt;Career_History!D16,0,MIN(A141,Career_History!E16)-Career_History!D16+1),0),IF(Career_History!H17=TRUE,IF(A141&lt;Career_History!D17,0,MIN(A141,Career_History!E17)-Career_History!D17+1),0))/365.2425</f>
        <v>31.086196157347516</v>
      </c>
      <c r="W141" s="9">
        <f>SUM(IF(Career_History!G18=TRUE,IF(A141&lt;Career_History!D18,0,MIN(A141,Career_History!E18)-Career_History!D18+1),0),IF(Career_History!G19=TRUE,IF(A141&lt;Career_History!D19,0,MIN(A141,Career_History!E19)-Career_History!D19+1),0),IF(Career_History!G20=TRUE,IF(A141&lt;Career_History!D20,0,MIN(A141,Career_History!E20)-Career_History!D20+1),0))/365.2425</f>
        <v>38.084286467210141</v>
      </c>
      <c r="X141" s="9">
        <f>SUM(IF(Career_History!I18=TRUE,IF(A141&lt;Career_History!D18,0,MIN(A141,Career_History!E18)-Career_History!D18+1),0),IF(Career_History!I19=TRUE,IF(A141&lt;Career_History!D19,0,MIN(A141,Career_History!E19)-Career_History!D19+1),0),IF(Career_History!I20=TRUE,IF(A141&lt;Career_History!D20,0,MIN(A141,Career_History!E20)-Career_History!D20+1),0))/365.2425</f>
        <v>0</v>
      </c>
      <c r="Y141" s="9">
        <f>SUM(IF(Career_History!H18=TRUE,IF(A141&lt;Career_History!D18,0,MIN(A141,Career_History!E18)-Career_History!D18+1),0),IF(Career_History!H19=TRUE,IF(A141&lt;Career_History!D19,0,MIN(A141,Career_History!E19)-Career_History!D19+1),0),IF(Career_History!H20=TRUE,IF(A141&lt;Career_History!D20,0,MIN(A141,Career_History!E20)-Career_History!D20+1),0))/365.2425</f>
        <v>8.5066770707132928</v>
      </c>
      <c r="Z141" s="9">
        <f>SUM(IF(Career_History!G21=TRUE,IF(A141&lt;Career_History!D21,0,MIN(A141,Career_History!E21)-Career_History!D21+1),0),IF(Career_History!G22=TRUE,IF(A141&lt;Career_History!D22,0,MIN(A141,Career_History!E22)-Career_History!D22+1),0),IF(Career_History!G23=TRUE,IF(A141&lt;Career_History!D23,0,MIN(A141,Career_History!E23)-Career_History!D23+1),0),IF(Career_History!G24=TRUE,IF(A141&lt;Career_History!D24,0,MIN(A141,Career_History!E24)-Career_History!D24+1),0))/365.2425</f>
        <v>35.086278294557722</v>
      </c>
      <c r="AA141" s="9">
        <f>SUM(IF(Career_History!I21=TRUE,IF(A141&lt;Career_History!D21,0,MIN(A141,Career_History!E21)-Career_History!D21+1),0),IF(Career_History!I22=TRUE,IF(A141&lt;Career_History!D22,0,MIN(A141,Career_History!E22)-Career_History!D22+1),0),IF(Career_History!I23=TRUE,IF(A141&lt;Career_History!D23,0,MIN(A141,Career_History!E23)-Career_History!D23+1),0),IF(Career_History!I24=TRUE,IF(A141&lt;Career_History!D24,0,MIN(A141,Career_History!E24)-Career_History!D24+1),0))/365.2425</f>
        <v>26.505677734655741</v>
      </c>
      <c r="AB141" s="9">
        <f>SUM(IF(Career_History!H21=TRUE,IF(A141&lt;Career_History!D21,0,MIN(A141,Career_History!E21)-Career_History!D21+1),0),IF(Career_History!H22=TRUE,IF(A141&lt;Career_History!D22,0,MIN(A141,Career_History!E22)-Career_History!D22+1),0),IF(Career_History!H23=TRUE,IF(A141&lt;Career_History!D23,0,MIN(A141,Career_History!E23)-Career_History!D23+1),0),IF(Career_History!H24=TRUE,IF(A141&lt;Career_History!D24,0,MIN(A141,Career_History!E24)-Career_History!D24+1),0))/365.2425</f>
        <v>26.001902845369855</v>
      </c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</row>
    <row r="142" spans="1:67">
      <c r="A142" s="8">
        <v>38960</v>
      </c>
      <c r="B142" s="9">
        <f t="shared" si="6"/>
        <v>36.121207143199378</v>
      </c>
      <c r="C142" s="9">
        <f t="shared" si="7"/>
        <v>9.6023874549100938</v>
      </c>
      <c r="D142" s="9">
        <f t="shared" si="8"/>
        <v>23.687823843063168</v>
      </c>
      <c r="E142" s="9"/>
      <c r="F142" s="9"/>
      <c r="G142" s="9"/>
      <c r="H142" s="9"/>
      <c r="I142" s="9"/>
      <c r="J142" s="9"/>
      <c r="K142" s="9"/>
      <c r="L142" s="9"/>
      <c r="M142" s="9"/>
      <c r="N142" s="9">
        <f>SUM(IF(Career_History!G12=TRUE,IF(A142&lt;Career_History!D12,0,MIN(A142,Career_History!E12)-Career_History!D12+1),0),IF(Career_History!G13=TRUE,IF(A142&lt;Career_History!D13,0,MIN(A142,Career_History!E13)-Career_History!D13+1),0))/365.2425</f>
        <v>35.17115341177437</v>
      </c>
      <c r="O142" s="9">
        <f>SUM(IF(Career_History!I12=TRUE,IF(A142&lt;Career_History!D12,0,MIN(A142,Career_History!E12)-Career_History!D12+1),0),IF(Career_History!I13=TRUE,IF(A142&lt;Career_History!D13,0,MIN(A142,Career_History!E13)-Career_History!D13+1),0))/365.2425</f>
        <v>0</v>
      </c>
      <c r="P142" s="9">
        <f>SUM(IF(Career_History!H12=TRUE,IF(A142&lt;Career_History!D12,0,MIN(A142,Career_History!E12)-Career_History!D12+1),0),IF(Career_History!H13=TRUE,IF(A142&lt;Career_History!D13,0,MIN(A142,Career_History!E13)-Career_History!D13+1),0))/365.2425</f>
        <v>11.666221756778031</v>
      </c>
      <c r="Q142" s="9">
        <f>SUM(IF(Career_History!G14=TRUE,IF(A142&lt;Career_History!D14,0,MIN(A142,Career_History!E14)-Career_History!D14+1),0),IF(Career_History!G15=TRUE,IF(A142&lt;Career_History!D15,0,MIN(A142,Career_History!E15)-Career_History!D15+1),0))/365.2425</f>
        <v>40.923496033457219</v>
      </c>
      <c r="R142" s="9">
        <f>SUM(IF(Career_History!I14=TRUE,IF(A142&lt;Career_History!D14,0,MIN(A142,Career_History!E14)-Career_History!D14+1),0),IF(Career_History!I15=TRUE,IF(A142&lt;Career_History!D15,0,MIN(A142,Career_History!E15)-Career_History!D15+1),0))/365.2425</f>
        <v>0</v>
      </c>
      <c r="S142" s="9">
        <f>SUM(IF(Career_History!H14=TRUE,IF(A142&lt;Career_History!D14,0,MIN(A142,Career_History!E14)-Career_History!D14+1),0),IF(Career_History!H15=TRUE,IF(A142&lt;Career_History!D15,0,MIN(A142,Career_History!E15)-Career_History!D15+1),0))/365.2425</f>
        <v>40.923496033457219</v>
      </c>
      <c r="T142" s="9">
        <f>SUM(IF(Career_History!G16=TRUE,IF(A142&lt;Career_History!D16,0,MIN(A142,Career_History!E16)-Career_History!D16+1),0),IF(Career_History!G17=TRUE,IF(A142&lt;Career_History!D17,0,MIN(A142,Career_History!E17)-Career_History!D17+1),0))/365.2425</f>
        <v>31.171071274564159</v>
      </c>
      <c r="U142" s="9">
        <f>SUM(IF(Career_History!I16=TRUE,IF(A142&lt;Career_History!D16,0,MIN(A142,Career_History!E16)-Career_History!D16+1),0),IF(Career_History!I17=TRUE,IF(A142&lt;Career_History!D17,0,MIN(A142,Career_History!E17)-Career_History!D17+1),0))/365.2425</f>
        <v>21.506259539894728</v>
      </c>
      <c r="V142" s="9">
        <f>SUM(IF(Career_History!H16=TRUE,IF(A142&lt;Career_History!D16,0,MIN(A142,Career_History!E16)-Career_History!D16+1),0),IF(Career_History!H17=TRUE,IF(A142&lt;Career_History!D17,0,MIN(A142,Career_History!E17)-Career_History!D17+1),0))/365.2425</f>
        <v>31.171071274564159</v>
      </c>
      <c r="W142" s="9">
        <f>SUM(IF(Career_History!G18=TRUE,IF(A142&lt;Career_History!D18,0,MIN(A142,Career_History!E18)-Career_History!D18+1),0),IF(Career_History!G19=TRUE,IF(A142&lt;Career_History!D19,0,MIN(A142,Career_History!E19)-Career_History!D19+1),0),IF(Career_History!G20=TRUE,IF(A142&lt;Career_History!D20,0,MIN(A142,Career_History!E20)-Career_History!D20+1),0))/365.2425</f>
        <v>38.169161584426782</v>
      </c>
      <c r="X142" s="9">
        <f>SUM(IF(Career_History!I18=TRUE,IF(A142&lt;Career_History!D18,0,MIN(A142,Career_History!E18)-Career_History!D18+1),0),IF(Career_History!I19=TRUE,IF(A142&lt;Career_History!D19,0,MIN(A142,Career_History!E19)-Career_History!D19+1),0),IF(Career_History!I20=TRUE,IF(A142&lt;Career_History!D20,0,MIN(A142,Career_History!E20)-Career_History!D20+1),0))/365.2425</f>
        <v>0</v>
      </c>
      <c r="Y142" s="9">
        <f>SUM(IF(Career_History!H18=TRUE,IF(A142&lt;Career_History!D18,0,MIN(A142,Career_History!E18)-Career_History!D18+1),0),IF(Career_History!H19=TRUE,IF(A142&lt;Career_History!D19,0,MIN(A142,Career_History!E19)-Career_History!D19+1),0),IF(Career_History!H20=TRUE,IF(A142&lt;Career_History!D20,0,MIN(A142,Career_History!E20)-Career_History!D20+1),0))/365.2425</f>
        <v>8.5915521879299366</v>
      </c>
      <c r="Z142" s="9">
        <f>SUM(IF(Career_History!G21=TRUE,IF(A142&lt;Career_History!D21,0,MIN(A142,Career_History!E21)-Career_History!D21+1),0),IF(Career_History!G22=TRUE,IF(A142&lt;Career_History!D22,0,MIN(A142,Career_History!E22)-Career_History!D22+1),0),IF(Career_History!G23=TRUE,IF(A142&lt;Career_History!D23,0,MIN(A142,Career_History!E23)-Career_History!D23+1),0),IF(Career_History!G24=TRUE,IF(A142&lt;Career_History!D24,0,MIN(A142,Career_History!E24)-Career_History!D24+1),0))/365.2425</f>
        <v>35.17115341177437</v>
      </c>
      <c r="AA142" s="9">
        <f>SUM(IF(Career_History!I21=TRUE,IF(A142&lt;Career_History!D21,0,MIN(A142,Career_History!E21)-Career_History!D21+1),0),IF(Career_History!I22=TRUE,IF(A142&lt;Career_History!D22,0,MIN(A142,Career_History!E22)-Career_History!D22+1),0),IF(Career_History!I23=TRUE,IF(A142&lt;Career_History!D23,0,MIN(A142,Career_History!E23)-Career_History!D23+1),0),IF(Career_History!I24=TRUE,IF(A142&lt;Career_History!D24,0,MIN(A142,Career_History!E24)-Career_History!D24+1),0))/365.2425</f>
        <v>26.505677734655741</v>
      </c>
      <c r="AB142" s="9">
        <f>SUM(IF(Career_History!H21=TRUE,IF(A142&lt;Career_History!D21,0,MIN(A142,Career_History!E21)-Career_History!D21+1),0),IF(Career_History!H22=TRUE,IF(A142&lt;Career_History!D22,0,MIN(A142,Career_History!E22)-Career_History!D22+1),0),IF(Career_History!H23=TRUE,IF(A142&lt;Career_History!D23,0,MIN(A142,Career_History!E23)-Career_History!D23+1),0),IF(Career_History!H24=TRUE,IF(A142&lt;Career_History!D24,0,MIN(A142,Career_History!E24)-Career_History!D24+1),0))/365.2425</f>
        <v>26.086777962586499</v>
      </c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</row>
    <row r="143" spans="1:67">
      <c r="A143" s="8">
        <v>38990</v>
      </c>
      <c r="B143" s="9">
        <f t="shared" si="6"/>
        <v>36.203344353409037</v>
      </c>
      <c r="C143" s="9">
        <f t="shared" si="7"/>
        <v>9.6023874549100938</v>
      </c>
      <c r="D143" s="9">
        <f t="shared" si="8"/>
        <v>23.769961053272823</v>
      </c>
      <c r="E143" s="9"/>
      <c r="F143" s="9"/>
      <c r="G143" s="9"/>
      <c r="H143" s="9"/>
      <c r="I143" s="9"/>
      <c r="J143" s="9"/>
      <c r="K143" s="9"/>
      <c r="L143" s="9"/>
      <c r="M143" s="9"/>
      <c r="N143" s="9">
        <f>SUM(IF(Career_History!G12=TRUE,IF(A143&lt;Career_History!D12,0,MIN(A143,Career_History!E12)-Career_History!D12+1),0),IF(Career_History!G13=TRUE,IF(A143&lt;Career_History!D13,0,MIN(A143,Career_History!E13)-Career_History!D13+1),0))/365.2425</f>
        <v>35.253290621984021</v>
      </c>
      <c r="O143" s="9">
        <f>SUM(IF(Career_History!I12=TRUE,IF(A143&lt;Career_History!D12,0,MIN(A143,Career_History!E12)-Career_History!D12+1),0),IF(Career_History!I13=TRUE,IF(A143&lt;Career_History!D13,0,MIN(A143,Career_History!E13)-Career_History!D13+1),0))/365.2425</f>
        <v>0</v>
      </c>
      <c r="P143" s="9">
        <f>SUM(IF(Career_History!H12=TRUE,IF(A143&lt;Career_History!D12,0,MIN(A143,Career_History!E12)-Career_History!D12+1),0),IF(Career_History!H13=TRUE,IF(A143&lt;Career_History!D13,0,MIN(A143,Career_History!E13)-Career_History!D13+1),0))/365.2425</f>
        <v>11.748358966987686</v>
      </c>
      <c r="Q143" s="9">
        <f>SUM(IF(Career_History!G14=TRUE,IF(A143&lt;Career_History!D14,0,MIN(A143,Career_History!E14)-Career_History!D14+1),0),IF(Career_History!G15=TRUE,IF(A143&lt;Career_History!D15,0,MIN(A143,Career_History!E15)-Career_History!D15+1),0))/365.2425</f>
        <v>41.005633243666878</v>
      </c>
      <c r="R143" s="9">
        <f>SUM(IF(Career_History!I14=TRUE,IF(A143&lt;Career_History!D14,0,MIN(A143,Career_History!E14)-Career_History!D14+1),0),IF(Career_History!I15=TRUE,IF(A143&lt;Career_History!D15,0,MIN(A143,Career_History!E15)-Career_History!D15+1),0))/365.2425</f>
        <v>0</v>
      </c>
      <c r="S143" s="9">
        <f>SUM(IF(Career_History!H14=TRUE,IF(A143&lt;Career_History!D14,0,MIN(A143,Career_History!E14)-Career_History!D14+1),0),IF(Career_History!H15=TRUE,IF(A143&lt;Career_History!D15,0,MIN(A143,Career_History!E15)-Career_History!D15+1),0))/365.2425</f>
        <v>41.005633243666878</v>
      </c>
      <c r="T143" s="9">
        <f>SUM(IF(Career_History!G16=TRUE,IF(A143&lt;Career_History!D16,0,MIN(A143,Career_History!E16)-Career_History!D16+1),0),IF(Career_History!G17=TRUE,IF(A143&lt;Career_History!D17,0,MIN(A143,Career_History!E17)-Career_History!D17+1),0))/365.2425</f>
        <v>31.253208484773815</v>
      </c>
      <c r="U143" s="9">
        <f>SUM(IF(Career_History!I16=TRUE,IF(A143&lt;Career_History!D16,0,MIN(A143,Career_History!E16)-Career_History!D16+1),0),IF(Career_History!I17=TRUE,IF(A143&lt;Career_History!D17,0,MIN(A143,Career_History!E17)-Career_History!D17+1),0))/365.2425</f>
        <v>21.506259539894728</v>
      </c>
      <c r="V143" s="9">
        <f>SUM(IF(Career_History!H16=TRUE,IF(A143&lt;Career_History!D16,0,MIN(A143,Career_History!E16)-Career_History!D16+1),0),IF(Career_History!H17=TRUE,IF(A143&lt;Career_History!D17,0,MIN(A143,Career_History!E17)-Career_History!D17+1),0))/365.2425</f>
        <v>31.253208484773815</v>
      </c>
      <c r="W143" s="9">
        <f>SUM(IF(Career_History!G18=TRUE,IF(A143&lt;Career_History!D18,0,MIN(A143,Career_History!E18)-Career_History!D18+1),0),IF(Career_History!G19=TRUE,IF(A143&lt;Career_History!D19,0,MIN(A143,Career_History!E19)-Career_History!D19+1),0),IF(Career_History!G20=TRUE,IF(A143&lt;Career_History!D20,0,MIN(A143,Career_History!E20)-Career_History!D20+1),0))/365.2425</f>
        <v>38.25129879463644</v>
      </c>
      <c r="X143" s="9">
        <f>SUM(IF(Career_History!I18=TRUE,IF(A143&lt;Career_History!D18,0,MIN(A143,Career_History!E18)-Career_History!D18+1),0),IF(Career_History!I19=TRUE,IF(A143&lt;Career_History!D19,0,MIN(A143,Career_History!E19)-Career_History!D19+1),0),IF(Career_History!I20=TRUE,IF(A143&lt;Career_History!D20,0,MIN(A143,Career_History!E20)-Career_History!D20+1),0))/365.2425</f>
        <v>0</v>
      </c>
      <c r="Y143" s="9">
        <f>SUM(IF(Career_History!H18=TRUE,IF(A143&lt;Career_History!D18,0,MIN(A143,Career_History!E18)-Career_History!D18+1),0),IF(Career_History!H19=TRUE,IF(A143&lt;Career_History!D19,0,MIN(A143,Career_History!E19)-Career_History!D19+1),0),IF(Career_History!H20=TRUE,IF(A143&lt;Career_History!D20,0,MIN(A143,Career_History!E20)-Career_History!D20+1),0))/365.2425</f>
        <v>8.6736893981395919</v>
      </c>
      <c r="Z143" s="9">
        <f>SUM(IF(Career_History!G21=TRUE,IF(A143&lt;Career_History!D21,0,MIN(A143,Career_History!E21)-Career_History!D21+1),0),IF(Career_History!G22=TRUE,IF(A143&lt;Career_History!D22,0,MIN(A143,Career_History!E22)-Career_History!D22+1),0),IF(Career_History!G23=TRUE,IF(A143&lt;Career_History!D23,0,MIN(A143,Career_History!E23)-Career_History!D23+1),0),IF(Career_History!G24=TRUE,IF(A143&lt;Career_History!D24,0,MIN(A143,Career_History!E24)-Career_History!D24+1),0))/365.2425</f>
        <v>35.253290621984021</v>
      </c>
      <c r="AA143" s="9">
        <f>SUM(IF(Career_History!I21=TRUE,IF(A143&lt;Career_History!D21,0,MIN(A143,Career_History!E21)-Career_History!D21+1),0),IF(Career_History!I22=TRUE,IF(A143&lt;Career_History!D22,0,MIN(A143,Career_History!E22)-Career_History!D22+1),0),IF(Career_History!I23=TRUE,IF(A143&lt;Career_History!D23,0,MIN(A143,Career_History!E23)-Career_History!D23+1),0),IF(Career_History!I24=TRUE,IF(A143&lt;Career_History!D24,0,MIN(A143,Career_History!E24)-Career_History!D24+1),0))/365.2425</f>
        <v>26.505677734655741</v>
      </c>
      <c r="AB143" s="9">
        <f>SUM(IF(Career_History!H21=TRUE,IF(A143&lt;Career_History!D21,0,MIN(A143,Career_History!E21)-Career_History!D21+1),0),IF(Career_History!H22=TRUE,IF(A143&lt;Career_History!D22,0,MIN(A143,Career_History!E22)-Career_History!D22+1),0),IF(Career_History!H23=TRUE,IF(A143&lt;Career_History!D23,0,MIN(A143,Career_History!E23)-Career_History!D23+1),0),IF(Career_History!H24=TRUE,IF(A143&lt;Career_History!D24,0,MIN(A143,Career_History!E24)-Career_History!D24+1),0))/365.2425</f>
        <v>26.168915172796154</v>
      </c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</row>
    <row r="144" spans="1:67">
      <c r="A144" s="8">
        <v>39021</v>
      </c>
      <c r="B144" s="9">
        <f t="shared" si="6"/>
        <v>36.288219470625677</v>
      </c>
      <c r="C144" s="9">
        <f t="shared" si="7"/>
        <v>9.6023874549100938</v>
      </c>
      <c r="D144" s="9">
        <f t="shared" si="8"/>
        <v>23.85483617048947</v>
      </c>
      <c r="E144" s="9"/>
      <c r="F144" s="9"/>
      <c r="G144" s="9"/>
      <c r="H144" s="9"/>
      <c r="I144" s="9"/>
      <c r="J144" s="9"/>
      <c r="K144" s="9"/>
      <c r="L144" s="9"/>
      <c r="M144" s="9"/>
      <c r="N144" s="9">
        <f>SUM(IF(Career_History!G12=TRUE,IF(A144&lt;Career_History!D12,0,MIN(A144,Career_History!E12)-Career_History!D12+1),0),IF(Career_History!G13=TRUE,IF(A144&lt;Career_History!D13,0,MIN(A144,Career_History!E13)-Career_History!D13+1),0))/365.2425</f>
        <v>35.338165739200669</v>
      </c>
      <c r="O144" s="9">
        <f>SUM(IF(Career_History!I12=TRUE,IF(A144&lt;Career_History!D12,0,MIN(A144,Career_History!E12)-Career_History!D12+1),0),IF(Career_History!I13=TRUE,IF(A144&lt;Career_History!D13,0,MIN(A144,Career_History!E13)-Career_History!D13+1),0))/365.2425</f>
        <v>0</v>
      </c>
      <c r="P144" s="9">
        <f>SUM(IF(Career_History!H12=TRUE,IF(A144&lt;Career_History!D12,0,MIN(A144,Career_History!E12)-Career_History!D12+1),0),IF(Career_History!H13=TRUE,IF(A144&lt;Career_History!D13,0,MIN(A144,Career_History!E13)-Career_History!D13+1),0))/365.2425</f>
        <v>11.83323408420433</v>
      </c>
      <c r="Q144" s="9">
        <f>SUM(IF(Career_History!G14=TRUE,IF(A144&lt;Career_History!D14,0,MIN(A144,Career_History!E14)-Career_History!D14+1),0),IF(Career_History!G15=TRUE,IF(A144&lt;Career_History!D15,0,MIN(A144,Career_History!E15)-Career_History!D15+1),0))/365.2425</f>
        <v>41.090508360883518</v>
      </c>
      <c r="R144" s="9">
        <f>SUM(IF(Career_History!I14=TRUE,IF(A144&lt;Career_History!D14,0,MIN(A144,Career_History!E14)-Career_History!D14+1),0),IF(Career_History!I15=TRUE,IF(A144&lt;Career_History!D15,0,MIN(A144,Career_History!E15)-Career_History!D15+1),0))/365.2425</f>
        <v>0</v>
      </c>
      <c r="S144" s="9">
        <f>SUM(IF(Career_History!H14=TRUE,IF(A144&lt;Career_History!D14,0,MIN(A144,Career_History!E14)-Career_History!D14+1),0),IF(Career_History!H15=TRUE,IF(A144&lt;Career_History!D15,0,MIN(A144,Career_History!E15)-Career_History!D15+1),0))/365.2425</f>
        <v>41.090508360883518</v>
      </c>
      <c r="T144" s="9">
        <f>SUM(IF(Career_History!G16=TRUE,IF(A144&lt;Career_History!D16,0,MIN(A144,Career_History!E16)-Career_History!D16+1),0),IF(Career_History!G17=TRUE,IF(A144&lt;Career_History!D17,0,MIN(A144,Career_History!E17)-Career_History!D17+1),0))/365.2425</f>
        <v>31.338083601990459</v>
      </c>
      <c r="U144" s="9">
        <f>SUM(IF(Career_History!I16=TRUE,IF(A144&lt;Career_History!D16,0,MIN(A144,Career_History!E16)-Career_History!D16+1),0),IF(Career_History!I17=TRUE,IF(A144&lt;Career_History!D17,0,MIN(A144,Career_History!E17)-Career_History!D17+1),0))/365.2425</f>
        <v>21.506259539894728</v>
      </c>
      <c r="V144" s="9">
        <f>SUM(IF(Career_History!H16=TRUE,IF(A144&lt;Career_History!D16,0,MIN(A144,Career_History!E16)-Career_History!D16+1),0),IF(Career_History!H17=TRUE,IF(A144&lt;Career_History!D17,0,MIN(A144,Career_History!E17)-Career_History!D17+1),0))/365.2425</f>
        <v>31.338083601990459</v>
      </c>
      <c r="W144" s="9">
        <f>SUM(IF(Career_History!G18=TRUE,IF(A144&lt;Career_History!D18,0,MIN(A144,Career_History!E18)-Career_History!D18+1),0),IF(Career_History!G19=TRUE,IF(A144&lt;Career_History!D19,0,MIN(A144,Career_History!E19)-Career_History!D19+1),0),IF(Career_History!G20=TRUE,IF(A144&lt;Career_History!D20,0,MIN(A144,Career_History!E20)-Career_History!D20+1),0))/365.2425</f>
        <v>38.336173911853081</v>
      </c>
      <c r="X144" s="9">
        <f>SUM(IF(Career_History!I18=TRUE,IF(A144&lt;Career_History!D18,0,MIN(A144,Career_History!E18)-Career_History!D18+1),0),IF(Career_History!I19=TRUE,IF(A144&lt;Career_History!D19,0,MIN(A144,Career_History!E19)-Career_History!D19+1),0),IF(Career_History!I20=TRUE,IF(A144&lt;Career_History!D20,0,MIN(A144,Career_History!E20)-Career_History!D20+1),0))/365.2425</f>
        <v>0</v>
      </c>
      <c r="Y144" s="9">
        <f>SUM(IF(Career_History!H18=TRUE,IF(A144&lt;Career_History!D18,0,MIN(A144,Career_History!E18)-Career_History!D18+1),0),IF(Career_History!H19=TRUE,IF(A144&lt;Career_History!D19,0,MIN(A144,Career_History!E19)-Career_History!D19+1),0),IF(Career_History!H20=TRUE,IF(A144&lt;Career_History!D20,0,MIN(A144,Career_History!E20)-Career_History!D20+1),0))/365.2425</f>
        <v>8.7585645153562357</v>
      </c>
      <c r="Z144" s="9">
        <f>SUM(IF(Career_History!G21=TRUE,IF(A144&lt;Career_History!D21,0,MIN(A144,Career_History!E21)-Career_History!D21+1),0),IF(Career_History!G22=TRUE,IF(A144&lt;Career_History!D22,0,MIN(A144,Career_History!E22)-Career_History!D22+1),0),IF(Career_History!G23=TRUE,IF(A144&lt;Career_History!D23,0,MIN(A144,Career_History!E23)-Career_History!D23+1),0),IF(Career_History!G24=TRUE,IF(A144&lt;Career_History!D24,0,MIN(A144,Career_History!E24)-Career_History!D24+1),0))/365.2425</f>
        <v>35.338165739200669</v>
      </c>
      <c r="AA144" s="9">
        <f>SUM(IF(Career_History!I21=TRUE,IF(A144&lt;Career_History!D21,0,MIN(A144,Career_History!E21)-Career_History!D21+1),0),IF(Career_History!I22=TRUE,IF(A144&lt;Career_History!D22,0,MIN(A144,Career_History!E22)-Career_History!D22+1),0),IF(Career_History!I23=TRUE,IF(A144&lt;Career_History!D23,0,MIN(A144,Career_History!E23)-Career_History!D23+1),0),IF(Career_History!I24=TRUE,IF(A144&lt;Career_History!D24,0,MIN(A144,Career_History!E24)-Career_History!D24+1),0))/365.2425</f>
        <v>26.505677734655741</v>
      </c>
      <c r="AB144" s="9">
        <f>SUM(IF(Career_History!H21=TRUE,IF(A144&lt;Career_History!D21,0,MIN(A144,Career_History!E21)-Career_History!D21+1),0),IF(Career_History!H22=TRUE,IF(A144&lt;Career_History!D22,0,MIN(A144,Career_History!E22)-Career_History!D22+1),0),IF(Career_History!H23=TRUE,IF(A144&lt;Career_History!D23,0,MIN(A144,Career_History!E23)-Career_History!D23+1),0),IF(Career_History!H24=TRUE,IF(A144&lt;Career_History!D24,0,MIN(A144,Career_History!E24)-Career_History!D24+1),0))/365.2425</f>
        <v>26.253790290012798</v>
      </c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</row>
    <row r="145" spans="1:67">
      <c r="A145" s="8">
        <v>39051</v>
      </c>
      <c r="B145" s="9">
        <f t="shared" si="6"/>
        <v>36.370356680835336</v>
      </c>
      <c r="C145" s="9">
        <f t="shared" si="7"/>
        <v>9.6023874549100938</v>
      </c>
      <c r="D145" s="9">
        <f t="shared" si="8"/>
        <v>23.936973380699126</v>
      </c>
      <c r="E145" s="9"/>
      <c r="F145" s="9"/>
      <c r="G145" s="9"/>
      <c r="H145" s="9"/>
      <c r="I145" s="9"/>
      <c r="J145" s="9"/>
      <c r="K145" s="9"/>
      <c r="L145" s="9"/>
      <c r="M145" s="9"/>
      <c r="N145" s="9">
        <f>SUM(IF(Career_History!G12=TRUE,IF(A145&lt;Career_History!D12,0,MIN(A145,Career_History!E12)-Career_History!D12+1),0),IF(Career_History!G13=TRUE,IF(A145&lt;Career_History!D13,0,MIN(A145,Career_History!E13)-Career_History!D13+1),0))/365.2425</f>
        <v>35.420302949410321</v>
      </c>
      <c r="O145" s="9">
        <f>SUM(IF(Career_History!I12=TRUE,IF(A145&lt;Career_History!D12,0,MIN(A145,Career_History!E12)-Career_History!D12+1),0),IF(Career_History!I13=TRUE,IF(A145&lt;Career_History!D13,0,MIN(A145,Career_History!E13)-Career_History!D13+1),0))/365.2425</f>
        <v>0</v>
      </c>
      <c r="P145" s="9">
        <f>SUM(IF(Career_History!H12=TRUE,IF(A145&lt;Career_History!D12,0,MIN(A145,Career_History!E12)-Career_History!D12+1),0),IF(Career_History!H13=TRUE,IF(A145&lt;Career_History!D13,0,MIN(A145,Career_History!E13)-Career_History!D13+1),0))/365.2425</f>
        <v>11.915371294413985</v>
      </c>
      <c r="Q145" s="9">
        <f>SUM(IF(Career_History!G14=TRUE,IF(A145&lt;Career_History!D14,0,MIN(A145,Career_History!E14)-Career_History!D14+1),0),IF(Career_History!G15=TRUE,IF(A145&lt;Career_History!D15,0,MIN(A145,Career_History!E15)-Career_History!D15+1),0))/365.2425</f>
        <v>41.172645571093177</v>
      </c>
      <c r="R145" s="9">
        <f>SUM(IF(Career_History!I14=TRUE,IF(A145&lt;Career_History!D14,0,MIN(A145,Career_History!E14)-Career_History!D14+1),0),IF(Career_History!I15=TRUE,IF(A145&lt;Career_History!D15,0,MIN(A145,Career_History!E15)-Career_History!D15+1),0))/365.2425</f>
        <v>0</v>
      </c>
      <c r="S145" s="9">
        <f>SUM(IF(Career_History!H14=TRUE,IF(A145&lt;Career_History!D14,0,MIN(A145,Career_History!E14)-Career_History!D14+1),0),IF(Career_History!H15=TRUE,IF(A145&lt;Career_History!D15,0,MIN(A145,Career_History!E15)-Career_History!D15+1),0))/365.2425</f>
        <v>41.172645571093177</v>
      </c>
      <c r="T145" s="9">
        <f>SUM(IF(Career_History!G16=TRUE,IF(A145&lt;Career_History!D16,0,MIN(A145,Career_History!E16)-Career_History!D16+1),0),IF(Career_History!G17=TRUE,IF(A145&lt;Career_History!D17,0,MIN(A145,Career_History!E17)-Career_History!D17+1),0))/365.2425</f>
        <v>31.420220812200114</v>
      </c>
      <c r="U145" s="9">
        <f>SUM(IF(Career_History!I16=TRUE,IF(A145&lt;Career_History!D16,0,MIN(A145,Career_History!E16)-Career_History!D16+1),0),IF(Career_History!I17=TRUE,IF(A145&lt;Career_History!D17,0,MIN(A145,Career_History!E17)-Career_History!D17+1),0))/365.2425</f>
        <v>21.506259539894728</v>
      </c>
      <c r="V145" s="9">
        <f>SUM(IF(Career_History!H16=TRUE,IF(A145&lt;Career_History!D16,0,MIN(A145,Career_History!E16)-Career_History!D16+1),0),IF(Career_History!H17=TRUE,IF(A145&lt;Career_History!D17,0,MIN(A145,Career_History!E17)-Career_History!D17+1),0))/365.2425</f>
        <v>31.420220812200114</v>
      </c>
      <c r="W145" s="9">
        <f>SUM(IF(Career_History!G18=TRUE,IF(A145&lt;Career_History!D18,0,MIN(A145,Career_History!E18)-Career_History!D18+1),0),IF(Career_History!G19=TRUE,IF(A145&lt;Career_History!D19,0,MIN(A145,Career_History!E19)-Career_History!D19+1),0),IF(Career_History!G20=TRUE,IF(A145&lt;Career_History!D20,0,MIN(A145,Career_History!E20)-Career_History!D20+1),0))/365.2425</f>
        <v>38.41831112206274</v>
      </c>
      <c r="X145" s="9">
        <f>SUM(IF(Career_History!I18=TRUE,IF(A145&lt;Career_History!D18,0,MIN(A145,Career_History!E18)-Career_History!D18+1),0),IF(Career_History!I19=TRUE,IF(A145&lt;Career_History!D19,0,MIN(A145,Career_History!E19)-Career_History!D19+1),0),IF(Career_History!I20=TRUE,IF(A145&lt;Career_History!D20,0,MIN(A145,Career_History!E20)-Career_History!D20+1),0))/365.2425</f>
        <v>0</v>
      </c>
      <c r="Y145" s="9">
        <f>SUM(IF(Career_History!H18=TRUE,IF(A145&lt;Career_History!D18,0,MIN(A145,Career_History!E18)-Career_History!D18+1),0),IF(Career_History!H19=TRUE,IF(A145&lt;Career_History!D19,0,MIN(A145,Career_History!E19)-Career_History!D19+1),0),IF(Career_History!H20=TRUE,IF(A145&lt;Career_History!D20,0,MIN(A145,Career_History!E20)-Career_History!D20+1),0))/365.2425</f>
        <v>8.8407017255658911</v>
      </c>
      <c r="Z145" s="9">
        <f>SUM(IF(Career_History!G21=TRUE,IF(A145&lt;Career_History!D21,0,MIN(A145,Career_History!E21)-Career_History!D21+1),0),IF(Career_History!G22=TRUE,IF(A145&lt;Career_History!D22,0,MIN(A145,Career_History!E22)-Career_History!D22+1),0),IF(Career_History!G23=TRUE,IF(A145&lt;Career_History!D23,0,MIN(A145,Career_History!E23)-Career_History!D23+1),0),IF(Career_History!G24=TRUE,IF(A145&lt;Career_History!D24,0,MIN(A145,Career_History!E24)-Career_History!D24+1),0))/365.2425</f>
        <v>35.420302949410321</v>
      </c>
      <c r="AA145" s="9">
        <f>SUM(IF(Career_History!I21=TRUE,IF(A145&lt;Career_History!D21,0,MIN(A145,Career_History!E21)-Career_History!D21+1),0),IF(Career_History!I22=TRUE,IF(A145&lt;Career_History!D22,0,MIN(A145,Career_History!E22)-Career_History!D22+1),0),IF(Career_History!I23=TRUE,IF(A145&lt;Career_History!D23,0,MIN(A145,Career_History!E23)-Career_History!D23+1),0),IF(Career_History!I24=TRUE,IF(A145&lt;Career_History!D24,0,MIN(A145,Career_History!E24)-Career_History!D24+1),0))/365.2425</f>
        <v>26.505677734655741</v>
      </c>
      <c r="AB145" s="9">
        <f>SUM(IF(Career_History!H21=TRUE,IF(A145&lt;Career_History!D21,0,MIN(A145,Career_History!E21)-Career_History!D21+1),0),IF(Career_History!H22=TRUE,IF(A145&lt;Career_History!D22,0,MIN(A145,Career_History!E22)-Career_History!D22+1),0),IF(Career_History!H23=TRUE,IF(A145&lt;Career_History!D23,0,MIN(A145,Career_History!E23)-Career_History!D23+1),0),IF(Career_History!H24=TRUE,IF(A145&lt;Career_History!D24,0,MIN(A145,Career_History!E24)-Career_History!D24+1),0))/365.2425</f>
        <v>26.335927500222454</v>
      </c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</row>
    <row r="146" spans="1:67">
      <c r="A146" s="8">
        <v>39082</v>
      </c>
      <c r="B146" s="9">
        <f t="shared" si="6"/>
        <v>35.254659575487516</v>
      </c>
      <c r="C146" s="9">
        <f t="shared" si="7"/>
        <v>12.002984318637617</v>
      </c>
      <c r="D146" s="9">
        <f t="shared" si="8"/>
        <v>19.712930450317256</v>
      </c>
      <c r="E146" s="9"/>
      <c r="F146" s="9"/>
      <c r="G146" s="9"/>
      <c r="H146" s="9"/>
      <c r="I146" s="9"/>
      <c r="J146" s="9"/>
      <c r="K146" s="9"/>
      <c r="L146" s="9"/>
      <c r="M146" s="9"/>
      <c r="N146" s="9">
        <f>SUM(IF(Career_History!G12=TRUE,IF(A146&lt;Career_History!D12,0,MIN(A146,Career_History!E12)-Career_History!D12+1),0),IF(Career_History!G13=TRUE,IF(A146&lt;Career_History!D13,0,MIN(A146,Career_History!E13)-Career_History!D13+1),0))/365.2425</f>
        <v>35.505178066626968</v>
      </c>
      <c r="O146" s="9">
        <f>SUM(IF(Career_History!I12=TRUE,IF(A146&lt;Career_History!D12,0,MIN(A146,Career_History!E12)-Career_History!D12+1),0),IF(Career_History!I13=TRUE,IF(A146&lt;Career_History!D13,0,MIN(A146,Career_History!E13)-Career_History!D13+1),0))/365.2425</f>
        <v>0</v>
      </c>
      <c r="P146" s="9">
        <f>SUM(IF(Career_History!H12=TRUE,IF(A146&lt;Career_History!D12,0,MIN(A146,Career_History!E12)-Career_History!D12+1),0),IF(Career_History!H13=TRUE,IF(A146&lt;Career_History!D13,0,MIN(A146,Career_History!E13)-Career_History!D13+1),0))/365.2425</f>
        <v>12.000246411630629</v>
      </c>
      <c r="Q146" s="9"/>
      <c r="R146" s="9"/>
      <c r="S146" s="9"/>
      <c r="T146" s="9">
        <f>SUM(IF(Career_History!G16=TRUE,IF(A146&lt;Career_History!D16,0,MIN(A146,Career_History!E16)-Career_History!D16+1),0),IF(Career_History!G17=TRUE,IF(A146&lt;Career_History!D17,0,MIN(A146,Career_History!E17)-Career_History!D17+1),0))/365.2425</f>
        <v>31.505095929416758</v>
      </c>
      <c r="U146" s="9">
        <f>SUM(IF(Career_History!I16=TRUE,IF(A146&lt;Career_History!D16,0,MIN(A146,Career_History!E16)-Career_History!D16+1),0),IF(Career_History!I17=TRUE,IF(A146&lt;Career_History!D17,0,MIN(A146,Career_History!E17)-Career_History!D17+1),0))/365.2425</f>
        <v>21.506259539894728</v>
      </c>
      <c r="V146" s="9">
        <f>SUM(IF(Career_History!H16=TRUE,IF(A146&lt;Career_History!D16,0,MIN(A146,Career_History!E16)-Career_History!D16+1),0),IF(Career_History!H17=TRUE,IF(A146&lt;Career_History!D17,0,MIN(A146,Career_History!E17)-Career_History!D17+1),0))/365.2425</f>
        <v>31.505095929416758</v>
      </c>
      <c r="W146" s="9">
        <f>SUM(IF(Career_History!G18=TRUE,IF(A146&lt;Career_History!D18,0,MIN(A146,Career_History!E18)-Career_History!D18+1),0),IF(Career_History!G19=TRUE,IF(A146&lt;Career_History!D19,0,MIN(A146,Career_History!E19)-Career_History!D19+1),0),IF(Career_History!G20=TRUE,IF(A146&lt;Career_History!D20,0,MIN(A146,Career_History!E20)-Career_History!D20+1),0))/365.2425</f>
        <v>38.50318623927938</v>
      </c>
      <c r="X146" s="9">
        <f>SUM(IF(Career_History!I18=TRUE,IF(A146&lt;Career_History!D18,0,MIN(A146,Career_History!E18)-Career_History!D18+1),0),IF(Career_History!I19=TRUE,IF(A146&lt;Career_History!D19,0,MIN(A146,Career_History!E19)-Career_History!D19+1),0),IF(Career_History!I20=TRUE,IF(A146&lt;Career_History!D20,0,MIN(A146,Career_History!E20)-Career_History!D20+1),0))/365.2425</f>
        <v>0</v>
      </c>
      <c r="Y146" s="9">
        <f>SUM(IF(Career_History!H18=TRUE,IF(A146&lt;Career_History!D18,0,MIN(A146,Career_History!E18)-Career_History!D18+1),0),IF(Career_History!H19=TRUE,IF(A146&lt;Career_History!D19,0,MIN(A146,Career_History!E19)-Career_History!D19+1),0),IF(Career_History!H20=TRUE,IF(A146&lt;Career_History!D20,0,MIN(A146,Career_History!E20)-Career_History!D20+1),0))/365.2425</f>
        <v>8.9255768427825348</v>
      </c>
      <c r="Z146" s="9">
        <f>SUM(IF(Career_History!G21=TRUE,IF(A146&lt;Career_History!D21,0,MIN(A146,Career_History!E21)-Career_History!D21+1),0),IF(Career_History!G22=TRUE,IF(A146&lt;Career_History!D22,0,MIN(A146,Career_History!E22)-Career_History!D22+1),0),IF(Career_History!G23=TRUE,IF(A146&lt;Career_History!D23,0,MIN(A146,Career_History!E23)-Career_History!D23+1),0),IF(Career_History!G24=TRUE,IF(A146&lt;Career_History!D24,0,MIN(A146,Career_History!E24)-Career_History!D24+1),0))/365.2425</f>
        <v>35.505178066626968</v>
      </c>
      <c r="AA146" s="9">
        <f>SUM(IF(Career_History!I21=TRUE,IF(A146&lt;Career_History!D21,0,MIN(A146,Career_History!E21)-Career_History!D21+1),0),IF(Career_History!I22=TRUE,IF(A146&lt;Career_History!D22,0,MIN(A146,Career_History!E22)-Career_History!D22+1),0),IF(Career_History!I23=TRUE,IF(A146&lt;Career_History!D23,0,MIN(A146,Career_History!E23)-Career_History!D23+1),0),IF(Career_History!I24=TRUE,IF(A146&lt;Career_History!D24,0,MIN(A146,Career_History!E24)-Career_History!D24+1),0))/365.2425</f>
        <v>26.505677734655741</v>
      </c>
      <c r="AB146" s="9">
        <f>SUM(IF(Career_History!H21=TRUE,IF(A146&lt;Career_History!D21,0,MIN(A146,Career_History!E21)-Career_History!D21+1),0),IF(Career_History!H22=TRUE,IF(A146&lt;Career_History!D22,0,MIN(A146,Career_History!E22)-Career_History!D22+1),0),IF(Career_History!H23=TRUE,IF(A146&lt;Career_History!D23,0,MIN(A146,Career_History!E23)-Career_History!D23+1),0),IF(Career_History!H24=TRUE,IF(A146&lt;Career_History!D24,0,MIN(A146,Career_History!E24)-Career_History!D24+1),0))/365.2425</f>
        <v>26.420802617439097</v>
      </c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</row>
    <row r="147" spans="1:67">
      <c r="A147" s="8">
        <v>39113</v>
      </c>
      <c r="B147" s="9">
        <f t="shared" si="6"/>
        <v>35.339534692704163</v>
      </c>
      <c r="C147" s="9">
        <f t="shared" si="7"/>
        <v>12.002984318637617</v>
      </c>
      <c r="D147" s="9">
        <f t="shared" si="8"/>
        <v>19.797805567533899</v>
      </c>
      <c r="E147" s="9"/>
      <c r="F147" s="9"/>
      <c r="G147" s="9"/>
      <c r="H147" s="9"/>
      <c r="I147" s="9"/>
      <c r="J147" s="9"/>
      <c r="K147" s="9"/>
      <c r="L147" s="9"/>
      <c r="M147" s="9"/>
      <c r="N147" s="9">
        <f>SUM(IF(Career_History!G12=TRUE,IF(A147&lt;Career_History!D12,0,MIN(A147,Career_History!E12)-Career_History!D12+1),0),IF(Career_History!G13=TRUE,IF(A147&lt;Career_History!D13,0,MIN(A147,Career_History!E13)-Career_History!D13+1),0))/365.2425</f>
        <v>35.590053183843608</v>
      </c>
      <c r="O147" s="9">
        <f>SUM(IF(Career_History!I12=TRUE,IF(A147&lt;Career_History!D12,0,MIN(A147,Career_History!E12)-Career_History!D12+1),0),IF(Career_History!I13=TRUE,IF(A147&lt;Career_History!D13,0,MIN(A147,Career_History!E13)-Career_History!D13+1),0))/365.2425</f>
        <v>0</v>
      </c>
      <c r="P147" s="9">
        <f>SUM(IF(Career_History!H12=TRUE,IF(A147&lt;Career_History!D12,0,MIN(A147,Career_History!E12)-Career_History!D12+1),0),IF(Career_History!H13=TRUE,IF(A147&lt;Career_History!D13,0,MIN(A147,Career_History!E13)-Career_History!D13+1),0))/365.2425</f>
        <v>12.085121528847273</v>
      </c>
      <c r="Q147" s="9"/>
      <c r="R147" s="9"/>
      <c r="S147" s="9"/>
      <c r="T147" s="9">
        <f>SUM(IF(Career_History!G16=TRUE,IF(A147&lt;Career_History!D16,0,MIN(A147,Career_History!E16)-Career_History!D16+1),0),IF(Career_History!G17=TRUE,IF(A147&lt;Career_History!D17,0,MIN(A147,Career_History!E17)-Career_History!D17+1),0))/365.2425</f>
        <v>31.589971046633401</v>
      </c>
      <c r="U147" s="9">
        <f>SUM(IF(Career_History!I16=TRUE,IF(A147&lt;Career_History!D16,0,MIN(A147,Career_History!E16)-Career_History!D16+1),0),IF(Career_History!I17=TRUE,IF(A147&lt;Career_History!D17,0,MIN(A147,Career_History!E17)-Career_History!D17+1),0))/365.2425</f>
        <v>21.506259539894728</v>
      </c>
      <c r="V147" s="9">
        <f>SUM(IF(Career_History!H16=TRUE,IF(A147&lt;Career_History!D16,0,MIN(A147,Career_History!E16)-Career_History!D16+1),0),IF(Career_History!H17=TRUE,IF(A147&lt;Career_History!D17,0,MIN(A147,Career_History!E17)-Career_History!D17+1),0))/365.2425</f>
        <v>31.589971046633401</v>
      </c>
      <c r="W147" s="9">
        <f>SUM(IF(Career_History!G18=TRUE,IF(A147&lt;Career_History!D18,0,MIN(A147,Career_History!E18)-Career_History!D18+1),0),IF(Career_History!G19=TRUE,IF(A147&lt;Career_History!D19,0,MIN(A147,Career_History!E19)-Career_History!D19+1),0),IF(Career_History!G20=TRUE,IF(A147&lt;Career_History!D20,0,MIN(A147,Career_History!E20)-Career_History!D20+1),0))/365.2425</f>
        <v>38.588061356496027</v>
      </c>
      <c r="X147" s="9">
        <f>SUM(IF(Career_History!I18=TRUE,IF(A147&lt;Career_History!D18,0,MIN(A147,Career_History!E18)-Career_History!D18+1),0),IF(Career_History!I19=TRUE,IF(A147&lt;Career_History!D19,0,MIN(A147,Career_History!E19)-Career_History!D19+1),0),IF(Career_History!I20=TRUE,IF(A147&lt;Career_History!D20,0,MIN(A147,Career_History!E20)-Career_History!D20+1),0))/365.2425</f>
        <v>0</v>
      </c>
      <c r="Y147" s="9">
        <f>SUM(IF(Career_History!H18=TRUE,IF(A147&lt;Career_History!D18,0,MIN(A147,Career_History!E18)-Career_History!D18+1),0),IF(Career_History!H19=TRUE,IF(A147&lt;Career_History!D19,0,MIN(A147,Career_History!E19)-Career_History!D19+1),0),IF(Career_History!H20=TRUE,IF(A147&lt;Career_History!D20,0,MIN(A147,Career_History!E20)-Career_History!D20+1),0))/365.2425</f>
        <v>9.0104519599991786</v>
      </c>
      <c r="Z147" s="9">
        <f>SUM(IF(Career_History!G21=TRUE,IF(A147&lt;Career_History!D21,0,MIN(A147,Career_History!E21)-Career_History!D21+1),0),IF(Career_History!G22=TRUE,IF(A147&lt;Career_History!D22,0,MIN(A147,Career_History!E22)-Career_History!D22+1),0),IF(Career_History!G23=TRUE,IF(A147&lt;Career_History!D23,0,MIN(A147,Career_History!E23)-Career_History!D23+1),0),IF(Career_History!G24=TRUE,IF(A147&lt;Career_History!D24,0,MIN(A147,Career_History!E24)-Career_History!D24+1),0))/365.2425</f>
        <v>35.590053183843608</v>
      </c>
      <c r="AA147" s="9">
        <f>SUM(IF(Career_History!I21=TRUE,IF(A147&lt;Career_History!D21,0,MIN(A147,Career_History!E21)-Career_History!D21+1),0),IF(Career_History!I22=TRUE,IF(A147&lt;Career_History!D22,0,MIN(A147,Career_History!E22)-Career_History!D22+1),0),IF(Career_History!I23=TRUE,IF(A147&lt;Career_History!D23,0,MIN(A147,Career_History!E23)-Career_History!D23+1),0),IF(Career_History!I24=TRUE,IF(A147&lt;Career_History!D24,0,MIN(A147,Career_History!E24)-Career_History!D24+1),0))/365.2425</f>
        <v>26.505677734655741</v>
      </c>
      <c r="AB147" s="9">
        <f>SUM(IF(Career_History!H21=TRUE,IF(A147&lt;Career_History!D21,0,MIN(A147,Career_History!E21)-Career_History!D21+1),0),IF(Career_History!H22=TRUE,IF(A147&lt;Career_History!D22,0,MIN(A147,Career_History!E22)-Career_History!D22+1),0),IF(Career_History!H23=TRUE,IF(A147&lt;Career_History!D23,0,MIN(A147,Career_History!E23)-Career_History!D23+1),0),IF(Career_History!H24=TRUE,IF(A147&lt;Career_History!D24,0,MIN(A147,Career_History!E24)-Career_History!D24+1),0))/365.2425</f>
        <v>26.505677734655741</v>
      </c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</row>
    <row r="148" spans="1:67">
      <c r="A148" s="8">
        <v>39141</v>
      </c>
      <c r="B148" s="9">
        <f t="shared" si="6"/>
        <v>35.416196088899838</v>
      </c>
      <c r="C148" s="9">
        <f t="shared" si="7"/>
        <v>12.002984318637617</v>
      </c>
      <c r="D148" s="9">
        <f t="shared" si="8"/>
        <v>19.874466963729578</v>
      </c>
      <c r="E148" s="9"/>
      <c r="F148" s="9"/>
      <c r="G148" s="9"/>
      <c r="H148" s="9"/>
      <c r="I148" s="9"/>
      <c r="J148" s="9"/>
      <c r="K148" s="9"/>
      <c r="L148" s="9"/>
      <c r="M148" s="9"/>
      <c r="N148" s="9">
        <f>SUM(IF(Career_History!G12=TRUE,IF(A148&lt;Career_History!D12,0,MIN(A148,Career_History!E12)-Career_History!D12+1),0),IF(Career_History!G13=TRUE,IF(A148&lt;Career_History!D13,0,MIN(A148,Career_History!E13)-Career_History!D13+1),0))/365.2425</f>
        <v>35.66671458003929</v>
      </c>
      <c r="O148" s="9">
        <f>SUM(IF(Career_History!I12=TRUE,IF(A148&lt;Career_History!D12,0,MIN(A148,Career_History!E12)-Career_History!D12+1),0),IF(Career_History!I13=TRUE,IF(A148&lt;Career_History!D13,0,MIN(A148,Career_History!E13)-Career_History!D13+1),0))/365.2425</f>
        <v>0</v>
      </c>
      <c r="P148" s="9">
        <f>SUM(IF(Career_History!H12=TRUE,IF(A148&lt;Career_History!D12,0,MIN(A148,Career_History!E12)-Career_History!D12+1),0),IF(Career_History!H13=TRUE,IF(A148&lt;Career_History!D13,0,MIN(A148,Career_History!E13)-Career_History!D13+1),0))/365.2425</f>
        <v>12.161782925042951</v>
      </c>
      <c r="Q148" s="9"/>
      <c r="R148" s="9"/>
      <c r="S148" s="9"/>
      <c r="T148" s="9">
        <f>SUM(IF(Career_History!G16=TRUE,IF(A148&lt;Career_History!D16,0,MIN(A148,Career_History!E16)-Career_History!D16+1),0),IF(Career_History!G17=TRUE,IF(A148&lt;Career_History!D17,0,MIN(A148,Career_History!E17)-Career_History!D17+1),0))/365.2425</f>
        <v>31.66663244282908</v>
      </c>
      <c r="U148" s="9">
        <f>SUM(IF(Career_History!I16=TRUE,IF(A148&lt;Career_History!D16,0,MIN(A148,Career_History!E16)-Career_History!D16+1),0),IF(Career_History!I17=TRUE,IF(A148&lt;Career_History!D17,0,MIN(A148,Career_History!E17)-Career_History!D17+1),0))/365.2425</f>
        <v>21.506259539894728</v>
      </c>
      <c r="V148" s="9">
        <f>SUM(IF(Career_History!H16=TRUE,IF(A148&lt;Career_History!D16,0,MIN(A148,Career_History!E16)-Career_History!D16+1),0),IF(Career_History!H17=TRUE,IF(A148&lt;Career_History!D17,0,MIN(A148,Career_History!E17)-Career_History!D17+1),0))/365.2425</f>
        <v>31.66663244282908</v>
      </c>
      <c r="W148" s="9">
        <f>SUM(IF(Career_History!G18=TRUE,IF(A148&lt;Career_History!D18,0,MIN(A148,Career_History!E18)-Career_History!D18+1),0),IF(Career_History!G19=TRUE,IF(A148&lt;Career_History!D19,0,MIN(A148,Career_History!E19)-Career_History!D19+1),0),IF(Career_History!G20=TRUE,IF(A148&lt;Career_History!D20,0,MIN(A148,Career_History!E20)-Career_History!D20+1),0))/365.2425</f>
        <v>38.664722752691702</v>
      </c>
      <c r="X148" s="9">
        <f>SUM(IF(Career_History!I18=TRUE,IF(A148&lt;Career_History!D18,0,MIN(A148,Career_History!E18)-Career_History!D18+1),0),IF(Career_History!I19=TRUE,IF(A148&lt;Career_History!D19,0,MIN(A148,Career_History!E19)-Career_History!D19+1),0),IF(Career_History!I20=TRUE,IF(A148&lt;Career_History!D20,0,MIN(A148,Career_History!E20)-Career_History!D20+1),0))/365.2425</f>
        <v>0</v>
      </c>
      <c r="Y148" s="9">
        <f>SUM(IF(Career_History!H18=TRUE,IF(A148&lt;Career_History!D18,0,MIN(A148,Career_History!E18)-Career_History!D18+1),0),IF(Career_History!H19=TRUE,IF(A148&lt;Career_History!D19,0,MIN(A148,Career_History!E19)-Career_History!D19+1),0),IF(Career_History!H20=TRUE,IF(A148&lt;Career_History!D20,0,MIN(A148,Career_History!E20)-Career_History!D20+1),0))/365.2425</f>
        <v>9.0871133561948572</v>
      </c>
      <c r="Z148" s="9">
        <f>SUM(IF(Career_History!G21=TRUE,IF(A148&lt;Career_History!D21,0,MIN(A148,Career_History!E21)-Career_History!D21+1),0),IF(Career_History!G22=TRUE,IF(A148&lt;Career_History!D22,0,MIN(A148,Career_History!E22)-Career_History!D22+1),0),IF(Career_History!G23=TRUE,IF(A148&lt;Career_History!D23,0,MIN(A148,Career_History!E23)-Career_History!D23+1),0),IF(Career_History!G24=TRUE,IF(A148&lt;Career_History!D24,0,MIN(A148,Career_History!E24)-Career_History!D24+1),0))/365.2425</f>
        <v>35.66671458003929</v>
      </c>
      <c r="AA148" s="9">
        <f>SUM(IF(Career_History!I21=TRUE,IF(A148&lt;Career_History!D21,0,MIN(A148,Career_History!E21)-Career_History!D21+1),0),IF(Career_History!I22=TRUE,IF(A148&lt;Career_History!D22,0,MIN(A148,Career_History!E22)-Career_History!D22+1),0),IF(Career_History!I23=TRUE,IF(A148&lt;Career_History!D23,0,MIN(A148,Career_History!E23)-Career_History!D23+1),0),IF(Career_History!I24=TRUE,IF(A148&lt;Career_History!D24,0,MIN(A148,Career_History!E24)-Career_History!D24+1),0))/365.2425</f>
        <v>26.505677734655741</v>
      </c>
      <c r="AB148" s="9">
        <f>SUM(IF(Career_History!H21=TRUE,IF(A148&lt;Career_History!D21,0,MIN(A148,Career_History!E21)-Career_History!D21+1),0),IF(Career_History!H22=TRUE,IF(A148&lt;Career_History!D22,0,MIN(A148,Career_History!E22)-Career_History!D22+1),0),IF(Career_History!H23=TRUE,IF(A148&lt;Career_History!D23,0,MIN(A148,Career_History!E23)-Career_History!D23+1),0),IF(Career_History!H24=TRUE,IF(A148&lt;Career_History!D24,0,MIN(A148,Career_History!E24)-Career_History!D24+1),0))/365.2425</f>
        <v>26.58233913085142</v>
      </c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</row>
    <row r="149" spans="1:67">
      <c r="A149" s="8">
        <v>39172</v>
      </c>
      <c r="B149" s="9">
        <f t="shared" si="6"/>
        <v>35.501071206116478</v>
      </c>
      <c r="C149" s="9">
        <f t="shared" si="7"/>
        <v>12.002984318637617</v>
      </c>
      <c r="D149" s="9">
        <f t="shared" si="8"/>
        <v>19.959342080946222</v>
      </c>
      <c r="E149" s="9"/>
      <c r="F149" s="9"/>
      <c r="G149" s="9"/>
      <c r="H149" s="9"/>
      <c r="I149" s="9"/>
      <c r="J149" s="9"/>
      <c r="K149" s="9"/>
      <c r="L149" s="9"/>
      <c r="M149" s="9"/>
      <c r="N149" s="9">
        <f>SUM(IF(Career_History!G12=TRUE,IF(A149&lt;Career_History!D12,0,MIN(A149,Career_History!E12)-Career_History!D12+1),0),IF(Career_History!G13=TRUE,IF(A149&lt;Career_History!D13,0,MIN(A149,Career_History!E13)-Career_History!D13+1),0))/365.2425</f>
        <v>35.75158969725593</v>
      </c>
      <c r="O149" s="9">
        <f>SUM(IF(Career_History!I12=TRUE,IF(A149&lt;Career_History!D12,0,MIN(A149,Career_History!E12)-Career_History!D12+1),0),IF(Career_History!I13=TRUE,IF(A149&lt;Career_History!D13,0,MIN(A149,Career_History!E13)-Career_History!D13+1),0))/365.2425</f>
        <v>0</v>
      </c>
      <c r="P149" s="9">
        <f>SUM(IF(Career_History!H12=TRUE,IF(A149&lt;Career_History!D12,0,MIN(A149,Career_History!E12)-Career_History!D12+1),0),IF(Career_History!H13=TRUE,IF(A149&lt;Career_History!D13,0,MIN(A149,Career_History!E13)-Career_History!D13+1),0))/365.2425</f>
        <v>12.246658042259595</v>
      </c>
      <c r="Q149" s="9"/>
      <c r="R149" s="9"/>
      <c r="S149" s="9"/>
      <c r="T149" s="9">
        <f>SUM(IF(Career_History!G16=TRUE,IF(A149&lt;Career_History!D16,0,MIN(A149,Career_History!E16)-Career_History!D16+1),0),IF(Career_History!G17=TRUE,IF(A149&lt;Career_History!D17,0,MIN(A149,Career_History!E17)-Career_History!D17+1),0))/365.2425</f>
        <v>31.751507560045724</v>
      </c>
      <c r="U149" s="9">
        <f>SUM(IF(Career_History!I16=TRUE,IF(A149&lt;Career_History!D16,0,MIN(A149,Career_History!E16)-Career_History!D16+1),0),IF(Career_History!I17=TRUE,IF(A149&lt;Career_History!D17,0,MIN(A149,Career_History!E17)-Career_History!D17+1),0))/365.2425</f>
        <v>21.506259539894728</v>
      </c>
      <c r="V149" s="9">
        <f>SUM(IF(Career_History!H16=TRUE,IF(A149&lt;Career_History!D16,0,MIN(A149,Career_History!E16)-Career_History!D16+1),0),IF(Career_History!H17=TRUE,IF(A149&lt;Career_History!D17,0,MIN(A149,Career_History!E17)-Career_History!D17+1),0))/365.2425</f>
        <v>31.751507560045724</v>
      </c>
      <c r="W149" s="9">
        <f>SUM(IF(Career_History!G18=TRUE,IF(A149&lt;Career_History!D18,0,MIN(A149,Career_History!E18)-Career_History!D18+1),0),IF(Career_History!G19=TRUE,IF(A149&lt;Career_History!D19,0,MIN(A149,Career_History!E19)-Career_History!D19+1),0),IF(Career_History!G20=TRUE,IF(A149&lt;Career_History!D20,0,MIN(A149,Career_History!E20)-Career_History!D20+1),0))/365.2425</f>
        <v>38.749597869908349</v>
      </c>
      <c r="X149" s="9">
        <f>SUM(IF(Career_History!I18=TRUE,IF(A149&lt;Career_History!D18,0,MIN(A149,Career_History!E18)-Career_History!D18+1),0),IF(Career_History!I19=TRUE,IF(A149&lt;Career_History!D19,0,MIN(A149,Career_History!E19)-Career_History!D19+1),0),IF(Career_History!I20=TRUE,IF(A149&lt;Career_History!D20,0,MIN(A149,Career_History!E20)-Career_History!D20+1),0))/365.2425</f>
        <v>0</v>
      </c>
      <c r="Y149" s="9">
        <f>SUM(IF(Career_History!H18=TRUE,IF(A149&lt;Career_History!D18,0,MIN(A149,Career_History!E18)-Career_History!D18+1),0),IF(Career_History!H19=TRUE,IF(A149&lt;Career_History!D19,0,MIN(A149,Career_History!E19)-Career_History!D19+1),0),IF(Career_History!H20=TRUE,IF(A149&lt;Career_History!D20,0,MIN(A149,Career_History!E20)-Career_History!D20+1),0))/365.2425</f>
        <v>9.1719884734115009</v>
      </c>
      <c r="Z149" s="9">
        <f>SUM(IF(Career_History!G21=TRUE,IF(A149&lt;Career_History!D21,0,MIN(A149,Career_History!E21)-Career_History!D21+1),0),IF(Career_History!G22=TRUE,IF(A149&lt;Career_History!D22,0,MIN(A149,Career_History!E22)-Career_History!D22+1),0),IF(Career_History!G23=TRUE,IF(A149&lt;Career_History!D23,0,MIN(A149,Career_History!E23)-Career_History!D23+1),0),IF(Career_History!G24=TRUE,IF(A149&lt;Career_History!D24,0,MIN(A149,Career_History!E24)-Career_History!D24+1),0))/365.2425</f>
        <v>35.75158969725593</v>
      </c>
      <c r="AA149" s="9">
        <f>SUM(IF(Career_History!I21=TRUE,IF(A149&lt;Career_History!D21,0,MIN(A149,Career_History!E21)-Career_History!D21+1),0),IF(Career_History!I22=TRUE,IF(A149&lt;Career_History!D22,0,MIN(A149,Career_History!E22)-Career_History!D22+1),0),IF(Career_History!I23=TRUE,IF(A149&lt;Career_History!D23,0,MIN(A149,Career_History!E23)-Career_History!D23+1),0),IF(Career_History!I24=TRUE,IF(A149&lt;Career_History!D24,0,MIN(A149,Career_History!E24)-Career_History!D24+1),0))/365.2425</f>
        <v>26.505677734655741</v>
      </c>
      <c r="AB149" s="9">
        <f>SUM(IF(Career_History!H21=TRUE,IF(A149&lt;Career_History!D21,0,MIN(A149,Career_History!E21)-Career_History!D21+1),0),IF(Career_History!H22=TRUE,IF(A149&lt;Career_History!D22,0,MIN(A149,Career_History!E22)-Career_History!D22+1),0),IF(Career_History!H23=TRUE,IF(A149&lt;Career_History!D23,0,MIN(A149,Career_History!E23)-Career_History!D23+1),0),IF(Career_History!H24=TRUE,IF(A149&lt;Career_History!D24,0,MIN(A149,Career_History!E24)-Career_History!D24+1),0))/365.2425</f>
        <v>26.667214248068063</v>
      </c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</row>
    <row r="150" spans="1:67">
      <c r="A150" s="8">
        <v>39202</v>
      </c>
      <c r="B150" s="9">
        <f t="shared" si="6"/>
        <v>35.583208416326144</v>
      </c>
      <c r="C150" s="9">
        <f t="shared" si="7"/>
        <v>12.002984318637617</v>
      </c>
      <c r="D150" s="9">
        <f t="shared" si="8"/>
        <v>20.041479291155877</v>
      </c>
      <c r="E150" s="9"/>
      <c r="F150" s="9"/>
      <c r="G150" s="9"/>
      <c r="H150" s="9"/>
      <c r="I150" s="9"/>
      <c r="J150" s="9"/>
      <c r="K150" s="9"/>
      <c r="L150" s="9"/>
      <c r="M150" s="9"/>
      <c r="N150" s="9">
        <f>SUM(IF(Career_History!G12=TRUE,IF(A150&lt;Career_History!D12,0,MIN(A150,Career_History!E12)-Career_History!D12+1),0),IF(Career_History!G13=TRUE,IF(A150&lt;Career_History!D13,0,MIN(A150,Career_History!E13)-Career_History!D13+1),0))/365.2425</f>
        <v>35.833726907465589</v>
      </c>
      <c r="O150" s="9">
        <f>SUM(IF(Career_History!I12=TRUE,IF(A150&lt;Career_History!D12,0,MIN(A150,Career_History!E12)-Career_History!D12+1),0),IF(Career_History!I13=TRUE,IF(A150&lt;Career_History!D13,0,MIN(A150,Career_History!E13)-Career_History!D13+1),0))/365.2425</f>
        <v>0</v>
      </c>
      <c r="P150" s="9">
        <f>SUM(IF(Career_History!H12=TRUE,IF(A150&lt;Career_History!D12,0,MIN(A150,Career_History!E12)-Career_History!D12+1),0),IF(Career_History!H13=TRUE,IF(A150&lt;Career_History!D13,0,MIN(A150,Career_History!E13)-Career_History!D13+1),0))/365.2425</f>
        <v>12.32879525246925</v>
      </c>
      <c r="Q150" s="9"/>
      <c r="R150" s="9"/>
      <c r="S150" s="9"/>
      <c r="T150" s="9">
        <f>SUM(IF(Career_History!G16=TRUE,IF(A150&lt;Career_History!D16,0,MIN(A150,Career_History!E16)-Career_History!D16+1),0),IF(Career_History!G17=TRUE,IF(A150&lt;Career_History!D17,0,MIN(A150,Career_History!E17)-Career_History!D17+1),0))/365.2425</f>
        <v>31.833644770255379</v>
      </c>
      <c r="U150" s="9">
        <f>SUM(IF(Career_History!I16=TRUE,IF(A150&lt;Career_History!D16,0,MIN(A150,Career_History!E16)-Career_History!D16+1),0),IF(Career_History!I17=TRUE,IF(A150&lt;Career_History!D17,0,MIN(A150,Career_History!E17)-Career_History!D17+1),0))/365.2425</f>
        <v>21.506259539894728</v>
      </c>
      <c r="V150" s="9">
        <f>SUM(IF(Career_History!H16=TRUE,IF(A150&lt;Career_History!D16,0,MIN(A150,Career_History!E16)-Career_History!D16+1),0),IF(Career_History!H17=TRUE,IF(A150&lt;Career_History!D17,0,MIN(A150,Career_History!E17)-Career_History!D17+1),0))/365.2425</f>
        <v>31.833644770255379</v>
      </c>
      <c r="W150" s="9">
        <f>SUM(IF(Career_History!G18=TRUE,IF(A150&lt;Career_History!D18,0,MIN(A150,Career_History!E18)-Career_History!D18+1),0),IF(Career_History!G19=TRUE,IF(A150&lt;Career_History!D19,0,MIN(A150,Career_History!E19)-Career_History!D19+1),0),IF(Career_History!G20=TRUE,IF(A150&lt;Career_History!D20,0,MIN(A150,Career_History!E20)-Career_History!D20+1),0))/365.2425</f>
        <v>38.831735080118001</v>
      </c>
      <c r="X150" s="9">
        <f>SUM(IF(Career_History!I18=TRUE,IF(A150&lt;Career_History!D18,0,MIN(A150,Career_History!E18)-Career_History!D18+1),0),IF(Career_History!I19=TRUE,IF(A150&lt;Career_History!D19,0,MIN(A150,Career_History!E19)-Career_History!D19+1),0),IF(Career_History!I20=TRUE,IF(A150&lt;Career_History!D20,0,MIN(A150,Career_History!E20)-Career_History!D20+1),0))/365.2425</f>
        <v>0</v>
      </c>
      <c r="Y150" s="9">
        <f>SUM(IF(Career_History!H18=TRUE,IF(A150&lt;Career_History!D18,0,MIN(A150,Career_History!E18)-Career_History!D18+1),0),IF(Career_History!H19=TRUE,IF(A150&lt;Career_History!D19,0,MIN(A150,Career_History!E19)-Career_History!D19+1),0),IF(Career_History!H20=TRUE,IF(A150&lt;Career_History!D20,0,MIN(A150,Career_History!E20)-Career_History!D20+1),0))/365.2425</f>
        <v>9.2541256836211563</v>
      </c>
      <c r="Z150" s="9">
        <f>SUM(IF(Career_History!G21=TRUE,IF(A150&lt;Career_History!D21,0,MIN(A150,Career_History!E21)-Career_History!D21+1),0),IF(Career_History!G22=TRUE,IF(A150&lt;Career_History!D22,0,MIN(A150,Career_History!E22)-Career_History!D22+1),0),IF(Career_History!G23=TRUE,IF(A150&lt;Career_History!D23,0,MIN(A150,Career_History!E23)-Career_History!D23+1),0),IF(Career_History!G24=TRUE,IF(A150&lt;Career_History!D24,0,MIN(A150,Career_History!E24)-Career_History!D24+1),0))/365.2425</f>
        <v>35.833726907465589</v>
      </c>
      <c r="AA150" s="9">
        <f>SUM(IF(Career_History!I21=TRUE,IF(A150&lt;Career_History!D21,0,MIN(A150,Career_History!E21)-Career_History!D21+1),0),IF(Career_History!I22=TRUE,IF(A150&lt;Career_History!D22,0,MIN(A150,Career_History!E22)-Career_History!D22+1),0),IF(Career_History!I23=TRUE,IF(A150&lt;Career_History!D23,0,MIN(A150,Career_History!E23)-Career_History!D23+1),0),IF(Career_History!I24=TRUE,IF(A150&lt;Career_History!D24,0,MIN(A150,Career_History!E24)-Career_History!D24+1),0))/365.2425</f>
        <v>26.505677734655741</v>
      </c>
      <c r="AB150" s="9">
        <f>SUM(IF(Career_History!H21=TRUE,IF(A150&lt;Career_History!D21,0,MIN(A150,Career_History!E21)-Career_History!D21+1),0),IF(Career_History!H22=TRUE,IF(A150&lt;Career_History!D22,0,MIN(A150,Career_History!E22)-Career_History!D22+1),0),IF(Career_History!H23=TRUE,IF(A150&lt;Career_History!D23,0,MIN(A150,Career_History!E23)-Career_History!D23+1),0),IF(Career_History!H24=TRUE,IF(A150&lt;Career_History!D24,0,MIN(A150,Career_History!E24)-Career_History!D24+1),0))/365.2425</f>
        <v>26.749351458277719</v>
      </c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</row>
    <row r="151" spans="1:67">
      <c r="A151" s="8">
        <v>39233</v>
      </c>
      <c r="B151" s="9">
        <f t="shared" si="6"/>
        <v>35.668083533542784</v>
      </c>
      <c r="C151" s="9">
        <f t="shared" si="7"/>
        <v>12.002984318637617</v>
      </c>
      <c r="D151" s="9">
        <f t="shared" si="8"/>
        <v>20.126354408372521</v>
      </c>
      <c r="E151" s="9"/>
      <c r="F151" s="9"/>
      <c r="G151" s="9"/>
      <c r="H151" s="9"/>
      <c r="I151" s="9"/>
      <c r="J151" s="9"/>
      <c r="K151" s="9"/>
      <c r="L151" s="9"/>
      <c r="M151" s="9"/>
      <c r="N151" s="9">
        <f>SUM(IF(Career_History!G12=TRUE,IF(A151&lt;Career_History!D12,0,MIN(A151,Career_History!E12)-Career_History!D12+1),0),IF(Career_History!G13=TRUE,IF(A151&lt;Career_History!D13,0,MIN(A151,Career_History!E13)-Career_History!D13+1),0))/365.2425</f>
        <v>35.91860202468223</v>
      </c>
      <c r="O151" s="9">
        <f>SUM(IF(Career_History!I12=TRUE,IF(A151&lt;Career_History!D12,0,MIN(A151,Career_History!E12)-Career_History!D12+1),0),IF(Career_History!I13=TRUE,IF(A151&lt;Career_History!D13,0,MIN(A151,Career_History!E13)-Career_History!D13+1),0))/365.2425</f>
        <v>0</v>
      </c>
      <c r="P151" s="9">
        <f>SUM(IF(Career_History!H12=TRUE,IF(A151&lt;Career_History!D12,0,MIN(A151,Career_History!E12)-Career_History!D12+1),0),IF(Career_History!H13=TRUE,IF(A151&lt;Career_History!D13,0,MIN(A151,Career_History!E13)-Career_History!D13+1),0))/365.2425</f>
        <v>12.413670369685894</v>
      </c>
      <c r="Q151" s="9"/>
      <c r="R151" s="9"/>
      <c r="S151" s="9"/>
      <c r="T151" s="9">
        <f>SUM(IF(Career_History!G16=TRUE,IF(A151&lt;Career_History!D16,0,MIN(A151,Career_History!E16)-Career_History!D16+1),0),IF(Career_History!G17=TRUE,IF(A151&lt;Career_History!D17,0,MIN(A151,Career_History!E17)-Career_History!D17+1),0))/365.2425</f>
        <v>31.918519887472023</v>
      </c>
      <c r="U151" s="9">
        <f>SUM(IF(Career_History!I16=TRUE,IF(A151&lt;Career_History!D16,0,MIN(A151,Career_History!E16)-Career_History!D16+1),0),IF(Career_History!I17=TRUE,IF(A151&lt;Career_History!D17,0,MIN(A151,Career_History!E17)-Career_History!D17+1),0))/365.2425</f>
        <v>21.506259539894728</v>
      </c>
      <c r="V151" s="9">
        <f>SUM(IF(Career_History!H16=TRUE,IF(A151&lt;Career_History!D16,0,MIN(A151,Career_History!E16)-Career_History!D16+1),0),IF(Career_History!H17=TRUE,IF(A151&lt;Career_History!D17,0,MIN(A151,Career_History!E17)-Career_History!D17+1),0))/365.2425</f>
        <v>31.918519887472023</v>
      </c>
      <c r="W151" s="9">
        <f>SUM(IF(Career_History!G18=TRUE,IF(A151&lt;Career_History!D18,0,MIN(A151,Career_History!E18)-Career_History!D18+1),0),IF(Career_History!G19=TRUE,IF(A151&lt;Career_History!D19,0,MIN(A151,Career_History!E19)-Career_History!D19+1),0),IF(Career_History!G20=TRUE,IF(A151&lt;Career_History!D20,0,MIN(A151,Career_History!E20)-Career_History!D20+1),0))/365.2425</f>
        <v>38.916610197334649</v>
      </c>
      <c r="X151" s="9">
        <f>SUM(IF(Career_History!I18=TRUE,IF(A151&lt;Career_History!D18,0,MIN(A151,Career_History!E18)-Career_History!D18+1),0),IF(Career_History!I19=TRUE,IF(A151&lt;Career_History!D19,0,MIN(A151,Career_History!E19)-Career_History!D19+1),0),IF(Career_History!I20=TRUE,IF(A151&lt;Career_History!D20,0,MIN(A151,Career_History!E20)-Career_History!D20+1),0))/365.2425</f>
        <v>0</v>
      </c>
      <c r="Y151" s="9">
        <f>SUM(IF(Career_History!H18=TRUE,IF(A151&lt;Career_History!D18,0,MIN(A151,Career_History!E18)-Career_History!D18+1),0),IF(Career_History!H19=TRUE,IF(A151&lt;Career_History!D19,0,MIN(A151,Career_History!E19)-Career_History!D19+1),0),IF(Career_History!H20=TRUE,IF(A151&lt;Career_History!D20,0,MIN(A151,Career_History!E20)-Career_History!D20+1),0))/365.2425</f>
        <v>9.3390008008378</v>
      </c>
      <c r="Z151" s="9">
        <f>SUM(IF(Career_History!G21=TRUE,IF(A151&lt;Career_History!D21,0,MIN(A151,Career_History!E21)-Career_History!D21+1),0),IF(Career_History!G22=TRUE,IF(A151&lt;Career_History!D22,0,MIN(A151,Career_History!E22)-Career_History!D22+1),0),IF(Career_History!G23=TRUE,IF(A151&lt;Career_History!D23,0,MIN(A151,Career_History!E23)-Career_History!D23+1),0),IF(Career_History!G24=TRUE,IF(A151&lt;Career_History!D24,0,MIN(A151,Career_History!E24)-Career_History!D24+1),0))/365.2425</f>
        <v>35.91860202468223</v>
      </c>
      <c r="AA151" s="9">
        <f>SUM(IF(Career_History!I21=TRUE,IF(A151&lt;Career_History!D21,0,MIN(A151,Career_History!E21)-Career_History!D21+1),0),IF(Career_History!I22=TRUE,IF(A151&lt;Career_History!D22,0,MIN(A151,Career_History!E22)-Career_History!D22+1),0),IF(Career_History!I23=TRUE,IF(A151&lt;Career_History!D23,0,MIN(A151,Career_History!E23)-Career_History!D23+1),0),IF(Career_History!I24=TRUE,IF(A151&lt;Career_History!D24,0,MIN(A151,Career_History!E24)-Career_History!D24+1),0))/365.2425</f>
        <v>26.505677734655741</v>
      </c>
      <c r="AB151" s="9">
        <f>SUM(IF(Career_History!H21=TRUE,IF(A151&lt;Career_History!D21,0,MIN(A151,Career_History!E21)-Career_History!D21+1),0),IF(Career_History!H22=TRUE,IF(A151&lt;Career_History!D22,0,MIN(A151,Career_History!E22)-Career_History!D22+1),0),IF(Career_History!H23=TRUE,IF(A151&lt;Career_History!D23,0,MIN(A151,Career_History!E23)-Career_History!D23+1),0),IF(Career_History!H24=TRUE,IF(A151&lt;Career_History!D24,0,MIN(A151,Career_History!E24)-Career_History!D24+1),0))/365.2425</f>
        <v>26.834226575494363</v>
      </c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</row>
    <row r="152" spans="1:67">
      <c r="A152" s="8">
        <v>39263</v>
      </c>
      <c r="B152" s="9">
        <f t="shared" si="6"/>
        <v>35.750220743752436</v>
      </c>
      <c r="C152" s="9">
        <f t="shared" si="7"/>
        <v>12.002984318637617</v>
      </c>
      <c r="D152" s="9">
        <f t="shared" si="8"/>
        <v>20.208491618582173</v>
      </c>
      <c r="E152" s="9"/>
      <c r="F152" s="9"/>
      <c r="G152" s="9"/>
      <c r="H152" s="9"/>
      <c r="I152" s="9"/>
      <c r="J152" s="9"/>
      <c r="K152" s="9"/>
      <c r="L152" s="9"/>
      <c r="M152" s="9"/>
      <c r="N152" s="9">
        <f>SUM(IF(Career_History!G12=TRUE,IF(A152&lt;Career_History!D12,0,MIN(A152,Career_History!E12)-Career_History!D12+1),0),IF(Career_History!G13=TRUE,IF(A152&lt;Career_History!D13,0,MIN(A152,Career_History!E13)-Career_History!D13+1),0))/365.2425</f>
        <v>36.000739234891888</v>
      </c>
      <c r="O152" s="9">
        <f>SUM(IF(Career_History!I12=TRUE,IF(A152&lt;Career_History!D12,0,MIN(A152,Career_History!E12)-Career_History!D12+1),0),IF(Career_History!I13=TRUE,IF(A152&lt;Career_History!D13,0,MIN(A152,Career_History!E13)-Career_History!D13+1),0))/365.2425</f>
        <v>0</v>
      </c>
      <c r="P152" s="9">
        <f>SUM(IF(Career_History!H12=TRUE,IF(A152&lt;Career_History!D12,0,MIN(A152,Career_History!E12)-Career_History!D12+1),0),IF(Career_History!H13=TRUE,IF(A152&lt;Career_History!D13,0,MIN(A152,Career_History!E13)-Career_History!D13+1),0))/365.2425</f>
        <v>12.495807579895549</v>
      </c>
      <c r="Q152" s="9"/>
      <c r="R152" s="9"/>
      <c r="S152" s="9"/>
      <c r="T152" s="9">
        <f>SUM(IF(Career_History!G16=TRUE,IF(A152&lt;Career_History!D16,0,MIN(A152,Career_History!E16)-Career_History!D16+1),0),IF(Career_History!G17=TRUE,IF(A152&lt;Career_History!D17,0,MIN(A152,Career_History!E17)-Career_History!D17+1),0))/365.2425</f>
        <v>32.000657097681675</v>
      </c>
      <c r="U152" s="9">
        <f>SUM(IF(Career_History!I16=TRUE,IF(A152&lt;Career_History!D16,0,MIN(A152,Career_History!E16)-Career_History!D16+1),0),IF(Career_History!I17=TRUE,IF(A152&lt;Career_History!D17,0,MIN(A152,Career_History!E17)-Career_History!D17+1),0))/365.2425</f>
        <v>21.506259539894728</v>
      </c>
      <c r="V152" s="9">
        <f>SUM(IF(Career_History!H16=TRUE,IF(A152&lt;Career_History!D16,0,MIN(A152,Career_History!E16)-Career_History!D16+1),0),IF(Career_History!H17=TRUE,IF(A152&lt;Career_History!D17,0,MIN(A152,Career_History!E17)-Career_History!D17+1),0))/365.2425</f>
        <v>32.000657097681675</v>
      </c>
      <c r="W152" s="9">
        <f>SUM(IF(Career_History!G18=TRUE,IF(A152&lt;Career_History!D18,0,MIN(A152,Career_History!E18)-Career_History!D18+1),0),IF(Career_History!G19=TRUE,IF(A152&lt;Career_History!D19,0,MIN(A152,Career_History!E19)-Career_History!D19+1),0),IF(Career_History!G20=TRUE,IF(A152&lt;Career_History!D20,0,MIN(A152,Career_History!E20)-Career_History!D20+1),0))/365.2425</f>
        <v>38.9987474075443</v>
      </c>
      <c r="X152" s="9">
        <f>SUM(IF(Career_History!I18=TRUE,IF(A152&lt;Career_History!D18,0,MIN(A152,Career_History!E18)-Career_History!D18+1),0),IF(Career_History!I19=TRUE,IF(A152&lt;Career_History!D19,0,MIN(A152,Career_History!E19)-Career_History!D19+1),0),IF(Career_History!I20=TRUE,IF(A152&lt;Career_History!D20,0,MIN(A152,Career_History!E20)-Career_History!D20+1),0))/365.2425</f>
        <v>0</v>
      </c>
      <c r="Y152" s="9">
        <f>SUM(IF(Career_History!H18=TRUE,IF(A152&lt;Career_History!D18,0,MIN(A152,Career_History!E18)-Career_History!D18+1),0),IF(Career_History!H19=TRUE,IF(A152&lt;Career_History!D19,0,MIN(A152,Career_History!E19)-Career_History!D19+1),0),IF(Career_History!H20=TRUE,IF(A152&lt;Career_History!D20,0,MIN(A152,Career_History!E20)-Career_History!D20+1),0))/365.2425</f>
        <v>9.4211380110474554</v>
      </c>
      <c r="Z152" s="9">
        <f>SUM(IF(Career_History!G21=TRUE,IF(A152&lt;Career_History!D21,0,MIN(A152,Career_History!E21)-Career_History!D21+1),0),IF(Career_History!G22=TRUE,IF(A152&lt;Career_History!D22,0,MIN(A152,Career_History!E22)-Career_History!D22+1),0),IF(Career_History!G23=TRUE,IF(A152&lt;Career_History!D23,0,MIN(A152,Career_History!E23)-Career_History!D23+1),0),IF(Career_History!G24=TRUE,IF(A152&lt;Career_History!D24,0,MIN(A152,Career_History!E24)-Career_History!D24+1),0))/365.2425</f>
        <v>36.000739234891888</v>
      </c>
      <c r="AA152" s="9">
        <f>SUM(IF(Career_History!I21=TRUE,IF(A152&lt;Career_History!D21,0,MIN(A152,Career_History!E21)-Career_History!D21+1),0),IF(Career_History!I22=TRUE,IF(A152&lt;Career_History!D22,0,MIN(A152,Career_History!E22)-Career_History!D22+1),0),IF(Career_History!I23=TRUE,IF(A152&lt;Career_History!D23,0,MIN(A152,Career_History!E23)-Career_History!D23+1),0),IF(Career_History!I24=TRUE,IF(A152&lt;Career_History!D24,0,MIN(A152,Career_History!E24)-Career_History!D24+1),0))/365.2425</f>
        <v>26.505677734655741</v>
      </c>
      <c r="AB152" s="9">
        <f>SUM(IF(Career_History!H21=TRUE,IF(A152&lt;Career_History!D21,0,MIN(A152,Career_History!E21)-Career_History!D21+1),0),IF(Career_History!H22=TRUE,IF(A152&lt;Career_History!D22,0,MIN(A152,Career_History!E22)-Career_History!D22+1),0),IF(Career_History!H23=TRUE,IF(A152&lt;Career_History!D23,0,MIN(A152,Career_History!E23)-Career_History!D23+1),0),IF(Career_History!H24=TRUE,IF(A152&lt;Career_History!D24,0,MIN(A152,Career_History!E24)-Career_History!D24+1),0))/365.2425</f>
        <v>26.916363785704018</v>
      </c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</row>
    <row r="153" spans="1:67">
      <c r="A153" s="8">
        <v>39294</v>
      </c>
      <c r="B153" s="9">
        <f t="shared" si="6"/>
        <v>35.484917554775251</v>
      </c>
      <c r="C153" s="9">
        <f t="shared" si="7"/>
        <v>9.6023874549100938</v>
      </c>
      <c r="D153" s="9">
        <f t="shared" si="8"/>
        <v>20.55072999445574</v>
      </c>
      <c r="E153" s="9"/>
      <c r="F153" s="9"/>
      <c r="G153" s="9"/>
      <c r="H153" s="9"/>
      <c r="I153" s="9"/>
      <c r="J153" s="9"/>
      <c r="K153" s="9"/>
      <c r="L153" s="9"/>
      <c r="M153" s="9"/>
      <c r="N153" s="9">
        <f>SUM(IF(Career_History!G12=TRUE,IF(A153&lt;Career_History!D12,0,MIN(A153,Career_History!E12)-Career_History!D12+1),0),IF(Career_History!G13=TRUE,IF(A153&lt;Career_History!D13,0,MIN(A153,Career_History!E13)-Career_History!D13+1),0))/365.2425</f>
        <v>36.085614352108529</v>
      </c>
      <c r="O153" s="9">
        <f>SUM(IF(Career_History!I12=TRUE,IF(A153&lt;Career_History!D12,0,MIN(A153,Career_History!E12)-Career_History!D12+1),0),IF(Career_History!I13=TRUE,IF(A153&lt;Career_History!D13,0,MIN(A153,Career_History!E13)-Career_History!D13+1),0))/365.2425</f>
        <v>0</v>
      </c>
      <c r="P153" s="9">
        <f>SUM(IF(Career_History!H12=TRUE,IF(A153&lt;Career_History!D12,0,MIN(A153,Career_History!E12)-Career_History!D12+1),0),IF(Career_History!H13=TRUE,IF(A153&lt;Career_History!D13,0,MIN(A153,Career_History!E13)-Career_History!D13+1),0))/365.2425</f>
        <v>12.580682697112193</v>
      </c>
      <c r="Q153" s="9"/>
      <c r="R153" s="9"/>
      <c r="S153" s="9"/>
      <c r="T153" s="9">
        <f>SUM(IF(Career_History!G16=TRUE,IF(A153&lt;Career_History!D16,0,MIN(A153,Career_History!E16)-Career_History!D16+1),0),IF(Career_History!G17=TRUE,IF(A153&lt;Career_History!D17,0,MIN(A153,Career_History!E17)-Career_History!D17+1),0))/365.2425</f>
        <v>32.085532214898322</v>
      </c>
      <c r="U153" s="9">
        <f>SUM(IF(Career_History!I16=TRUE,IF(A153&lt;Career_History!D16,0,MIN(A153,Career_History!E16)-Career_History!D16+1),0),IF(Career_History!I17=TRUE,IF(A153&lt;Career_History!D17,0,MIN(A153,Career_History!E17)-Career_History!D17+1),0))/365.2425</f>
        <v>21.506259539894728</v>
      </c>
      <c r="V153" s="9">
        <f>SUM(IF(Career_History!H16=TRUE,IF(A153&lt;Career_History!D16,0,MIN(A153,Career_History!E16)-Career_History!D16+1),0),IF(Career_History!H17=TRUE,IF(A153&lt;Career_History!D17,0,MIN(A153,Career_History!E17)-Career_History!D17+1),0))/365.2425</f>
        <v>32.085532214898322</v>
      </c>
      <c r="W153" s="9">
        <f>SUM(IF(Career_History!G18=TRUE,IF(A153&lt;Career_History!D18,0,MIN(A153,Career_History!E18)-Career_History!D18+1),0),IF(Career_History!G19=TRUE,IF(A153&lt;Career_History!D19,0,MIN(A153,Career_History!E19)-Career_History!D19+1),0),IF(Career_History!G20=TRUE,IF(A153&lt;Career_History!D20,0,MIN(A153,Career_History!E20)-Career_History!D20+1),0))/365.2425</f>
        <v>39.083622524760948</v>
      </c>
      <c r="X153" s="9">
        <f>SUM(IF(Career_History!I18=TRUE,IF(A153&lt;Career_History!D18,0,MIN(A153,Career_History!E18)-Career_History!D18+1),0),IF(Career_History!I19=TRUE,IF(A153&lt;Career_History!D19,0,MIN(A153,Career_History!E19)-Career_History!D19+1),0),IF(Career_History!I20=TRUE,IF(A153&lt;Career_History!D20,0,MIN(A153,Career_History!E20)-Career_History!D20+1),0))/365.2425</f>
        <v>0</v>
      </c>
      <c r="Y153" s="9">
        <f>SUM(IF(Career_History!H18=TRUE,IF(A153&lt;Career_History!D18,0,MIN(A153,Career_History!E18)-Career_History!D18+1),0),IF(Career_History!H19=TRUE,IF(A153&lt;Career_History!D19,0,MIN(A153,Career_History!E19)-Career_History!D19+1),0),IF(Career_History!H20=TRUE,IF(A153&lt;Career_History!D20,0,MIN(A153,Career_History!E20)-Career_History!D20+1),0))/365.2425</f>
        <v>9.5060131282640992</v>
      </c>
      <c r="Z153" s="9">
        <f>SUM(IF(Career_History!G21=TRUE,IF(A153&lt;Career_History!D21,0,MIN(A153,Career_History!E21)-Career_History!D21+1),0),IF(Career_History!G22=TRUE,IF(A153&lt;Career_History!D22,0,MIN(A153,Career_History!E22)-Career_History!D22+1),0),IF(Career_History!G23=TRUE,IF(A153&lt;Career_History!D23,0,MIN(A153,Career_History!E23)-Career_History!D23+1),0),IF(Career_History!G24=TRUE,IF(A153&lt;Career_History!D24,0,MIN(A153,Career_History!E24)-Career_History!D24+1),0))/365.2425</f>
        <v>36.085614352108529</v>
      </c>
      <c r="AA153" s="9">
        <f>SUM(IF(Career_History!I21=TRUE,IF(A153&lt;Career_History!D21,0,MIN(A153,Career_History!E21)-Career_History!D21+1),0),IF(Career_History!I22=TRUE,IF(A153&lt;Career_History!D22,0,MIN(A153,Career_History!E22)-Career_History!D22+1),0),IF(Career_History!I23=TRUE,IF(A153&lt;Career_History!D23,0,MIN(A153,Career_History!E23)-Career_History!D23+1),0),IF(Career_History!I24=TRUE,IF(A153&lt;Career_History!D24,0,MIN(A153,Career_History!E24)-Career_History!D24+1),0))/365.2425</f>
        <v>26.505677734655741</v>
      </c>
      <c r="AB153" s="9">
        <f>SUM(IF(Career_History!H21=TRUE,IF(A153&lt;Career_History!D21,0,MIN(A153,Career_History!E21)-Career_History!D21+1),0),IF(Career_History!H22=TRUE,IF(A153&lt;Career_History!D22,0,MIN(A153,Career_History!E22)-Career_History!D22+1),0),IF(Career_History!H23=TRUE,IF(A153&lt;Career_History!D23,0,MIN(A153,Career_History!E23)-Career_History!D23+1),0),IF(Career_History!H24=TRUE,IF(A153&lt;Career_History!D24,0,MIN(A153,Career_History!E24)-Career_History!D24+1),0))/365.2425</f>
        <v>27.001238902920662</v>
      </c>
      <c r="AC153" s="9">
        <f>SUM(IF(Career_History!G25=TRUE,IF(A153&lt;Career_History!D25,0,MIN(A153,Career_History!E25)-Career_History!D25+1),0),IF(Career_History!G26=TRUE,IF(A153&lt;Career_History!D26,0,MIN(A153,Career_History!E26)-Career_History!D26+1),0),IF(Career_History!G27=TRUE,IF(A153&lt;Career_History!D27,0,MIN(A153,Career_History!E27)-Career_History!D27+1),0),IF(Career_History!G28=TRUE,IF(A153&lt;Career_History!D28,0,MIN(A153,Career_History!E28)-Career_History!D28+1),0),IF(Career_History!G29=TRUE,IF(A153&lt;Career_History!D29,0,MIN(A153,Career_History!E29)-Career_History!D29+1),0))/365.2425</f>
        <v>34.084204329999928</v>
      </c>
      <c r="AD153" s="9">
        <f>SUM(IF(Career_History!I25=TRUE,IF(A153&lt;Career_History!D25,0,MIN(A153,Career_History!E25)-Career_History!D25+1),0),IF(Career_History!I26=TRUE,IF(A153&lt;Career_History!D26,0,MIN(A153,Career_History!E26)-Career_History!D26+1),0),IF(Career_History!I27=TRUE,IF(A153&lt;Career_History!D27,0,MIN(A153,Career_History!E27)-Career_History!D27+1),0),IF(Career_History!I28=TRUE,IF(A153&lt;Career_History!D28,0,MIN(A153,Career_History!E28)-Career_History!D28+1),0),IF(Career_History!I29=TRUE,IF(A153&lt;Career_History!D29,0,MIN(A153,Career_History!E29)-Career_History!D29+1),0))/365.2425</f>
        <v>0</v>
      </c>
      <c r="AE153" s="9">
        <f>SUM(IF(Career_History!H25=TRUE,IF(A153&lt;Career_History!D25,0,MIN(A153,Career_History!E25)-Career_History!D25+1),0),IF(Career_History!H26=TRUE,IF(A153&lt;Career_History!D26,0,MIN(A153,Career_History!E26)-Career_History!D26+1),0),IF(Career_History!H27=TRUE,IF(A153&lt;Career_History!D27,0,MIN(A153,Career_History!E27)-Career_History!D27+1),0),IF(Career_History!H28=TRUE,IF(A153&lt;Career_History!D28,0,MIN(A153,Career_History!E28)-Career_History!D28+1),0),IF(Career_History!H29=TRUE,IF(A153&lt;Career_History!D29,0,MIN(A153,Career_History!E29)-Career_History!D29+1),0))/365.2425</f>
        <v>21.580183029083418</v>
      </c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</row>
    <row r="154" spans="1:67">
      <c r="A154" s="8">
        <v>39325</v>
      </c>
      <c r="B154" s="9">
        <f t="shared" si="6"/>
        <v>35.569792671991898</v>
      </c>
      <c r="C154" s="9">
        <f t="shared" si="7"/>
        <v>9.6023874549100938</v>
      </c>
      <c r="D154" s="9">
        <f t="shared" si="8"/>
        <v>20.63560511167238</v>
      </c>
      <c r="E154" s="9"/>
      <c r="F154" s="9"/>
      <c r="G154" s="9"/>
      <c r="H154" s="9"/>
      <c r="I154" s="9"/>
      <c r="J154" s="9"/>
      <c r="K154" s="9"/>
      <c r="L154" s="9"/>
      <c r="M154" s="9"/>
      <c r="N154" s="9">
        <f>SUM(IF(Career_History!G12=TRUE,IF(A154&lt;Career_History!D12,0,MIN(A154,Career_History!E12)-Career_History!D12+1),0),IF(Career_History!G13=TRUE,IF(A154&lt;Career_History!D13,0,MIN(A154,Career_History!E13)-Career_History!D13+1),0))/365.2425</f>
        <v>36.170489469325176</v>
      </c>
      <c r="O154" s="9">
        <f>SUM(IF(Career_History!I12=TRUE,IF(A154&lt;Career_History!D12,0,MIN(A154,Career_History!E12)-Career_History!D12+1),0),IF(Career_History!I13=TRUE,IF(A154&lt;Career_History!D13,0,MIN(A154,Career_History!E13)-Career_History!D13+1),0))/365.2425</f>
        <v>0</v>
      </c>
      <c r="P154" s="9">
        <f>SUM(IF(Career_History!H12=TRUE,IF(A154&lt;Career_History!D12,0,MIN(A154,Career_History!E12)-Career_History!D12+1),0),IF(Career_History!H13=TRUE,IF(A154&lt;Career_History!D13,0,MIN(A154,Career_History!E13)-Career_History!D13+1),0))/365.2425</f>
        <v>12.665557814328835</v>
      </c>
      <c r="Q154" s="9"/>
      <c r="R154" s="9"/>
      <c r="S154" s="9"/>
      <c r="T154" s="9">
        <f>SUM(IF(Career_History!G16=TRUE,IF(A154&lt;Career_History!D16,0,MIN(A154,Career_History!E16)-Career_History!D16+1),0),IF(Career_History!G17=TRUE,IF(A154&lt;Career_History!D17,0,MIN(A154,Career_History!E17)-Career_History!D17+1),0))/365.2425</f>
        <v>32.170407332114962</v>
      </c>
      <c r="U154" s="9">
        <f>SUM(IF(Career_History!I16=TRUE,IF(A154&lt;Career_History!D16,0,MIN(A154,Career_History!E16)-Career_History!D16+1),0),IF(Career_History!I17=TRUE,IF(A154&lt;Career_History!D17,0,MIN(A154,Career_History!E17)-Career_History!D17+1),0))/365.2425</f>
        <v>21.506259539894728</v>
      </c>
      <c r="V154" s="9">
        <f>SUM(IF(Career_History!H16=TRUE,IF(A154&lt;Career_History!D16,0,MIN(A154,Career_History!E16)-Career_History!D16+1),0),IF(Career_History!H17=TRUE,IF(A154&lt;Career_History!D17,0,MIN(A154,Career_History!E17)-Career_History!D17+1),0))/365.2425</f>
        <v>32.170407332114962</v>
      </c>
      <c r="W154" s="9">
        <f>SUM(IF(Career_History!G18=TRUE,IF(A154&lt;Career_History!D18,0,MIN(A154,Career_History!E18)-Career_History!D18+1),0),IF(Career_History!G19=TRUE,IF(A154&lt;Career_History!D19,0,MIN(A154,Career_History!E19)-Career_History!D19+1),0),IF(Career_History!G20=TRUE,IF(A154&lt;Career_History!D20,0,MIN(A154,Career_History!E20)-Career_History!D20+1),0))/365.2425</f>
        <v>39.168497641977588</v>
      </c>
      <c r="X154" s="9">
        <f>SUM(IF(Career_History!I18=TRUE,IF(A154&lt;Career_History!D18,0,MIN(A154,Career_History!E18)-Career_History!D18+1),0),IF(Career_History!I19=TRUE,IF(A154&lt;Career_History!D19,0,MIN(A154,Career_History!E19)-Career_History!D19+1),0),IF(Career_History!I20=TRUE,IF(A154&lt;Career_History!D20,0,MIN(A154,Career_History!E20)-Career_History!D20+1),0))/365.2425</f>
        <v>0</v>
      </c>
      <c r="Y154" s="9">
        <f>SUM(IF(Career_History!H18=TRUE,IF(A154&lt;Career_History!D18,0,MIN(A154,Career_History!E18)-Career_History!D18+1),0),IF(Career_History!H19=TRUE,IF(A154&lt;Career_History!D19,0,MIN(A154,Career_History!E19)-Career_History!D19+1),0),IF(Career_History!H20=TRUE,IF(A154&lt;Career_History!D20,0,MIN(A154,Career_History!E20)-Career_History!D20+1),0))/365.2425</f>
        <v>9.5908882454807429</v>
      </c>
      <c r="Z154" s="9">
        <f>SUM(IF(Career_History!G21=TRUE,IF(A154&lt;Career_History!D21,0,MIN(A154,Career_History!E21)-Career_History!D21+1),0),IF(Career_History!G22=TRUE,IF(A154&lt;Career_History!D22,0,MIN(A154,Career_History!E22)-Career_History!D22+1),0),IF(Career_History!G23=TRUE,IF(A154&lt;Career_History!D23,0,MIN(A154,Career_History!E23)-Career_History!D23+1),0),IF(Career_History!G24=TRUE,IF(A154&lt;Career_History!D24,0,MIN(A154,Career_History!E24)-Career_History!D24+1),0))/365.2425</f>
        <v>36.170489469325176</v>
      </c>
      <c r="AA154" s="9">
        <f>SUM(IF(Career_History!I21=TRUE,IF(A154&lt;Career_History!D21,0,MIN(A154,Career_History!E21)-Career_History!D21+1),0),IF(Career_History!I22=TRUE,IF(A154&lt;Career_History!D22,0,MIN(A154,Career_History!E22)-Career_History!D22+1),0),IF(Career_History!I23=TRUE,IF(A154&lt;Career_History!D23,0,MIN(A154,Career_History!E23)-Career_History!D23+1),0),IF(Career_History!I24=TRUE,IF(A154&lt;Career_History!D24,0,MIN(A154,Career_History!E24)-Career_History!D24+1),0))/365.2425</f>
        <v>26.505677734655741</v>
      </c>
      <c r="AB154" s="9">
        <f>SUM(IF(Career_History!H21=TRUE,IF(A154&lt;Career_History!D21,0,MIN(A154,Career_History!E21)-Career_History!D21+1),0),IF(Career_History!H22=TRUE,IF(A154&lt;Career_History!D22,0,MIN(A154,Career_History!E22)-Career_History!D22+1),0),IF(Career_History!H23=TRUE,IF(A154&lt;Career_History!D23,0,MIN(A154,Career_History!E23)-Career_History!D23+1),0),IF(Career_History!H24=TRUE,IF(A154&lt;Career_History!D24,0,MIN(A154,Career_History!E24)-Career_History!D24+1),0))/365.2425</f>
        <v>27.086114020137305</v>
      </c>
      <c r="AC154" s="9">
        <f>SUM(IF(Career_History!G25=TRUE,IF(A154&lt;Career_History!D25,0,MIN(A154,Career_History!E25)-Career_History!D25+1),0),IF(Career_History!G26=TRUE,IF(A154&lt;Career_History!D26,0,MIN(A154,Career_History!E26)-Career_History!D26+1),0),IF(Career_History!G27=TRUE,IF(A154&lt;Career_History!D27,0,MIN(A154,Career_History!E27)-Career_History!D27+1),0),IF(Career_History!G28=TRUE,IF(A154&lt;Career_History!D28,0,MIN(A154,Career_History!E28)-Career_History!D28+1),0),IF(Career_History!G29=TRUE,IF(A154&lt;Career_History!D29,0,MIN(A154,Career_History!E29)-Career_History!D29+1),0))/365.2425</f>
        <v>34.169079447216575</v>
      </c>
      <c r="AD154" s="9">
        <f>SUM(IF(Career_History!I25=TRUE,IF(A154&lt;Career_History!D25,0,MIN(A154,Career_History!E25)-Career_History!D25+1),0),IF(Career_History!I26=TRUE,IF(A154&lt;Career_History!D26,0,MIN(A154,Career_History!E26)-Career_History!D26+1),0),IF(Career_History!I27=TRUE,IF(A154&lt;Career_History!D27,0,MIN(A154,Career_History!E27)-Career_History!D27+1),0),IF(Career_History!I28=TRUE,IF(A154&lt;Career_History!D28,0,MIN(A154,Career_History!E28)-Career_History!D28+1),0),IF(Career_History!I29=TRUE,IF(A154&lt;Career_History!D29,0,MIN(A154,Career_History!E29)-Career_History!D29+1),0))/365.2425</f>
        <v>0</v>
      </c>
      <c r="AE154" s="9">
        <f>SUM(IF(Career_History!H25=TRUE,IF(A154&lt;Career_History!D25,0,MIN(A154,Career_History!E25)-Career_History!D25+1),0),IF(Career_History!H26=TRUE,IF(A154&lt;Career_History!D26,0,MIN(A154,Career_History!E26)-Career_History!D26+1),0),IF(Career_History!H27=TRUE,IF(A154&lt;Career_History!D27,0,MIN(A154,Career_History!E27)-Career_History!D27+1),0),IF(Career_History!H28=TRUE,IF(A154&lt;Career_History!D28,0,MIN(A154,Career_History!E28)-Career_History!D28+1),0),IF(Career_History!H29=TRUE,IF(A154&lt;Career_History!D29,0,MIN(A154,Career_History!E29)-Career_History!D29+1),0))/365.2425</f>
        <v>21.665058146300062</v>
      </c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</row>
    <row r="155" spans="1:67">
      <c r="A155" s="8">
        <v>39355</v>
      </c>
      <c r="B155" s="9">
        <f t="shared" si="6"/>
        <v>35.65192988220155</v>
      </c>
      <c r="C155" s="9">
        <f t="shared" si="7"/>
        <v>9.6023874549100938</v>
      </c>
      <c r="D155" s="9">
        <f t="shared" si="8"/>
        <v>20.717742321882039</v>
      </c>
      <c r="E155" s="9"/>
      <c r="F155" s="9"/>
      <c r="G155" s="9"/>
      <c r="H155" s="9"/>
      <c r="I155" s="9"/>
      <c r="J155" s="9"/>
      <c r="K155" s="9"/>
      <c r="L155" s="9"/>
      <c r="M155" s="9"/>
      <c r="N155" s="9">
        <f>SUM(IF(Career_History!G12=TRUE,IF(A155&lt;Career_History!D12,0,MIN(A155,Career_History!E12)-Career_History!D12+1),0),IF(Career_History!G13=TRUE,IF(A155&lt;Career_History!D13,0,MIN(A155,Career_History!E13)-Career_History!D13+1),0))/365.2425</f>
        <v>36.252626679534828</v>
      </c>
      <c r="O155" s="9">
        <f>SUM(IF(Career_History!I12=TRUE,IF(A155&lt;Career_History!D12,0,MIN(A155,Career_History!E12)-Career_History!D12+1),0),IF(Career_History!I13=TRUE,IF(A155&lt;Career_History!D13,0,MIN(A155,Career_History!E13)-Career_History!D13+1),0))/365.2425</f>
        <v>0</v>
      </c>
      <c r="P155" s="9">
        <f>SUM(IF(Career_History!H12=TRUE,IF(A155&lt;Career_History!D12,0,MIN(A155,Career_History!E12)-Career_History!D12+1),0),IF(Career_History!H13=TRUE,IF(A155&lt;Career_History!D13,0,MIN(A155,Career_History!E13)-Career_History!D13+1),0))/365.2425</f>
        <v>12.747695024538491</v>
      </c>
      <c r="Q155" s="9"/>
      <c r="R155" s="9"/>
      <c r="S155" s="9"/>
      <c r="T155" s="9">
        <f>SUM(IF(Career_History!G16=TRUE,IF(A155&lt;Career_History!D16,0,MIN(A155,Career_History!E16)-Career_History!D16+1),0),IF(Career_History!G17=TRUE,IF(A155&lt;Career_History!D17,0,MIN(A155,Career_History!E17)-Career_History!D17+1),0))/365.2425</f>
        <v>32.252544542324621</v>
      </c>
      <c r="U155" s="9">
        <f>SUM(IF(Career_History!I16=TRUE,IF(A155&lt;Career_History!D16,0,MIN(A155,Career_History!E16)-Career_History!D16+1),0),IF(Career_History!I17=TRUE,IF(A155&lt;Career_History!D17,0,MIN(A155,Career_History!E17)-Career_History!D17+1),0))/365.2425</f>
        <v>21.506259539894728</v>
      </c>
      <c r="V155" s="9">
        <f>SUM(IF(Career_History!H16=TRUE,IF(A155&lt;Career_History!D16,0,MIN(A155,Career_History!E16)-Career_History!D16+1),0),IF(Career_History!H17=TRUE,IF(A155&lt;Career_History!D17,0,MIN(A155,Career_History!E17)-Career_History!D17+1),0))/365.2425</f>
        <v>32.252544542324621</v>
      </c>
      <c r="W155" s="9">
        <f>SUM(IF(Career_History!G18=TRUE,IF(A155&lt;Career_History!D18,0,MIN(A155,Career_History!E18)-Career_History!D18+1),0),IF(Career_History!G19=TRUE,IF(A155&lt;Career_History!D19,0,MIN(A155,Career_History!E19)-Career_History!D19+1),0),IF(Career_History!G20=TRUE,IF(A155&lt;Career_History!D20,0,MIN(A155,Career_History!E20)-Career_History!D20+1),0))/365.2425</f>
        <v>39.250634852187247</v>
      </c>
      <c r="X155" s="9">
        <f>SUM(IF(Career_History!I18=TRUE,IF(A155&lt;Career_History!D18,0,MIN(A155,Career_History!E18)-Career_History!D18+1),0),IF(Career_History!I19=TRUE,IF(A155&lt;Career_History!D19,0,MIN(A155,Career_History!E19)-Career_History!D19+1),0),IF(Career_History!I20=TRUE,IF(A155&lt;Career_History!D20,0,MIN(A155,Career_History!E20)-Career_History!D20+1),0))/365.2425</f>
        <v>0</v>
      </c>
      <c r="Y155" s="9">
        <f>SUM(IF(Career_History!H18=TRUE,IF(A155&lt;Career_History!D18,0,MIN(A155,Career_History!E18)-Career_History!D18+1),0),IF(Career_History!H19=TRUE,IF(A155&lt;Career_History!D19,0,MIN(A155,Career_History!E19)-Career_History!D19+1),0),IF(Career_History!H20=TRUE,IF(A155&lt;Career_History!D20,0,MIN(A155,Career_History!E20)-Career_History!D20+1),0))/365.2425</f>
        <v>9.6730254556903965</v>
      </c>
      <c r="Z155" s="9">
        <f>SUM(IF(Career_History!G21=TRUE,IF(A155&lt;Career_History!D21,0,MIN(A155,Career_History!E21)-Career_History!D21+1),0),IF(Career_History!G22=TRUE,IF(A155&lt;Career_History!D22,0,MIN(A155,Career_History!E22)-Career_History!D22+1),0),IF(Career_History!G23=TRUE,IF(A155&lt;Career_History!D23,0,MIN(A155,Career_History!E23)-Career_History!D23+1),0),IF(Career_History!G24=TRUE,IF(A155&lt;Career_History!D24,0,MIN(A155,Career_History!E24)-Career_History!D24+1),0))/365.2425</f>
        <v>36.252626679534828</v>
      </c>
      <c r="AA155" s="9">
        <f>SUM(IF(Career_History!I21=TRUE,IF(A155&lt;Career_History!D21,0,MIN(A155,Career_History!E21)-Career_History!D21+1),0),IF(Career_History!I22=TRUE,IF(A155&lt;Career_History!D22,0,MIN(A155,Career_History!E22)-Career_History!D22+1),0),IF(Career_History!I23=TRUE,IF(A155&lt;Career_History!D23,0,MIN(A155,Career_History!E23)-Career_History!D23+1),0),IF(Career_History!I24=TRUE,IF(A155&lt;Career_History!D24,0,MIN(A155,Career_History!E24)-Career_History!D24+1),0))/365.2425</f>
        <v>26.505677734655741</v>
      </c>
      <c r="AB155" s="9">
        <f>SUM(IF(Career_History!H21=TRUE,IF(A155&lt;Career_History!D21,0,MIN(A155,Career_History!E21)-Career_History!D21+1),0),IF(Career_History!H22=TRUE,IF(A155&lt;Career_History!D22,0,MIN(A155,Career_History!E22)-Career_History!D22+1),0),IF(Career_History!H23=TRUE,IF(A155&lt;Career_History!D23,0,MIN(A155,Career_History!E23)-Career_History!D23+1),0),IF(Career_History!H24=TRUE,IF(A155&lt;Career_History!D24,0,MIN(A155,Career_History!E24)-Career_History!D24+1),0))/365.2425</f>
        <v>27.168251230346961</v>
      </c>
      <c r="AC155" s="9">
        <f>SUM(IF(Career_History!G25=TRUE,IF(A155&lt;Career_History!D25,0,MIN(A155,Career_History!E25)-Career_History!D25+1),0),IF(Career_History!G26=TRUE,IF(A155&lt;Career_History!D26,0,MIN(A155,Career_History!E26)-Career_History!D26+1),0),IF(Career_History!G27=TRUE,IF(A155&lt;Career_History!D27,0,MIN(A155,Career_History!E27)-Career_History!D27+1),0),IF(Career_History!G28=TRUE,IF(A155&lt;Career_History!D28,0,MIN(A155,Career_History!E28)-Career_History!D28+1),0),IF(Career_History!G29=TRUE,IF(A155&lt;Career_History!D29,0,MIN(A155,Career_History!E29)-Career_History!D29+1),0))/365.2425</f>
        <v>34.251216657426227</v>
      </c>
      <c r="AD155" s="9">
        <f>SUM(IF(Career_History!I25=TRUE,IF(A155&lt;Career_History!D25,0,MIN(A155,Career_History!E25)-Career_History!D25+1),0),IF(Career_History!I26=TRUE,IF(A155&lt;Career_History!D26,0,MIN(A155,Career_History!E26)-Career_History!D26+1),0),IF(Career_History!I27=TRUE,IF(A155&lt;Career_History!D27,0,MIN(A155,Career_History!E27)-Career_History!D27+1),0),IF(Career_History!I28=TRUE,IF(A155&lt;Career_History!D28,0,MIN(A155,Career_History!E28)-Career_History!D28+1),0),IF(Career_History!I29=TRUE,IF(A155&lt;Career_History!D29,0,MIN(A155,Career_History!E29)-Career_History!D29+1),0))/365.2425</f>
        <v>0</v>
      </c>
      <c r="AE155" s="9">
        <f>SUM(IF(Career_History!H25=TRUE,IF(A155&lt;Career_History!D25,0,MIN(A155,Career_History!E25)-Career_History!D25+1),0),IF(Career_History!H26=TRUE,IF(A155&lt;Career_History!D26,0,MIN(A155,Career_History!E26)-Career_History!D26+1),0),IF(Career_History!H27=TRUE,IF(A155&lt;Career_History!D27,0,MIN(A155,Career_History!E27)-Career_History!D27+1),0),IF(Career_History!H28=TRUE,IF(A155&lt;Career_History!D28,0,MIN(A155,Career_History!E28)-Career_History!D28+1),0),IF(Career_History!H29=TRUE,IF(A155&lt;Career_History!D29,0,MIN(A155,Career_History!E29)-Career_History!D29+1),0))/365.2425</f>
        <v>21.747195356509717</v>
      </c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</row>
    <row r="156" spans="1:67">
      <c r="A156" s="8">
        <v>39386</v>
      </c>
      <c r="B156" s="9">
        <f t="shared" si="6"/>
        <v>35.736804999418197</v>
      </c>
      <c r="C156" s="9">
        <f t="shared" si="7"/>
        <v>9.6023874549100938</v>
      </c>
      <c r="D156" s="9">
        <f t="shared" si="8"/>
        <v>20.802617439098679</v>
      </c>
      <c r="E156" s="9"/>
      <c r="F156" s="9"/>
      <c r="G156" s="9"/>
      <c r="H156" s="9"/>
      <c r="I156" s="9"/>
      <c r="J156" s="9"/>
      <c r="K156" s="9"/>
      <c r="L156" s="9"/>
      <c r="M156" s="9"/>
      <c r="N156" s="9">
        <f>SUM(IF(Career_History!G12=TRUE,IF(A156&lt;Career_History!D12,0,MIN(A156,Career_History!E12)-Career_History!D12+1),0),IF(Career_History!G13=TRUE,IF(A156&lt;Career_History!D13,0,MIN(A156,Career_History!E13)-Career_History!D13+1),0))/365.2425</f>
        <v>36.337501796751475</v>
      </c>
      <c r="O156" s="9">
        <f>SUM(IF(Career_History!I12=TRUE,IF(A156&lt;Career_History!D12,0,MIN(A156,Career_History!E12)-Career_History!D12+1),0),IF(Career_History!I13=TRUE,IF(A156&lt;Career_History!D13,0,MIN(A156,Career_History!E13)-Career_History!D13+1),0))/365.2425</f>
        <v>0</v>
      </c>
      <c r="P156" s="9">
        <f>SUM(IF(Career_History!H12=TRUE,IF(A156&lt;Career_History!D12,0,MIN(A156,Career_History!E12)-Career_History!D12+1),0),IF(Career_History!H13=TRUE,IF(A156&lt;Career_History!D13,0,MIN(A156,Career_History!E13)-Career_History!D13+1),0))/365.2425</f>
        <v>12.832570141755134</v>
      </c>
      <c r="Q156" s="9"/>
      <c r="R156" s="9"/>
      <c r="S156" s="9"/>
      <c r="T156" s="9">
        <f>SUM(IF(Career_History!G16=TRUE,IF(A156&lt;Career_History!D16,0,MIN(A156,Career_History!E16)-Career_History!D16+1),0),IF(Career_History!G17=TRUE,IF(A156&lt;Career_History!D17,0,MIN(A156,Career_History!E17)-Career_History!D17+1),0))/365.2425</f>
        <v>32.337419659541261</v>
      </c>
      <c r="U156" s="9">
        <f>SUM(IF(Career_History!I16=TRUE,IF(A156&lt;Career_History!D16,0,MIN(A156,Career_History!E16)-Career_History!D16+1),0),IF(Career_History!I17=TRUE,IF(A156&lt;Career_History!D17,0,MIN(A156,Career_History!E17)-Career_History!D17+1),0))/365.2425</f>
        <v>21.506259539894728</v>
      </c>
      <c r="V156" s="9">
        <f>SUM(IF(Career_History!H16=TRUE,IF(A156&lt;Career_History!D16,0,MIN(A156,Career_History!E16)-Career_History!D16+1),0),IF(Career_History!H17=TRUE,IF(A156&lt;Career_History!D17,0,MIN(A156,Career_History!E17)-Career_History!D17+1),0))/365.2425</f>
        <v>32.337419659541261</v>
      </c>
      <c r="W156" s="9">
        <f>SUM(IF(Career_History!G18=TRUE,IF(A156&lt;Career_History!D18,0,MIN(A156,Career_History!E18)-Career_History!D18+1),0),IF(Career_History!G19=TRUE,IF(A156&lt;Career_History!D19,0,MIN(A156,Career_History!E19)-Career_History!D19+1),0),IF(Career_History!G20=TRUE,IF(A156&lt;Career_History!D20,0,MIN(A156,Career_History!E20)-Career_History!D20+1),0))/365.2425</f>
        <v>39.335509969403887</v>
      </c>
      <c r="X156" s="9">
        <f>SUM(IF(Career_History!I18=TRUE,IF(A156&lt;Career_History!D18,0,MIN(A156,Career_History!E18)-Career_History!D18+1),0),IF(Career_History!I19=TRUE,IF(A156&lt;Career_History!D19,0,MIN(A156,Career_History!E19)-Career_History!D19+1),0),IF(Career_History!I20=TRUE,IF(A156&lt;Career_History!D20,0,MIN(A156,Career_History!E20)-Career_History!D20+1),0))/365.2425</f>
        <v>0</v>
      </c>
      <c r="Y156" s="9">
        <f>SUM(IF(Career_History!H18=TRUE,IF(A156&lt;Career_History!D18,0,MIN(A156,Career_History!E18)-Career_History!D18+1),0),IF(Career_History!H19=TRUE,IF(A156&lt;Career_History!D19,0,MIN(A156,Career_History!E19)-Career_History!D19+1),0),IF(Career_History!H20=TRUE,IF(A156&lt;Career_History!D20,0,MIN(A156,Career_History!E20)-Career_History!D20+1),0))/365.2425</f>
        <v>9.7579005729070403</v>
      </c>
      <c r="Z156" s="9">
        <f>SUM(IF(Career_History!G21=TRUE,IF(A156&lt;Career_History!D21,0,MIN(A156,Career_History!E21)-Career_History!D21+1),0),IF(Career_History!G22=TRUE,IF(A156&lt;Career_History!D22,0,MIN(A156,Career_History!E22)-Career_History!D22+1),0),IF(Career_History!G23=TRUE,IF(A156&lt;Career_History!D23,0,MIN(A156,Career_History!E23)-Career_History!D23+1),0),IF(Career_History!G24=TRUE,IF(A156&lt;Career_History!D24,0,MIN(A156,Career_History!E24)-Career_History!D24+1),0))/365.2425</f>
        <v>36.337501796751475</v>
      </c>
      <c r="AA156" s="9">
        <f>SUM(IF(Career_History!I21=TRUE,IF(A156&lt;Career_History!D21,0,MIN(A156,Career_History!E21)-Career_History!D21+1),0),IF(Career_History!I22=TRUE,IF(A156&lt;Career_History!D22,0,MIN(A156,Career_History!E22)-Career_History!D22+1),0),IF(Career_History!I23=TRUE,IF(A156&lt;Career_History!D23,0,MIN(A156,Career_History!E23)-Career_History!D23+1),0),IF(Career_History!I24=TRUE,IF(A156&lt;Career_History!D24,0,MIN(A156,Career_History!E24)-Career_History!D24+1),0))/365.2425</f>
        <v>26.505677734655741</v>
      </c>
      <c r="AB156" s="9">
        <f>SUM(IF(Career_History!H21=TRUE,IF(A156&lt;Career_History!D21,0,MIN(A156,Career_History!E21)-Career_History!D21+1),0),IF(Career_History!H22=TRUE,IF(A156&lt;Career_History!D22,0,MIN(A156,Career_History!E22)-Career_History!D22+1),0),IF(Career_History!H23=TRUE,IF(A156&lt;Career_History!D23,0,MIN(A156,Career_History!E23)-Career_History!D23+1),0),IF(Career_History!H24=TRUE,IF(A156&lt;Career_History!D24,0,MIN(A156,Career_History!E24)-Career_History!D24+1),0))/365.2425</f>
        <v>27.253126347563605</v>
      </c>
      <c r="AC156" s="9">
        <f>SUM(IF(Career_History!G25=TRUE,IF(A156&lt;Career_History!D25,0,MIN(A156,Career_History!E25)-Career_History!D25+1),0),IF(Career_History!G26=TRUE,IF(A156&lt;Career_History!D26,0,MIN(A156,Career_History!E26)-Career_History!D26+1),0),IF(Career_History!G27=TRUE,IF(A156&lt;Career_History!D27,0,MIN(A156,Career_History!E27)-Career_History!D27+1),0),IF(Career_History!G28=TRUE,IF(A156&lt;Career_History!D28,0,MIN(A156,Career_History!E28)-Career_History!D28+1),0),IF(Career_History!G29=TRUE,IF(A156&lt;Career_History!D29,0,MIN(A156,Career_History!E29)-Career_History!D29+1),0))/365.2425</f>
        <v>34.336091774642874</v>
      </c>
      <c r="AD156" s="9">
        <f>SUM(IF(Career_History!I25=TRUE,IF(A156&lt;Career_History!D25,0,MIN(A156,Career_History!E25)-Career_History!D25+1),0),IF(Career_History!I26=TRUE,IF(A156&lt;Career_History!D26,0,MIN(A156,Career_History!E26)-Career_History!D26+1),0),IF(Career_History!I27=TRUE,IF(A156&lt;Career_History!D27,0,MIN(A156,Career_History!E27)-Career_History!D27+1),0),IF(Career_History!I28=TRUE,IF(A156&lt;Career_History!D28,0,MIN(A156,Career_History!E28)-Career_History!D28+1),0),IF(Career_History!I29=TRUE,IF(A156&lt;Career_History!D29,0,MIN(A156,Career_History!E29)-Career_History!D29+1),0))/365.2425</f>
        <v>0</v>
      </c>
      <c r="AE156" s="9">
        <f>SUM(IF(Career_History!H25=TRUE,IF(A156&lt;Career_History!D25,0,MIN(A156,Career_History!E25)-Career_History!D25+1),0),IF(Career_History!H26=TRUE,IF(A156&lt;Career_History!D26,0,MIN(A156,Career_History!E26)-Career_History!D26+1),0),IF(Career_History!H27=TRUE,IF(A156&lt;Career_History!D27,0,MIN(A156,Career_History!E27)-Career_History!D27+1),0),IF(Career_History!H28=TRUE,IF(A156&lt;Career_History!D28,0,MIN(A156,Career_History!E28)-Career_History!D28+1),0),IF(Career_History!H29=TRUE,IF(A156&lt;Career_History!D29,0,MIN(A156,Career_History!E29)-Career_History!D29+1),0))/365.2425</f>
        <v>21.832070473726361</v>
      </c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</row>
    <row r="157" spans="1:67">
      <c r="A157" s="8">
        <v>39416</v>
      </c>
      <c r="B157" s="9">
        <f t="shared" si="6"/>
        <v>35.818942209627849</v>
      </c>
      <c r="C157" s="9">
        <f t="shared" si="7"/>
        <v>9.6023874549100938</v>
      </c>
      <c r="D157" s="9">
        <f t="shared" si="8"/>
        <v>20.884754649308338</v>
      </c>
      <c r="E157" s="9"/>
      <c r="F157" s="9"/>
      <c r="G157" s="9"/>
      <c r="H157" s="9"/>
      <c r="I157" s="9"/>
      <c r="J157" s="9"/>
      <c r="K157" s="9"/>
      <c r="L157" s="9"/>
      <c r="M157" s="9"/>
      <c r="N157" s="9">
        <f>SUM(IF(Career_History!G12=TRUE,IF(A157&lt;Career_History!D12,0,MIN(A157,Career_History!E12)-Career_History!D12+1),0),IF(Career_History!G13=TRUE,IF(A157&lt;Career_History!D13,0,MIN(A157,Career_History!E13)-Career_History!D13+1),0))/365.2425</f>
        <v>36.419639006961127</v>
      </c>
      <c r="O157" s="9">
        <f>SUM(IF(Career_History!I12=TRUE,IF(A157&lt;Career_History!D12,0,MIN(A157,Career_History!E12)-Career_History!D12+1),0),IF(Career_History!I13=TRUE,IF(A157&lt;Career_History!D13,0,MIN(A157,Career_History!E13)-Career_History!D13+1),0))/365.2425</f>
        <v>0</v>
      </c>
      <c r="P157" s="9">
        <f>SUM(IF(Career_History!H12=TRUE,IF(A157&lt;Career_History!D12,0,MIN(A157,Career_History!E12)-Career_History!D12+1),0),IF(Career_History!H13=TRUE,IF(A157&lt;Career_History!D13,0,MIN(A157,Career_History!E13)-Career_History!D13+1),0))/365.2425</f>
        <v>12.91470735196479</v>
      </c>
      <c r="Q157" s="9"/>
      <c r="R157" s="9"/>
      <c r="S157" s="9"/>
      <c r="T157" s="9">
        <f>SUM(IF(Career_History!G16=TRUE,IF(A157&lt;Career_History!D16,0,MIN(A157,Career_History!E16)-Career_History!D16+1),0),IF(Career_History!G17=TRUE,IF(A157&lt;Career_History!D17,0,MIN(A157,Career_History!E17)-Career_History!D17+1),0))/365.2425</f>
        <v>32.41955686975092</v>
      </c>
      <c r="U157" s="9">
        <f>SUM(IF(Career_History!I16=TRUE,IF(A157&lt;Career_History!D16,0,MIN(A157,Career_History!E16)-Career_History!D16+1),0),IF(Career_History!I17=TRUE,IF(A157&lt;Career_History!D17,0,MIN(A157,Career_History!E17)-Career_History!D17+1),0))/365.2425</f>
        <v>21.506259539894728</v>
      </c>
      <c r="V157" s="9">
        <f>SUM(IF(Career_History!H16=TRUE,IF(A157&lt;Career_History!D16,0,MIN(A157,Career_History!E16)-Career_History!D16+1),0),IF(Career_History!H17=TRUE,IF(A157&lt;Career_History!D17,0,MIN(A157,Career_History!E17)-Career_History!D17+1),0))/365.2425</f>
        <v>32.41955686975092</v>
      </c>
      <c r="W157" s="9">
        <f>SUM(IF(Career_History!G18=TRUE,IF(A157&lt;Career_History!D18,0,MIN(A157,Career_History!E18)-Career_History!D18+1),0),IF(Career_History!G19=TRUE,IF(A157&lt;Career_History!D19,0,MIN(A157,Career_History!E19)-Career_History!D19+1),0),IF(Career_History!G20=TRUE,IF(A157&lt;Career_History!D20,0,MIN(A157,Career_History!E20)-Career_History!D20+1),0))/365.2425</f>
        <v>39.417647179613546</v>
      </c>
      <c r="X157" s="9">
        <f>SUM(IF(Career_History!I18=TRUE,IF(A157&lt;Career_History!D18,0,MIN(A157,Career_History!E18)-Career_History!D18+1),0),IF(Career_History!I19=TRUE,IF(A157&lt;Career_History!D19,0,MIN(A157,Career_History!E19)-Career_History!D19+1),0),IF(Career_History!I20=TRUE,IF(A157&lt;Career_History!D20,0,MIN(A157,Career_History!E20)-Career_History!D20+1),0))/365.2425</f>
        <v>0</v>
      </c>
      <c r="Y157" s="9">
        <f>SUM(IF(Career_History!H18=TRUE,IF(A157&lt;Career_History!D18,0,MIN(A157,Career_History!E18)-Career_History!D18+1),0),IF(Career_History!H19=TRUE,IF(A157&lt;Career_History!D19,0,MIN(A157,Career_History!E19)-Career_History!D19+1),0),IF(Career_History!H20=TRUE,IF(A157&lt;Career_History!D20,0,MIN(A157,Career_History!E20)-Career_History!D20+1),0))/365.2425</f>
        <v>9.8400377831166956</v>
      </c>
      <c r="Z157" s="9">
        <f>SUM(IF(Career_History!G21=TRUE,IF(A157&lt;Career_History!D21,0,MIN(A157,Career_History!E21)-Career_History!D21+1),0),IF(Career_History!G22=TRUE,IF(A157&lt;Career_History!D22,0,MIN(A157,Career_History!E22)-Career_History!D22+1),0),IF(Career_History!G23=TRUE,IF(A157&lt;Career_History!D23,0,MIN(A157,Career_History!E23)-Career_History!D23+1),0),IF(Career_History!G24=TRUE,IF(A157&lt;Career_History!D24,0,MIN(A157,Career_History!E24)-Career_History!D24+1),0))/365.2425</f>
        <v>36.419639006961127</v>
      </c>
      <c r="AA157" s="9">
        <f>SUM(IF(Career_History!I21=TRUE,IF(A157&lt;Career_History!D21,0,MIN(A157,Career_History!E21)-Career_History!D21+1),0),IF(Career_History!I22=TRUE,IF(A157&lt;Career_History!D22,0,MIN(A157,Career_History!E22)-Career_History!D22+1),0),IF(Career_History!I23=TRUE,IF(A157&lt;Career_History!D23,0,MIN(A157,Career_History!E23)-Career_History!D23+1),0),IF(Career_History!I24=TRUE,IF(A157&lt;Career_History!D24,0,MIN(A157,Career_History!E24)-Career_History!D24+1),0))/365.2425</f>
        <v>26.505677734655741</v>
      </c>
      <c r="AB157" s="9">
        <f>SUM(IF(Career_History!H21=TRUE,IF(A157&lt;Career_History!D21,0,MIN(A157,Career_History!E21)-Career_History!D21+1),0),IF(Career_History!H22=TRUE,IF(A157&lt;Career_History!D22,0,MIN(A157,Career_History!E22)-Career_History!D22+1),0),IF(Career_History!H23=TRUE,IF(A157&lt;Career_History!D23,0,MIN(A157,Career_History!E23)-Career_History!D23+1),0),IF(Career_History!H24=TRUE,IF(A157&lt;Career_History!D24,0,MIN(A157,Career_History!E24)-Career_History!D24+1),0))/365.2425</f>
        <v>27.33526355777326</v>
      </c>
      <c r="AC157" s="9">
        <f>SUM(IF(Career_History!G25=TRUE,IF(A157&lt;Career_History!D25,0,MIN(A157,Career_History!E25)-Career_History!D25+1),0),IF(Career_History!G26=TRUE,IF(A157&lt;Career_History!D26,0,MIN(A157,Career_History!E26)-Career_History!D26+1),0),IF(Career_History!G27=TRUE,IF(A157&lt;Career_History!D27,0,MIN(A157,Career_History!E27)-Career_History!D27+1),0),IF(Career_History!G28=TRUE,IF(A157&lt;Career_History!D28,0,MIN(A157,Career_History!E28)-Career_History!D28+1),0),IF(Career_History!G29=TRUE,IF(A157&lt;Career_History!D29,0,MIN(A157,Career_History!E29)-Career_History!D29+1),0))/365.2425</f>
        <v>34.418228984852526</v>
      </c>
      <c r="AD157" s="9">
        <f>SUM(IF(Career_History!I25=TRUE,IF(A157&lt;Career_History!D25,0,MIN(A157,Career_History!E25)-Career_History!D25+1),0),IF(Career_History!I26=TRUE,IF(A157&lt;Career_History!D26,0,MIN(A157,Career_History!E26)-Career_History!D26+1),0),IF(Career_History!I27=TRUE,IF(A157&lt;Career_History!D27,0,MIN(A157,Career_History!E27)-Career_History!D27+1),0),IF(Career_History!I28=TRUE,IF(A157&lt;Career_History!D28,0,MIN(A157,Career_History!E28)-Career_History!D28+1),0),IF(Career_History!I29=TRUE,IF(A157&lt;Career_History!D29,0,MIN(A157,Career_History!E29)-Career_History!D29+1),0))/365.2425</f>
        <v>0</v>
      </c>
      <c r="AE157" s="9">
        <f>SUM(IF(Career_History!H25=TRUE,IF(A157&lt;Career_History!D25,0,MIN(A157,Career_History!E25)-Career_History!D25+1),0),IF(Career_History!H26=TRUE,IF(A157&lt;Career_History!D26,0,MIN(A157,Career_History!E26)-Career_History!D26+1),0),IF(Career_History!H27=TRUE,IF(A157&lt;Career_History!D27,0,MIN(A157,Career_History!E27)-Career_History!D27+1),0),IF(Career_History!H28=TRUE,IF(A157&lt;Career_History!D28,0,MIN(A157,Career_History!E28)-Career_History!D28+1),0),IF(Career_History!H29=TRUE,IF(A157&lt;Career_History!D29,0,MIN(A157,Career_History!E29)-Career_History!D29+1),0))/365.2425</f>
        <v>21.914207683936013</v>
      </c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</row>
    <row r="158" spans="1:67">
      <c r="A158" s="8">
        <v>39447</v>
      </c>
      <c r="B158" s="9">
        <f t="shared" si="6"/>
        <v>35.903817326844489</v>
      </c>
      <c r="C158" s="9">
        <f t="shared" si="7"/>
        <v>9.6023874549100938</v>
      </c>
      <c r="D158" s="9">
        <f t="shared" si="8"/>
        <v>20.969629766524978</v>
      </c>
      <c r="E158" s="9"/>
      <c r="F158" s="9"/>
      <c r="G158" s="9"/>
      <c r="H158" s="9"/>
      <c r="I158" s="9"/>
      <c r="J158" s="9"/>
      <c r="K158" s="9"/>
      <c r="L158" s="9"/>
      <c r="M158" s="9"/>
      <c r="N158" s="9">
        <f>SUM(IF(Career_History!G12=TRUE,IF(A158&lt;Career_History!D12,0,MIN(A158,Career_History!E12)-Career_History!D12+1),0),IF(Career_History!G13=TRUE,IF(A158&lt;Career_History!D13,0,MIN(A158,Career_History!E13)-Career_History!D13+1),0))/365.2425</f>
        <v>36.504514124177774</v>
      </c>
      <c r="O158" s="9">
        <f>SUM(IF(Career_History!I12=TRUE,IF(A158&lt;Career_History!D12,0,MIN(A158,Career_History!E12)-Career_History!D12+1),0),IF(Career_History!I13=TRUE,IF(A158&lt;Career_History!D13,0,MIN(A158,Career_History!E13)-Career_History!D13+1),0))/365.2425</f>
        <v>0</v>
      </c>
      <c r="P158" s="9">
        <f>SUM(IF(Career_History!H12=TRUE,IF(A158&lt;Career_History!D12,0,MIN(A158,Career_History!E12)-Career_History!D12+1),0),IF(Career_History!H13=TRUE,IF(A158&lt;Career_History!D13,0,MIN(A158,Career_History!E13)-Career_History!D13+1),0))/365.2425</f>
        <v>12.999582469181433</v>
      </c>
      <c r="Q158" s="9"/>
      <c r="R158" s="9"/>
      <c r="S158" s="9"/>
      <c r="T158" s="9">
        <f>SUM(IF(Career_History!G16=TRUE,IF(A158&lt;Career_History!D16,0,MIN(A158,Career_History!E16)-Career_History!D16+1),0),IF(Career_History!G17=TRUE,IF(A158&lt;Career_History!D17,0,MIN(A158,Career_History!E17)-Career_History!D17+1),0))/365.2425</f>
        <v>32.50443198696756</v>
      </c>
      <c r="U158" s="9">
        <f>SUM(IF(Career_History!I16=TRUE,IF(A158&lt;Career_History!D16,0,MIN(A158,Career_History!E16)-Career_History!D16+1),0),IF(Career_History!I17=TRUE,IF(A158&lt;Career_History!D17,0,MIN(A158,Career_History!E17)-Career_History!D17+1),0))/365.2425</f>
        <v>21.506259539894728</v>
      </c>
      <c r="V158" s="9">
        <f>SUM(IF(Career_History!H16=TRUE,IF(A158&lt;Career_History!D16,0,MIN(A158,Career_History!E16)-Career_History!D16+1),0),IF(Career_History!H17=TRUE,IF(A158&lt;Career_History!D17,0,MIN(A158,Career_History!E17)-Career_History!D17+1),0))/365.2425</f>
        <v>32.50443198696756</v>
      </c>
      <c r="W158" s="9">
        <f>SUM(IF(Career_History!G18=TRUE,IF(A158&lt;Career_History!D18,0,MIN(A158,Career_History!E18)-Career_History!D18+1),0),IF(Career_History!G19=TRUE,IF(A158&lt;Career_History!D19,0,MIN(A158,Career_History!E19)-Career_History!D19+1),0),IF(Career_History!G20=TRUE,IF(A158&lt;Career_History!D20,0,MIN(A158,Career_History!E20)-Career_History!D20+1),0))/365.2425</f>
        <v>39.502522296830186</v>
      </c>
      <c r="X158" s="9">
        <f>SUM(IF(Career_History!I18=TRUE,IF(A158&lt;Career_History!D18,0,MIN(A158,Career_History!E18)-Career_History!D18+1),0),IF(Career_History!I19=TRUE,IF(A158&lt;Career_History!D19,0,MIN(A158,Career_History!E19)-Career_History!D19+1),0),IF(Career_History!I20=TRUE,IF(A158&lt;Career_History!D20,0,MIN(A158,Career_History!E20)-Career_History!D20+1),0))/365.2425</f>
        <v>0</v>
      </c>
      <c r="Y158" s="9">
        <f>SUM(IF(Career_History!H18=TRUE,IF(A158&lt;Career_History!D18,0,MIN(A158,Career_History!E18)-Career_History!D18+1),0),IF(Career_History!H19=TRUE,IF(A158&lt;Career_History!D19,0,MIN(A158,Career_History!E19)-Career_History!D19+1),0),IF(Career_History!H20=TRUE,IF(A158&lt;Career_History!D20,0,MIN(A158,Career_History!E20)-Career_History!D20+1),0))/365.2425</f>
        <v>9.9249129003333394</v>
      </c>
      <c r="Z158" s="9">
        <f>SUM(IF(Career_History!G21=TRUE,IF(A158&lt;Career_History!D21,0,MIN(A158,Career_History!E21)-Career_History!D21+1),0),IF(Career_History!G22=TRUE,IF(A158&lt;Career_History!D22,0,MIN(A158,Career_History!E22)-Career_History!D22+1),0),IF(Career_History!G23=TRUE,IF(A158&lt;Career_History!D23,0,MIN(A158,Career_History!E23)-Career_History!D23+1),0),IF(Career_History!G24=TRUE,IF(A158&lt;Career_History!D24,0,MIN(A158,Career_History!E24)-Career_History!D24+1),0))/365.2425</f>
        <v>36.504514124177774</v>
      </c>
      <c r="AA158" s="9">
        <f>SUM(IF(Career_History!I21=TRUE,IF(A158&lt;Career_History!D21,0,MIN(A158,Career_History!E21)-Career_History!D21+1),0),IF(Career_History!I22=TRUE,IF(A158&lt;Career_History!D22,0,MIN(A158,Career_History!E22)-Career_History!D22+1),0),IF(Career_History!I23=TRUE,IF(A158&lt;Career_History!D23,0,MIN(A158,Career_History!E23)-Career_History!D23+1),0),IF(Career_History!I24=TRUE,IF(A158&lt;Career_History!D24,0,MIN(A158,Career_History!E24)-Career_History!D24+1),0))/365.2425</f>
        <v>26.505677734655741</v>
      </c>
      <c r="AB158" s="9">
        <f>SUM(IF(Career_History!H21=TRUE,IF(A158&lt;Career_History!D21,0,MIN(A158,Career_History!E21)-Career_History!D21+1),0),IF(Career_History!H22=TRUE,IF(A158&lt;Career_History!D22,0,MIN(A158,Career_History!E22)-Career_History!D22+1),0),IF(Career_History!H23=TRUE,IF(A158&lt;Career_History!D23,0,MIN(A158,Career_History!E23)-Career_History!D23+1),0),IF(Career_History!H24=TRUE,IF(A158&lt;Career_History!D24,0,MIN(A158,Career_History!E24)-Career_History!D24+1),0))/365.2425</f>
        <v>27.420138674989904</v>
      </c>
      <c r="AC158" s="9">
        <f>SUM(IF(Career_History!G25=TRUE,IF(A158&lt;Career_History!D25,0,MIN(A158,Career_History!E25)-Career_History!D25+1),0),IF(Career_History!G26=TRUE,IF(A158&lt;Career_History!D26,0,MIN(A158,Career_History!E26)-Career_History!D26+1),0),IF(Career_History!G27=TRUE,IF(A158&lt;Career_History!D27,0,MIN(A158,Career_History!E27)-Career_History!D27+1),0),IF(Career_History!G28=TRUE,IF(A158&lt;Career_History!D28,0,MIN(A158,Career_History!E28)-Career_History!D28+1),0),IF(Career_History!G29=TRUE,IF(A158&lt;Career_History!D29,0,MIN(A158,Career_History!E29)-Career_History!D29+1),0))/365.2425</f>
        <v>34.503104102069173</v>
      </c>
      <c r="AD158" s="9">
        <f>SUM(IF(Career_History!I25=TRUE,IF(A158&lt;Career_History!D25,0,MIN(A158,Career_History!E25)-Career_History!D25+1),0),IF(Career_History!I26=TRUE,IF(A158&lt;Career_History!D26,0,MIN(A158,Career_History!E26)-Career_History!D26+1),0),IF(Career_History!I27=TRUE,IF(A158&lt;Career_History!D27,0,MIN(A158,Career_History!E27)-Career_History!D27+1),0),IF(Career_History!I28=TRUE,IF(A158&lt;Career_History!D28,0,MIN(A158,Career_History!E28)-Career_History!D28+1),0),IF(Career_History!I29=TRUE,IF(A158&lt;Career_History!D29,0,MIN(A158,Career_History!E29)-Career_History!D29+1),0))/365.2425</f>
        <v>0</v>
      </c>
      <c r="AE158" s="9">
        <f>SUM(IF(Career_History!H25=TRUE,IF(A158&lt;Career_History!D25,0,MIN(A158,Career_History!E25)-Career_History!D25+1),0),IF(Career_History!H26=TRUE,IF(A158&lt;Career_History!D26,0,MIN(A158,Career_History!E26)-Career_History!D26+1),0),IF(Career_History!H27=TRUE,IF(A158&lt;Career_History!D27,0,MIN(A158,Career_History!E27)-Career_History!D27+1),0),IF(Career_History!H28=TRUE,IF(A158&lt;Career_History!D28,0,MIN(A158,Career_History!E28)-Career_History!D28+1),0),IF(Career_History!H29=TRUE,IF(A158&lt;Career_History!D29,0,MIN(A158,Career_History!E29)-Career_History!D29+1),0))/365.2425</f>
        <v>21.999082801152657</v>
      </c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</row>
    <row r="159" spans="1:67">
      <c r="A159" s="8">
        <v>39478</v>
      </c>
      <c r="B159" s="9">
        <f t="shared" si="6"/>
        <v>35.988692444061137</v>
      </c>
      <c r="C159" s="9">
        <f t="shared" si="7"/>
        <v>9.6023874549100938</v>
      </c>
      <c r="D159" s="9">
        <f t="shared" si="8"/>
        <v>21.054504883741622</v>
      </c>
      <c r="E159" s="9"/>
      <c r="F159" s="9"/>
      <c r="G159" s="9"/>
      <c r="H159" s="9"/>
      <c r="I159" s="9"/>
      <c r="J159" s="9"/>
      <c r="K159" s="9"/>
      <c r="L159" s="9"/>
      <c r="M159" s="9"/>
      <c r="N159" s="9">
        <f>SUM(IF(Career_History!G12=TRUE,IF(A159&lt;Career_History!D12,0,MIN(A159,Career_History!E12)-Career_History!D12+1),0),IF(Career_History!G13=TRUE,IF(A159&lt;Career_History!D13,0,MIN(A159,Career_History!E13)-Career_History!D13+1),0))/365.2425</f>
        <v>36.589389241394414</v>
      </c>
      <c r="O159" s="9">
        <f>SUM(IF(Career_History!I12=TRUE,IF(A159&lt;Career_History!D12,0,MIN(A159,Career_History!E12)-Career_History!D12+1),0),IF(Career_History!I13=TRUE,IF(A159&lt;Career_History!D13,0,MIN(A159,Career_History!E13)-Career_History!D13+1),0))/365.2425</f>
        <v>0</v>
      </c>
      <c r="P159" s="9">
        <f>SUM(IF(Career_History!H12=TRUE,IF(A159&lt;Career_History!D12,0,MIN(A159,Career_History!E12)-Career_History!D12+1),0),IF(Career_History!H13=TRUE,IF(A159&lt;Career_History!D13,0,MIN(A159,Career_History!E13)-Career_History!D13+1),0))/365.2425</f>
        <v>13.084457586398077</v>
      </c>
      <c r="Q159" s="9"/>
      <c r="R159" s="9"/>
      <c r="S159" s="9"/>
      <c r="T159" s="9">
        <f>SUM(IF(Career_History!G16=TRUE,IF(A159&lt;Career_History!D16,0,MIN(A159,Career_History!E16)-Career_History!D16+1),0),IF(Career_History!G17=TRUE,IF(A159&lt;Career_History!D17,0,MIN(A159,Career_History!E17)-Career_History!D17+1),0))/365.2425</f>
        <v>32.589307104184208</v>
      </c>
      <c r="U159" s="9">
        <f>SUM(IF(Career_History!I16=TRUE,IF(A159&lt;Career_History!D16,0,MIN(A159,Career_History!E16)-Career_History!D16+1),0),IF(Career_History!I17=TRUE,IF(A159&lt;Career_History!D17,0,MIN(A159,Career_History!E17)-Career_History!D17+1),0))/365.2425</f>
        <v>21.506259539894728</v>
      </c>
      <c r="V159" s="9">
        <f>SUM(IF(Career_History!H16=TRUE,IF(A159&lt;Career_History!D16,0,MIN(A159,Career_History!E16)-Career_History!D16+1),0),IF(Career_History!H17=TRUE,IF(A159&lt;Career_History!D17,0,MIN(A159,Career_History!E17)-Career_History!D17+1),0))/365.2425</f>
        <v>32.589307104184208</v>
      </c>
      <c r="W159" s="9">
        <f>SUM(IF(Career_History!G18=TRUE,IF(A159&lt;Career_History!D18,0,MIN(A159,Career_History!E18)-Career_History!D18+1),0),IF(Career_History!G19=TRUE,IF(A159&lt;Career_History!D19,0,MIN(A159,Career_History!E19)-Career_History!D19+1),0),IF(Career_History!G20=TRUE,IF(A159&lt;Career_History!D20,0,MIN(A159,Career_History!E20)-Career_History!D20+1),0))/365.2425</f>
        <v>39.587397414046833</v>
      </c>
      <c r="X159" s="9">
        <f>SUM(IF(Career_History!I18=TRUE,IF(A159&lt;Career_History!D18,0,MIN(A159,Career_History!E18)-Career_History!D18+1),0),IF(Career_History!I19=TRUE,IF(A159&lt;Career_History!D19,0,MIN(A159,Career_History!E19)-Career_History!D19+1),0),IF(Career_History!I20=TRUE,IF(A159&lt;Career_History!D20,0,MIN(A159,Career_History!E20)-Career_History!D20+1),0))/365.2425</f>
        <v>0</v>
      </c>
      <c r="Y159" s="9">
        <f>SUM(IF(Career_History!H18=TRUE,IF(A159&lt;Career_History!D18,0,MIN(A159,Career_History!E18)-Career_History!D18+1),0),IF(Career_History!H19=TRUE,IF(A159&lt;Career_History!D19,0,MIN(A159,Career_History!E19)-Career_History!D19+1),0),IF(Career_History!H20=TRUE,IF(A159&lt;Career_History!D20,0,MIN(A159,Career_History!E20)-Career_History!D20+1),0))/365.2425</f>
        <v>10.009788017549983</v>
      </c>
      <c r="Z159" s="9">
        <f>SUM(IF(Career_History!G21=TRUE,IF(A159&lt;Career_History!D21,0,MIN(A159,Career_History!E21)-Career_History!D21+1),0),IF(Career_History!G22=TRUE,IF(A159&lt;Career_History!D22,0,MIN(A159,Career_History!E22)-Career_History!D22+1),0),IF(Career_History!G23=TRUE,IF(A159&lt;Career_History!D23,0,MIN(A159,Career_History!E23)-Career_History!D23+1),0),IF(Career_History!G24=TRUE,IF(A159&lt;Career_History!D24,0,MIN(A159,Career_History!E24)-Career_History!D24+1),0))/365.2425</f>
        <v>36.589389241394414</v>
      </c>
      <c r="AA159" s="9">
        <f>SUM(IF(Career_History!I21=TRUE,IF(A159&lt;Career_History!D21,0,MIN(A159,Career_History!E21)-Career_History!D21+1),0),IF(Career_History!I22=TRUE,IF(A159&lt;Career_History!D22,0,MIN(A159,Career_History!E22)-Career_History!D22+1),0),IF(Career_History!I23=TRUE,IF(A159&lt;Career_History!D23,0,MIN(A159,Career_History!E23)-Career_History!D23+1),0),IF(Career_History!I24=TRUE,IF(A159&lt;Career_History!D24,0,MIN(A159,Career_History!E24)-Career_History!D24+1),0))/365.2425</f>
        <v>26.505677734655741</v>
      </c>
      <c r="AB159" s="9">
        <f>SUM(IF(Career_History!H21=TRUE,IF(A159&lt;Career_History!D21,0,MIN(A159,Career_History!E21)-Career_History!D21+1),0),IF(Career_History!H22=TRUE,IF(A159&lt;Career_History!D22,0,MIN(A159,Career_History!E22)-Career_History!D22+1),0),IF(Career_History!H23=TRUE,IF(A159&lt;Career_History!D23,0,MIN(A159,Career_History!E23)-Career_History!D23+1),0),IF(Career_History!H24=TRUE,IF(A159&lt;Career_History!D24,0,MIN(A159,Career_History!E24)-Career_History!D24+1),0))/365.2425</f>
        <v>27.505013792206547</v>
      </c>
      <c r="AC159" s="9">
        <f>SUM(IF(Career_History!G25=TRUE,IF(A159&lt;Career_History!D25,0,MIN(A159,Career_History!E25)-Career_History!D25+1),0),IF(Career_History!G26=TRUE,IF(A159&lt;Career_History!D26,0,MIN(A159,Career_History!E26)-Career_History!D26+1),0),IF(Career_History!G27=TRUE,IF(A159&lt;Career_History!D27,0,MIN(A159,Career_History!E27)-Career_History!D27+1),0),IF(Career_History!G28=TRUE,IF(A159&lt;Career_History!D28,0,MIN(A159,Career_History!E28)-Career_History!D28+1),0),IF(Career_History!G29=TRUE,IF(A159&lt;Career_History!D29,0,MIN(A159,Career_History!E29)-Career_History!D29+1),0))/365.2425</f>
        <v>34.587979219285813</v>
      </c>
      <c r="AD159" s="9">
        <f>SUM(IF(Career_History!I25=TRUE,IF(A159&lt;Career_History!D25,0,MIN(A159,Career_History!E25)-Career_History!D25+1),0),IF(Career_History!I26=TRUE,IF(A159&lt;Career_History!D26,0,MIN(A159,Career_History!E26)-Career_History!D26+1),0),IF(Career_History!I27=TRUE,IF(A159&lt;Career_History!D27,0,MIN(A159,Career_History!E27)-Career_History!D27+1),0),IF(Career_History!I28=TRUE,IF(A159&lt;Career_History!D28,0,MIN(A159,Career_History!E28)-Career_History!D28+1),0),IF(Career_History!I29=TRUE,IF(A159&lt;Career_History!D29,0,MIN(A159,Career_History!E29)-Career_History!D29+1),0))/365.2425</f>
        <v>0</v>
      </c>
      <c r="AE159" s="9">
        <f>SUM(IF(Career_History!H25=TRUE,IF(A159&lt;Career_History!D25,0,MIN(A159,Career_History!E25)-Career_History!D25+1),0),IF(Career_History!H26=TRUE,IF(A159&lt;Career_History!D26,0,MIN(A159,Career_History!E26)-Career_History!D26+1),0),IF(Career_History!H27=TRUE,IF(A159&lt;Career_History!D27,0,MIN(A159,Career_History!E27)-Career_History!D27+1),0),IF(Career_History!H28=TRUE,IF(A159&lt;Career_History!D28,0,MIN(A159,Career_History!E28)-Career_History!D28+1),0),IF(Career_History!H29=TRUE,IF(A159&lt;Career_History!D29,0,MIN(A159,Career_History!E29)-Career_History!D29+1),0))/365.2425</f>
        <v>22.0839579183693</v>
      </c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</row>
    <row r="160" spans="1:67">
      <c r="A160" s="8">
        <v>39507</v>
      </c>
      <c r="B160" s="9">
        <f t="shared" si="6"/>
        <v>36.068091747263807</v>
      </c>
      <c r="C160" s="9">
        <f t="shared" si="7"/>
        <v>9.6023874549100938</v>
      </c>
      <c r="D160" s="9">
        <f t="shared" si="8"/>
        <v>21.133904186944289</v>
      </c>
      <c r="E160" s="9"/>
      <c r="F160" s="9"/>
      <c r="G160" s="9"/>
      <c r="H160" s="9"/>
      <c r="I160" s="9"/>
      <c r="J160" s="9"/>
      <c r="K160" s="9"/>
      <c r="L160" s="9"/>
      <c r="M160" s="9"/>
      <c r="N160" s="9">
        <f>SUM(IF(Career_History!G12=TRUE,IF(A160&lt;Career_History!D12,0,MIN(A160,Career_History!E12)-Career_History!D12+1),0),IF(Career_History!G13=TRUE,IF(A160&lt;Career_History!D13,0,MIN(A160,Career_History!E13)-Career_History!D13+1),0))/365.2425</f>
        <v>36.668788544597085</v>
      </c>
      <c r="O160" s="9">
        <f>SUM(IF(Career_History!I12=TRUE,IF(A160&lt;Career_History!D12,0,MIN(A160,Career_History!E12)-Career_History!D12+1),0),IF(Career_History!I13=TRUE,IF(A160&lt;Career_History!D13,0,MIN(A160,Career_History!E13)-Career_History!D13+1),0))/365.2425</f>
        <v>0</v>
      </c>
      <c r="P160" s="9">
        <f>SUM(IF(Career_History!H12=TRUE,IF(A160&lt;Career_History!D12,0,MIN(A160,Career_History!E12)-Career_History!D12+1),0),IF(Career_History!H13=TRUE,IF(A160&lt;Career_History!D13,0,MIN(A160,Career_History!E13)-Career_History!D13+1),0))/365.2425</f>
        <v>13.163856889600744</v>
      </c>
      <c r="Q160" s="9"/>
      <c r="R160" s="9"/>
      <c r="S160" s="9"/>
      <c r="T160" s="9">
        <f>SUM(IF(Career_History!G16=TRUE,IF(A160&lt;Career_History!D16,0,MIN(A160,Career_History!E16)-Career_History!D16+1),0),IF(Career_History!G17=TRUE,IF(A160&lt;Career_History!D17,0,MIN(A160,Career_History!E17)-Career_History!D17+1),0))/365.2425</f>
        <v>32.668706407386871</v>
      </c>
      <c r="U160" s="9">
        <f>SUM(IF(Career_History!I16=TRUE,IF(A160&lt;Career_History!D16,0,MIN(A160,Career_History!E16)-Career_History!D16+1),0),IF(Career_History!I17=TRUE,IF(A160&lt;Career_History!D17,0,MIN(A160,Career_History!E17)-Career_History!D17+1),0))/365.2425</f>
        <v>21.506259539894728</v>
      </c>
      <c r="V160" s="9">
        <f>SUM(IF(Career_History!H16=TRUE,IF(A160&lt;Career_History!D16,0,MIN(A160,Career_History!E16)-Career_History!D16+1),0),IF(Career_History!H17=TRUE,IF(A160&lt;Career_History!D17,0,MIN(A160,Career_History!E17)-Career_History!D17+1),0))/365.2425</f>
        <v>32.668706407386871</v>
      </c>
      <c r="W160" s="9">
        <f>SUM(IF(Career_History!G18=TRUE,IF(A160&lt;Career_History!D18,0,MIN(A160,Career_History!E18)-Career_History!D18+1),0),IF(Career_History!G19=TRUE,IF(A160&lt;Career_History!D19,0,MIN(A160,Career_History!E19)-Career_History!D19+1),0),IF(Career_History!G20=TRUE,IF(A160&lt;Career_History!D20,0,MIN(A160,Career_History!E20)-Career_History!D20+1),0))/365.2425</f>
        <v>39.666796717249497</v>
      </c>
      <c r="X160" s="9">
        <f>SUM(IF(Career_History!I18=TRUE,IF(A160&lt;Career_History!D18,0,MIN(A160,Career_History!E18)-Career_History!D18+1),0),IF(Career_History!I19=TRUE,IF(A160&lt;Career_History!D19,0,MIN(A160,Career_History!E19)-Career_History!D19+1),0),IF(Career_History!I20=TRUE,IF(A160&lt;Career_History!D20,0,MIN(A160,Career_History!E20)-Career_History!D20+1),0))/365.2425</f>
        <v>0</v>
      </c>
      <c r="Y160" s="9">
        <f>SUM(IF(Career_History!H18=TRUE,IF(A160&lt;Career_History!D18,0,MIN(A160,Career_History!E18)-Career_History!D18+1),0),IF(Career_History!H19=TRUE,IF(A160&lt;Career_History!D19,0,MIN(A160,Career_History!E19)-Career_History!D19+1),0),IF(Career_History!H20=TRUE,IF(A160&lt;Career_History!D20,0,MIN(A160,Career_History!E20)-Career_History!D20+1),0))/365.2425</f>
        <v>10.08918732075265</v>
      </c>
      <c r="Z160" s="9">
        <f>SUM(IF(Career_History!G21=TRUE,IF(A160&lt;Career_History!D21,0,MIN(A160,Career_History!E21)-Career_History!D21+1),0),IF(Career_History!G22=TRUE,IF(A160&lt;Career_History!D22,0,MIN(A160,Career_History!E22)-Career_History!D22+1),0),IF(Career_History!G23=TRUE,IF(A160&lt;Career_History!D23,0,MIN(A160,Career_History!E23)-Career_History!D23+1),0),IF(Career_History!G24=TRUE,IF(A160&lt;Career_History!D24,0,MIN(A160,Career_History!E24)-Career_History!D24+1),0))/365.2425</f>
        <v>36.668788544597085</v>
      </c>
      <c r="AA160" s="9">
        <f>SUM(IF(Career_History!I21=TRUE,IF(A160&lt;Career_History!D21,0,MIN(A160,Career_History!E21)-Career_History!D21+1),0),IF(Career_History!I22=TRUE,IF(A160&lt;Career_History!D22,0,MIN(A160,Career_History!E22)-Career_History!D22+1),0),IF(Career_History!I23=TRUE,IF(A160&lt;Career_History!D23,0,MIN(A160,Career_History!E23)-Career_History!D23+1),0),IF(Career_History!I24=TRUE,IF(A160&lt;Career_History!D24,0,MIN(A160,Career_History!E24)-Career_History!D24+1),0))/365.2425</f>
        <v>26.505677734655741</v>
      </c>
      <c r="AB160" s="9">
        <f>SUM(IF(Career_History!H21=TRUE,IF(A160&lt;Career_History!D21,0,MIN(A160,Career_History!E21)-Career_History!D21+1),0),IF(Career_History!H22=TRUE,IF(A160&lt;Career_History!D22,0,MIN(A160,Career_History!E22)-Career_History!D22+1),0),IF(Career_History!H23=TRUE,IF(A160&lt;Career_History!D23,0,MIN(A160,Career_History!E23)-Career_History!D23+1),0),IF(Career_History!H24=TRUE,IF(A160&lt;Career_History!D24,0,MIN(A160,Career_History!E24)-Career_History!D24+1),0))/365.2425</f>
        <v>27.584413095409214</v>
      </c>
      <c r="AC160" s="9">
        <f>SUM(IF(Career_History!G25=TRUE,IF(A160&lt;Career_History!D25,0,MIN(A160,Career_History!E25)-Career_History!D25+1),0),IF(Career_History!G26=TRUE,IF(A160&lt;Career_History!D26,0,MIN(A160,Career_History!E26)-Career_History!D26+1),0),IF(Career_History!G27=TRUE,IF(A160&lt;Career_History!D27,0,MIN(A160,Career_History!E27)-Career_History!D27+1),0),IF(Career_History!G28=TRUE,IF(A160&lt;Career_History!D28,0,MIN(A160,Career_History!E28)-Career_History!D28+1),0),IF(Career_History!G29=TRUE,IF(A160&lt;Career_History!D29,0,MIN(A160,Career_History!E29)-Career_History!D29+1),0))/365.2425</f>
        <v>34.667378522488484</v>
      </c>
      <c r="AD160" s="9">
        <f>SUM(IF(Career_History!I25=TRUE,IF(A160&lt;Career_History!D25,0,MIN(A160,Career_History!E25)-Career_History!D25+1),0),IF(Career_History!I26=TRUE,IF(A160&lt;Career_History!D26,0,MIN(A160,Career_History!E26)-Career_History!D26+1),0),IF(Career_History!I27=TRUE,IF(A160&lt;Career_History!D27,0,MIN(A160,Career_History!E27)-Career_History!D27+1),0),IF(Career_History!I28=TRUE,IF(A160&lt;Career_History!D28,0,MIN(A160,Career_History!E28)-Career_History!D28+1),0),IF(Career_History!I29=TRUE,IF(A160&lt;Career_History!D29,0,MIN(A160,Career_History!E29)-Career_History!D29+1),0))/365.2425</f>
        <v>0</v>
      </c>
      <c r="AE160" s="9">
        <f>SUM(IF(Career_History!H25=TRUE,IF(A160&lt;Career_History!D25,0,MIN(A160,Career_History!E25)-Career_History!D25+1),0),IF(Career_History!H26=TRUE,IF(A160&lt;Career_History!D26,0,MIN(A160,Career_History!E26)-Career_History!D26+1),0),IF(Career_History!H27=TRUE,IF(A160&lt;Career_History!D27,0,MIN(A160,Career_History!E27)-Career_History!D27+1),0),IF(Career_History!H28=TRUE,IF(A160&lt;Career_History!D28,0,MIN(A160,Career_History!E28)-Career_History!D28+1),0),IF(Career_History!H29=TRUE,IF(A160&lt;Career_History!D29,0,MIN(A160,Career_History!E29)-Career_History!D29+1),0))/365.2425</f>
        <v>22.163357221571967</v>
      </c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</row>
    <row r="161" spans="1:67">
      <c r="A161" s="8">
        <v>39538</v>
      </c>
      <c r="B161" s="9">
        <f t="shared" si="6"/>
        <v>36.152966864480447</v>
      </c>
      <c r="C161" s="9">
        <f t="shared" si="7"/>
        <v>9.6023874549100938</v>
      </c>
      <c r="D161" s="9">
        <f t="shared" si="8"/>
        <v>21.218779304160936</v>
      </c>
      <c r="E161" s="9"/>
      <c r="F161" s="9"/>
      <c r="G161" s="9"/>
      <c r="H161" s="9"/>
      <c r="I161" s="9"/>
      <c r="J161" s="9"/>
      <c r="K161" s="9"/>
      <c r="L161" s="9"/>
      <c r="M161" s="9"/>
      <c r="N161" s="9">
        <f>SUM(IF(Career_History!G12=TRUE,IF(A161&lt;Career_History!D12,0,MIN(A161,Career_History!E12)-Career_History!D12+1),0),IF(Career_History!G13=TRUE,IF(A161&lt;Career_History!D13,0,MIN(A161,Career_History!E13)-Career_History!D13+1),0))/365.2425</f>
        <v>36.753663661813725</v>
      </c>
      <c r="O161" s="9">
        <f>SUM(IF(Career_History!I12=TRUE,IF(A161&lt;Career_History!D12,0,MIN(A161,Career_History!E12)-Career_History!D12+1),0),IF(Career_History!I13=TRUE,IF(A161&lt;Career_History!D13,0,MIN(A161,Career_History!E13)-Career_History!D13+1),0))/365.2425</f>
        <v>0</v>
      </c>
      <c r="P161" s="9">
        <f>SUM(IF(Career_History!H12=TRUE,IF(A161&lt;Career_History!D12,0,MIN(A161,Career_History!E12)-Career_History!D12+1),0),IF(Career_History!H13=TRUE,IF(A161&lt;Career_History!D13,0,MIN(A161,Career_History!E13)-Career_History!D13+1),0))/365.2425</f>
        <v>13.248732006817388</v>
      </c>
      <c r="Q161" s="9"/>
      <c r="R161" s="9"/>
      <c r="S161" s="9"/>
      <c r="T161" s="9">
        <f>SUM(IF(Career_History!G16=TRUE,IF(A161&lt;Career_History!D16,0,MIN(A161,Career_History!E16)-Career_History!D16+1),0),IF(Career_History!G17=TRUE,IF(A161&lt;Career_History!D17,0,MIN(A161,Career_History!E17)-Career_History!D17+1),0))/365.2425</f>
        <v>32.753581524603518</v>
      </c>
      <c r="U161" s="9">
        <f>SUM(IF(Career_History!I16=TRUE,IF(A161&lt;Career_History!D16,0,MIN(A161,Career_History!E16)-Career_History!D16+1),0),IF(Career_History!I17=TRUE,IF(A161&lt;Career_History!D17,0,MIN(A161,Career_History!E17)-Career_History!D17+1),0))/365.2425</f>
        <v>21.506259539894728</v>
      </c>
      <c r="V161" s="9">
        <f>SUM(IF(Career_History!H16=TRUE,IF(A161&lt;Career_History!D16,0,MIN(A161,Career_History!E16)-Career_History!D16+1),0),IF(Career_History!H17=TRUE,IF(A161&lt;Career_History!D17,0,MIN(A161,Career_History!E17)-Career_History!D17+1),0))/365.2425</f>
        <v>32.753581524603518</v>
      </c>
      <c r="W161" s="9">
        <f>SUM(IF(Career_History!G18=TRUE,IF(A161&lt;Career_History!D18,0,MIN(A161,Career_History!E18)-Career_History!D18+1),0),IF(Career_History!G19=TRUE,IF(A161&lt;Career_History!D19,0,MIN(A161,Career_History!E19)-Career_History!D19+1),0),IF(Career_History!G20=TRUE,IF(A161&lt;Career_History!D20,0,MIN(A161,Career_History!E20)-Career_History!D20+1),0))/365.2425</f>
        <v>39.751671834466144</v>
      </c>
      <c r="X161" s="9">
        <f>SUM(IF(Career_History!I18=TRUE,IF(A161&lt;Career_History!D18,0,MIN(A161,Career_History!E18)-Career_History!D18+1),0),IF(Career_History!I19=TRUE,IF(A161&lt;Career_History!D19,0,MIN(A161,Career_History!E19)-Career_History!D19+1),0),IF(Career_History!I20=TRUE,IF(A161&lt;Career_History!D20,0,MIN(A161,Career_History!E20)-Career_History!D20+1),0))/365.2425</f>
        <v>0</v>
      </c>
      <c r="Y161" s="9">
        <f>SUM(IF(Career_History!H18=TRUE,IF(A161&lt;Career_History!D18,0,MIN(A161,Career_History!E18)-Career_History!D18+1),0),IF(Career_History!H19=TRUE,IF(A161&lt;Career_History!D19,0,MIN(A161,Career_History!E19)-Career_History!D19+1),0),IF(Career_History!H20=TRUE,IF(A161&lt;Career_History!D20,0,MIN(A161,Career_History!E20)-Career_History!D20+1),0))/365.2425</f>
        <v>10.174062437969294</v>
      </c>
      <c r="Z161" s="9">
        <f>SUM(IF(Career_History!G21=TRUE,IF(A161&lt;Career_History!D21,0,MIN(A161,Career_History!E21)-Career_History!D21+1),0),IF(Career_History!G22=TRUE,IF(A161&lt;Career_History!D22,0,MIN(A161,Career_History!E22)-Career_History!D22+1),0),IF(Career_History!G23=TRUE,IF(A161&lt;Career_History!D23,0,MIN(A161,Career_History!E23)-Career_History!D23+1),0),IF(Career_History!G24=TRUE,IF(A161&lt;Career_History!D24,0,MIN(A161,Career_History!E24)-Career_History!D24+1),0))/365.2425</f>
        <v>36.753663661813725</v>
      </c>
      <c r="AA161" s="9">
        <f>SUM(IF(Career_History!I21=TRUE,IF(A161&lt;Career_History!D21,0,MIN(A161,Career_History!E21)-Career_History!D21+1),0),IF(Career_History!I22=TRUE,IF(A161&lt;Career_History!D22,0,MIN(A161,Career_History!E22)-Career_History!D22+1),0),IF(Career_History!I23=TRUE,IF(A161&lt;Career_History!D23,0,MIN(A161,Career_History!E23)-Career_History!D23+1),0),IF(Career_History!I24=TRUE,IF(A161&lt;Career_History!D24,0,MIN(A161,Career_History!E24)-Career_History!D24+1),0))/365.2425</f>
        <v>26.505677734655741</v>
      </c>
      <c r="AB161" s="9">
        <f>SUM(IF(Career_History!H21=TRUE,IF(A161&lt;Career_History!D21,0,MIN(A161,Career_History!E21)-Career_History!D21+1),0),IF(Career_History!H22=TRUE,IF(A161&lt;Career_History!D22,0,MIN(A161,Career_History!E22)-Career_History!D22+1),0),IF(Career_History!H23=TRUE,IF(A161&lt;Career_History!D23,0,MIN(A161,Career_History!E23)-Career_History!D23+1),0),IF(Career_History!H24=TRUE,IF(A161&lt;Career_History!D24,0,MIN(A161,Career_History!E24)-Career_History!D24+1),0))/365.2425</f>
        <v>27.669288212625858</v>
      </c>
      <c r="AC161" s="9">
        <f>SUM(IF(Career_History!G25=TRUE,IF(A161&lt;Career_History!D25,0,MIN(A161,Career_History!E25)-Career_History!D25+1),0),IF(Career_History!G26=TRUE,IF(A161&lt;Career_History!D26,0,MIN(A161,Career_History!E26)-Career_History!D26+1),0),IF(Career_History!G27=TRUE,IF(A161&lt;Career_History!D27,0,MIN(A161,Career_History!E27)-Career_History!D27+1),0),IF(Career_History!G28=TRUE,IF(A161&lt;Career_History!D28,0,MIN(A161,Career_History!E28)-Career_History!D28+1),0),IF(Career_History!G29=TRUE,IF(A161&lt;Career_History!D29,0,MIN(A161,Career_History!E29)-Career_History!D29+1),0))/365.2425</f>
        <v>34.752253639705124</v>
      </c>
      <c r="AD161" s="9">
        <f>SUM(IF(Career_History!I25=TRUE,IF(A161&lt;Career_History!D25,0,MIN(A161,Career_History!E25)-Career_History!D25+1),0),IF(Career_History!I26=TRUE,IF(A161&lt;Career_History!D26,0,MIN(A161,Career_History!E26)-Career_History!D26+1),0),IF(Career_History!I27=TRUE,IF(A161&lt;Career_History!D27,0,MIN(A161,Career_History!E27)-Career_History!D27+1),0),IF(Career_History!I28=TRUE,IF(A161&lt;Career_History!D28,0,MIN(A161,Career_History!E28)-Career_History!D28+1),0),IF(Career_History!I29=TRUE,IF(A161&lt;Career_History!D29,0,MIN(A161,Career_History!E29)-Career_History!D29+1),0))/365.2425</f>
        <v>0</v>
      </c>
      <c r="AE161" s="9">
        <f>SUM(IF(Career_History!H25=TRUE,IF(A161&lt;Career_History!D25,0,MIN(A161,Career_History!E25)-Career_History!D25+1),0),IF(Career_History!H26=TRUE,IF(A161&lt;Career_History!D26,0,MIN(A161,Career_History!E26)-Career_History!D26+1),0),IF(Career_History!H27=TRUE,IF(A161&lt;Career_History!D27,0,MIN(A161,Career_History!E27)-Career_History!D27+1),0),IF(Career_History!H28=TRUE,IF(A161&lt;Career_History!D28,0,MIN(A161,Career_History!E28)-Career_History!D28+1),0),IF(Career_History!H29=TRUE,IF(A161&lt;Career_History!D29,0,MIN(A161,Career_History!E29)-Career_History!D29+1),0))/365.2425</f>
        <v>22.248232338788611</v>
      </c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</row>
    <row r="162" spans="1:67">
      <c r="A162" s="8">
        <v>39568</v>
      </c>
      <c r="B162" s="9">
        <f t="shared" si="6"/>
        <v>36.235104074690106</v>
      </c>
      <c r="C162" s="9">
        <f t="shared" si="7"/>
        <v>9.6023874549100938</v>
      </c>
      <c r="D162" s="9">
        <f t="shared" si="8"/>
        <v>21.300916514370588</v>
      </c>
      <c r="E162" s="9"/>
      <c r="F162" s="9"/>
      <c r="G162" s="9"/>
      <c r="H162" s="9"/>
      <c r="I162" s="9"/>
      <c r="J162" s="9"/>
      <c r="K162" s="9"/>
      <c r="L162" s="9"/>
      <c r="M162" s="9"/>
      <c r="N162" s="9">
        <f>SUM(IF(Career_History!G12=TRUE,IF(A162&lt;Career_History!D12,0,MIN(A162,Career_History!E12)-Career_History!D12+1),0),IF(Career_History!G13=TRUE,IF(A162&lt;Career_History!D13,0,MIN(A162,Career_History!E13)-Career_History!D13+1),0))/365.2425</f>
        <v>36.835800872023384</v>
      </c>
      <c r="O162" s="9">
        <f>SUM(IF(Career_History!I12=TRUE,IF(A162&lt;Career_History!D12,0,MIN(A162,Career_History!E12)-Career_History!D12+1),0),IF(Career_History!I13=TRUE,IF(A162&lt;Career_History!D13,0,MIN(A162,Career_History!E13)-Career_History!D13+1),0))/365.2425</f>
        <v>0</v>
      </c>
      <c r="P162" s="9">
        <f>SUM(IF(Career_History!H12=TRUE,IF(A162&lt;Career_History!D12,0,MIN(A162,Career_History!E12)-Career_History!D12+1),0),IF(Career_History!H13=TRUE,IF(A162&lt;Career_History!D13,0,MIN(A162,Career_History!E13)-Career_History!D13+1),0))/365.2425</f>
        <v>13.330869217027043</v>
      </c>
      <c r="Q162" s="9"/>
      <c r="R162" s="9"/>
      <c r="S162" s="9"/>
      <c r="T162" s="9">
        <f>SUM(IF(Career_History!G16=TRUE,IF(A162&lt;Career_History!D16,0,MIN(A162,Career_History!E16)-Career_History!D16+1),0),IF(Career_History!G17=TRUE,IF(A162&lt;Career_History!D17,0,MIN(A162,Career_History!E17)-Career_History!D17+1),0))/365.2425</f>
        <v>32.83571873481317</v>
      </c>
      <c r="U162" s="9">
        <f>SUM(IF(Career_History!I16=TRUE,IF(A162&lt;Career_History!D16,0,MIN(A162,Career_History!E16)-Career_History!D16+1),0),IF(Career_History!I17=TRUE,IF(A162&lt;Career_History!D17,0,MIN(A162,Career_History!E17)-Career_History!D17+1),0))/365.2425</f>
        <v>21.506259539894728</v>
      </c>
      <c r="V162" s="9">
        <f>SUM(IF(Career_History!H16=TRUE,IF(A162&lt;Career_History!D16,0,MIN(A162,Career_History!E16)-Career_History!D16+1),0),IF(Career_History!H17=TRUE,IF(A162&lt;Career_History!D17,0,MIN(A162,Career_History!E17)-Career_History!D17+1),0))/365.2425</f>
        <v>32.83571873481317</v>
      </c>
      <c r="W162" s="9">
        <f>SUM(IF(Career_History!G18=TRUE,IF(A162&lt;Career_History!D18,0,MIN(A162,Career_History!E18)-Career_History!D18+1),0),IF(Career_History!G19=TRUE,IF(A162&lt;Career_History!D19,0,MIN(A162,Career_History!E19)-Career_History!D19+1),0),IF(Career_History!G20=TRUE,IF(A162&lt;Career_History!D20,0,MIN(A162,Career_History!E20)-Career_History!D20+1),0))/365.2425</f>
        <v>39.833809044675796</v>
      </c>
      <c r="X162" s="9">
        <f>SUM(IF(Career_History!I18=TRUE,IF(A162&lt;Career_History!D18,0,MIN(A162,Career_History!E18)-Career_History!D18+1),0),IF(Career_History!I19=TRUE,IF(A162&lt;Career_History!D19,0,MIN(A162,Career_History!E19)-Career_History!D19+1),0),IF(Career_History!I20=TRUE,IF(A162&lt;Career_History!D20,0,MIN(A162,Career_History!E20)-Career_History!D20+1),0))/365.2425</f>
        <v>0</v>
      </c>
      <c r="Y162" s="9">
        <f>SUM(IF(Career_History!H18=TRUE,IF(A162&lt;Career_History!D18,0,MIN(A162,Career_History!E18)-Career_History!D18+1),0),IF(Career_History!H19=TRUE,IF(A162&lt;Career_History!D19,0,MIN(A162,Career_History!E19)-Career_History!D19+1),0),IF(Career_History!H20=TRUE,IF(A162&lt;Career_History!D20,0,MIN(A162,Career_History!E20)-Career_History!D20+1),0))/365.2425</f>
        <v>10.256199648178949</v>
      </c>
      <c r="Z162" s="9">
        <f>SUM(IF(Career_History!G21=TRUE,IF(A162&lt;Career_History!D21,0,MIN(A162,Career_History!E21)-Career_History!D21+1),0),IF(Career_History!G22=TRUE,IF(A162&lt;Career_History!D22,0,MIN(A162,Career_History!E22)-Career_History!D22+1),0),IF(Career_History!G23=TRUE,IF(A162&lt;Career_History!D23,0,MIN(A162,Career_History!E23)-Career_History!D23+1),0),IF(Career_History!G24=TRUE,IF(A162&lt;Career_History!D24,0,MIN(A162,Career_History!E24)-Career_History!D24+1),0))/365.2425</f>
        <v>36.835800872023384</v>
      </c>
      <c r="AA162" s="9">
        <f>SUM(IF(Career_History!I21=TRUE,IF(A162&lt;Career_History!D21,0,MIN(A162,Career_History!E21)-Career_History!D21+1),0),IF(Career_History!I22=TRUE,IF(A162&lt;Career_History!D22,0,MIN(A162,Career_History!E22)-Career_History!D22+1),0),IF(Career_History!I23=TRUE,IF(A162&lt;Career_History!D23,0,MIN(A162,Career_History!E23)-Career_History!D23+1),0),IF(Career_History!I24=TRUE,IF(A162&lt;Career_History!D24,0,MIN(A162,Career_History!E24)-Career_History!D24+1),0))/365.2425</f>
        <v>26.505677734655741</v>
      </c>
      <c r="AB162" s="9">
        <f>SUM(IF(Career_History!H21=TRUE,IF(A162&lt;Career_History!D21,0,MIN(A162,Career_History!E21)-Career_History!D21+1),0),IF(Career_History!H22=TRUE,IF(A162&lt;Career_History!D22,0,MIN(A162,Career_History!E22)-Career_History!D22+1),0),IF(Career_History!H23=TRUE,IF(A162&lt;Career_History!D23,0,MIN(A162,Career_History!E23)-Career_History!D23+1),0),IF(Career_History!H24=TRUE,IF(A162&lt;Career_History!D24,0,MIN(A162,Career_History!E24)-Career_History!D24+1),0))/365.2425</f>
        <v>27.751425422835514</v>
      </c>
      <c r="AC162" s="9">
        <f>SUM(IF(Career_History!G25=TRUE,IF(A162&lt;Career_History!D25,0,MIN(A162,Career_History!E25)-Career_History!D25+1),0),IF(Career_History!G26=TRUE,IF(A162&lt;Career_History!D26,0,MIN(A162,Career_History!E26)-Career_History!D26+1),0),IF(Career_History!G27=TRUE,IF(A162&lt;Career_History!D27,0,MIN(A162,Career_History!E27)-Career_History!D27+1),0),IF(Career_History!G28=TRUE,IF(A162&lt;Career_History!D28,0,MIN(A162,Career_History!E28)-Career_History!D28+1),0),IF(Career_History!G29=TRUE,IF(A162&lt;Career_History!D29,0,MIN(A162,Career_History!E29)-Career_History!D29+1),0))/365.2425</f>
        <v>34.834390849914783</v>
      </c>
      <c r="AD162" s="9">
        <f>SUM(IF(Career_History!I25=TRUE,IF(A162&lt;Career_History!D25,0,MIN(A162,Career_History!E25)-Career_History!D25+1),0),IF(Career_History!I26=TRUE,IF(A162&lt;Career_History!D26,0,MIN(A162,Career_History!E26)-Career_History!D26+1),0),IF(Career_History!I27=TRUE,IF(A162&lt;Career_History!D27,0,MIN(A162,Career_History!E27)-Career_History!D27+1),0),IF(Career_History!I28=TRUE,IF(A162&lt;Career_History!D28,0,MIN(A162,Career_History!E28)-Career_History!D28+1),0),IF(Career_History!I29=TRUE,IF(A162&lt;Career_History!D29,0,MIN(A162,Career_History!E29)-Career_History!D29+1),0))/365.2425</f>
        <v>0</v>
      </c>
      <c r="AE162" s="9">
        <f>SUM(IF(Career_History!H25=TRUE,IF(A162&lt;Career_History!D25,0,MIN(A162,Career_History!E25)-Career_History!D25+1),0),IF(Career_History!H26=TRUE,IF(A162&lt;Career_History!D26,0,MIN(A162,Career_History!E26)-Career_History!D26+1),0),IF(Career_History!H27=TRUE,IF(A162&lt;Career_History!D27,0,MIN(A162,Career_History!E27)-Career_History!D27+1),0),IF(Career_History!H28=TRUE,IF(A162&lt;Career_History!D28,0,MIN(A162,Career_History!E28)-Career_History!D28+1),0),IF(Career_History!H29=TRUE,IF(A162&lt;Career_History!D29,0,MIN(A162,Career_History!E29)-Career_History!D29+1),0))/365.2425</f>
        <v>22.330369548998267</v>
      </c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</row>
    <row r="163" spans="1:67">
      <c r="A163" s="8">
        <v>39599</v>
      </c>
      <c r="B163" s="9">
        <f t="shared" si="6"/>
        <v>36.319979191906747</v>
      </c>
      <c r="C163" s="9">
        <f t="shared" si="7"/>
        <v>9.6023874549100938</v>
      </c>
      <c r="D163" s="9">
        <f t="shared" si="8"/>
        <v>21.385791631587232</v>
      </c>
      <c r="E163" s="9"/>
      <c r="F163" s="9"/>
      <c r="G163" s="9"/>
      <c r="H163" s="9"/>
      <c r="I163" s="9"/>
      <c r="J163" s="9"/>
      <c r="K163" s="9"/>
      <c r="L163" s="9"/>
      <c r="M163" s="9"/>
      <c r="N163" s="9">
        <f>SUM(IF(Career_History!G12=TRUE,IF(A163&lt;Career_History!D12,0,MIN(A163,Career_History!E12)-Career_History!D12+1),0),IF(Career_History!G13=TRUE,IF(A163&lt;Career_History!D13,0,MIN(A163,Career_History!E13)-Career_History!D13+1),0))/365.2425</f>
        <v>36.920675989240024</v>
      </c>
      <c r="O163" s="9">
        <f>SUM(IF(Career_History!I12=TRUE,IF(A163&lt;Career_History!D12,0,MIN(A163,Career_History!E12)-Career_History!D12+1),0),IF(Career_History!I13=TRUE,IF(A163&lt;Career_History!D13,0,MIN(A163,Career_History!E13)-Career_History!D13+1),0))/365.2425</f>
        <v>0</v>
      </c>
      <c r="P163" s="9">
        <f>SUM(IF(Career_History!H12=TRUE,IF(A163&lt;Career_History!D12,0,MIN(A163,Career_History!E12)-Career_History!D12+1),0),IF(Career_History!H13=TRUE,IF(A163&lt;Career_History!D13,0,MIN(A163,Career_History!E13)-Career_History!D13+1),0))/365.2425</f>
        <v>13.415744334243687</v>
      </c>
      <c r="Q163" s="9"/>
      <c r="R163" s="9"/>
      <c r="S163" s="9"/>
      <c r="T163" s="9">
        <f>SUM(IF(Career_History!G16=TRUE,IF(A163&lt;Career_History!D16,0,MIN(A163,Career_History!E16)-Career_History!D16+1),0),IF(Career_History!G17=TRUE,IF(A163&lt;Career_History!D17,0,MIN(A163,Career_History!E17)-Career_History!D17+1),0))/365.2425</f>
        <v>32.920593852029818</v>
      </c>
      <c r="U163" s="9">
        <f>SUM(IF(Career_History!I16=TRUE,IF(A163&lt;Career_History!D16,0,MIN(A163,Career_History!E16)-Career_History!D16+1),0),IF(Career_History!I17=TRUE,IF(A163&lt;Career_History!D17,0,MIN(A163,Career_History!E17)-Career_History!D17+1),0))/365.2425</f>
        <v>21.506259539894728</v>
      </c>
      <c r="V163" s="9">
        <f>SUM(IF(Career_History!H16=TRUE,IF(A163&lt;Career_History!D16,0,MIN(A163,Career_History!E16)-Career_History!D16+1),0),IF(Career_History!H17=TRUE,IF(A163&lt;Career_History!D17,0,MIN(A163,Career_History!E17)-Career_History!D17+1),0))/365.2425</f>
        <v>32.920593852029818</v>
      </c>
      <c r="W163" s="9">
        <f>SUM(IF(Career_History!G18=TRUE,IF(A163&lt;Career_History!D18,0,MIN(A163,Career_History!E18)-Career_History!D18+1),0),IF(Career_History!G19=TRUE,IF(A163&lt;Career_History!D19,0,MIN(A163,Career_History!E19)-Career_History!D19+1),0),IF(Career_History!G20=TRUE,IF(A163&lt;Career_History!D20,0,MIN(A163,Career_History!E20)-Career_History!D20+1),0))/365.2425</f>
        <v>39.918684161892443</v>
      </c>
      <c r="X163" s="9">
        <f>SUM(IF(Career_History!I18=TRUE,IF(A163&lt;Career_History!D18,0,MIN(A163,Career_History!E18)-Career_History!D18+1),0),IF(Career_History!I19=TRUE,IF(A163&lt;Career_History!D19,0,MIN(A163,Career_History!E19)-Career_History!D19+1),0),IF(Career_History!I20=TRUE,IF(A163&lt;Career_History!D20,0,MIN(A163,Career_History!E20)-Career_History!D20+1),0))/365.2425</f>
        <v>0</v>
      </c>
      <c r="Y163" s="9">
        <f>SUM(IF(Career_History!H18=TRUE,IF(A163&lt;Career_History!D18,0,MIN(A163,Career_History!E18)-Career_History!D18+1),0),IF(Career_History!H19=TRUE,IF(A163&lt;Career_History!D19,0,MIN(A163,Career_History!E19)-Career_History!D19+1),0),IF(Career_History!H20=TRUE,IF(A163&lt;Career_History!D20,0,MIN(A163,Career_History!E20)-Career_History!D20+1),0))/365.2425</f>
        <v>10.341074765395593</v>
      </c>
      <c r="Z163" s="9">
        <f>SUM(IF(Career_History!G21=TRUE,IF(A163&lt;Career_History!D21,0,MIN(A163,Career_History!E21)-Career_History!D21+1),0),IF(Career_History!G22=TRUE,IF(A163&lt;Career_History!D22,0,MIN(A163,Career_History!E22)-Career_History!D22+1),0),IF(Career_History!G23=TRUE,IF(A163&lt;Career_History!D23,0,MIN(A163,Career_History!E23)-Career_History!D23+1),0),IF(Career_History!G24=TRUE,IF(A163&lt;Career_History!D24,0,MIN(A163,Career_History!E24)-Career_History!D24+1),0))/365.2425</f>
        <v>36.920675989240024</v>
      </c>
      <c r="AA163" s="9">
        <f>SUM(IF(Career_History!I21=TRUE,IF(A163&lt;Career_History!D21,0,MIN(A163,Career_History!E21)-Career_History!D21+1),0),IF(Career_History!I22=TRUE,IF(A163&lt;Career_History!D22,0,MIN(A163,Career_History!E22)-Career_History!D22+1),0),IF(Career_History!I23=TRUE,IF(A163&lt;Career_History!D23,0,MIN(A163,Career_History!E23)-Career_History!D23+1),0),IF(Career_History!I24=TRUE,IF(A163&lt;Career_History!D24,0,MIN(A163,Career_History!E24)-Career_History!D24+1),0))/365.2425</f>
        <v>26.505677734655741</v>
      </c>
      <c r="AB163" s="9">
        <f>SUM(IF(Career_History!H21=TRUE,IF(A163&lt;Career_History!D21,0,MIN(A163,Career_History!E21)-Career_History!D21+1),0),IF(Career_History!H22=TRUE,IF(A163&lt;Career_History!D22,0,MIN(A163,Career_History!E22)-Career_History!D22+1),0),IF(Career_History!H23=TRUE,IF(A163&lt;Career_History!D23,0,MIN(A163,Career_History!E23)-Career_History!D23+1),0),IF(Career_History!H24=TRUE,IF(A163&lt;Career_History!D24,0,MIN(A163,Career_History!E24)-Career_History!D24+1),0))/365.2425</f>
        <v>27.836300540052157</v>
      </c>
      <c r="AC163" s="9">
        <f>SUM(IF(Career_History!G25=TRUE,IF(A163&lt;Career_History!D25,0,MIN(A163,Career_History!E25)-Career_History!D25+1),0),IF(Career_History!G26=TRUE,IF(A163&lt;Career_History!D26,0,MIN(A163,Career_History!E26)-Career_History!D26+1),0),IF(Career_History!G27=TRUE,IF(A163&lt;Career_History!D27,0,MIN(A163,Career_History!E27)-Career_History!D27+1),0),IF(Career_History!G28=TRUE,IF(A163&lt;Career_History!D28,0,MIN(A163,Career_History!E28)-Career_History!D28+1),0),IF(Career_History!G29=TRUE,IF(A163&lt;Career_History!D29,0,MIN(A163,Career_History!E29)-Career_History!D29+1),0))/365.2425</f>
        <v>34.919265967131423</v>
      </c>
      <c r="AD163" s="9">
        <f>SUM(IF(Career_History!I25=TRUE,IF(A163&lt;Career_History!D25,0,MIN(A163,Career_History!E25)-Career_History!D25+1),0),IF(Career_History!I26=TRUE,IF(A163&lt;Career_History!D26,0,MIN(A163,Career_History!E26)-Career_History!D26+1),0),IF(Career_History!I27=TRUE,IF(A163&lt;Career_History!D27,0,MIN(A163,Career_History!E27)-Career_History!D27+1),0),IF(Career_History!I28=TRUE,IF(A163&lt;Career_History!D28,0,MIN(A163,Career_History!E28)-Career_History!D28+1),0),IF(Career_History!I29=TRUE,IF(A163&lt;Career_History!D29,0,MIN(A163,Career_History!E29)-Career_History!D29+1),0))/365.2425</f>
        <v>0</v>
      </c>
      <c r="AE163" s="9">
        <f>SUM(IF(Career_History!H25=TRUE,IF(A163&lt;Career_History!D25,0,MIN(A163,Career_History!E25)-Career_History!D25+1),0),IF(Career_History!H26=TRUE,IF(A163&lt;Career_History!D26,0,MIN(A163,Career_History!E26)-Career_History!D26+1),0),IF(Career_History!H27=TRUE,IF(A163&lt;Career_History!D27,0,MIN(A163,Career_History!E27)-Career_History!D27+1),0),IF(Career_History!H28=TRUE,IF(A163&lt;Career_History!D28,0,MIN(A163,Career_History!E28)-Career_History!D28+1),0),IF(Career_History!H29=TRUE,IF(A163&lt;Career_History!D29,0,MIN(A163,Career_History!E29)-Career_History!D29+1),0))/365.2425</f>
        <v>22.41524466621491</v>
      </c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</row>
    <row r="164" spans="1:67">
      <c r="A164" s="8">
        <v>39629</v>
      </c>
      <c r="B164" s="9">
        <f t="shared" si="6"/>
        <v>36.402116402116398</v>
      </c>
      <c r="C164" s="9">
        <f t="shared" si="7"/>
        <v>9.6023874549100938</v>
      </c>
      <c r="D164" s="9">
        <f t="shared" si="8"/>
        <v>21.467928841796887</v>
      </c>
      <c r="E164" s="9"/>
      <c r="F164" s="9"/>
      <c r="G164" s="9"/>
      <c r="H164" s="9"/>
      <c r="I164" s="9"/>
      <c r="J164" s="9"/>
      <c r="K164" s="9"/>
      <c r="L164" s="9"/>
      <c r="M164" s="9"/>
      <c r="N164" s="9">
        <f>SUM(IF(Career_History!G12=TRUE,IF(A164&lt;Career_History!D12,0,MIN(A164,Career_History!E12)-Career_History!D12+1),0),IF(Career_History!G13=TRUE,IF(A164&lt;Career_History!D13,0,MIN(A164,Career_History!E13)-Career_History!D13+1),0))/365.2425</f>
        <v>37.002813199449683</v>
      </c>
      <c r="O164" s="9">
        <f>SUM(IF(Career_History!I12=TRUE,IF(A164&lt;Career_History!D12,0,MIN(A164,Career_History!E12)-Career_History!D12+1),0),IF(Career_History!I13=TRUE,IF(A164&lt;Career_History!D13,0,MIN(A164,Career_History!E13)-Career_History!D13+1),0))/365.2425</f>
        <v>0</v>
      </c>
      <c r="P164" s="9">
        <f>SUM(IF(Career_History!H12=TRUE,IF(A164&lt;Career_History!D12,0,MIN(A164,Career_History!E12)-Career_History!D12+1),0),IF(Career_History!H13=TRUE,IF(A164&lt;Career_History!D13,0,MIN(A164,Career_History!E13)-Career_History!D13+1),0))/365.2425</f>
        <v>13.497881544453342</v>
      </c>
      <c r="Q164" s="9"/>
      <c r="R164" s="9"/>
      <c r="S164" s="9"/>
      <c r="T164" s="9">
        <f>SUM(IF(Career_History!G16=TRUE,IF(A164&lt;Career_History!D16,0,MIN(A164,Career_History!E16)-Career_History!D16+1),0),IF(Career_History!G17=TRUE,IF(A164&lt;Career_History!D17,0,MIN(A164,Career_History!E17)-Career_History!D17+1),0))/365.2425</f>
        <v>33.002731062239469</v>
      </c>
      <c r="U164" s="9">
        <f>SUM(IF(Career_History!I16=TRUE,IF(A164&lt;Career_History!D16,0,MIN(A164,Career_History!E16)-Career_History!D16+1),0),IF(Career_History!I17=TRUE,IF(A164&lt;Career_History!D17,0,MIN(A164,Career_History!E17)-Career_History!D17+1),0))/365.2425</f>
        <v>21.506259539894728</v>
      </c>
      <c r="V164" s="9">
        <f>SUM(IF(Career_History!H16=TRUE,IF(A164&lt;Career_History!D16,0,MIN(A164,Career_History!E16)-Career_History!D16+1),0),IF(Career_History!H17=TRUE,IF(A164&lt;Career_History!D17,0,MIN(A164,Career_History!E17)-Career_History!D17+1),0))/365.2425</f>
        <v>33.002731062239469</v>
      </c>
      <c r="W164" s="9">
        <f>SUM(IF(Career_History!G18=TRUE,IF(A164&lt;Career_History!D18,0,MIN(A164,Career_History!E18)-Career_History!D18+1),0),IF(Career_History!G19=TRUE,IF(A164&lt;Career_History!D19,0,MIN(A164,Career_History!E19)-Career_History!D19+1),0),IF(Career_History!G20=TRUE,IF(A164&lt;Career_History!D20,0,MIN(A164,Career_History!E20)-Career_History!D20+1),0))/365.2425</f>
        <v>40.000821372102095</v>
      </c>
      <c r="X164" s="9">
        <f>SUM(IF(Career_History!I18=TRUE,IF(A164&lt;Career_History!D18,0,MIN(A164,Career_History!E18)-Career_History!D18+1),0),IF(Career_History!I19=TRUE,IF(A164&lt;Career_History!D19,0,MIN(A164,Career_History!E19)-Career_History!D19+1),0),IF(Career_History!I20=TRUE,IF(A164&lt;Career_History!D20,0,MIN(A164,Career_History!E20)-Career_History!D20+1),0))/365.2425</f>
        <v>0</v>
      </c>
      <c r="Y164" s="9">
        <f>SUM(IF(Career_History!H18=TRUE,IF(A164&lt;Career_History!D18,0,MIN(A164,Career_History!E18)-Career_History!D18+1),0),IF(Career_History!H19=TRUE,IF(A164&lt;Career_History!D19,0,MIN(A164,Career_History!E19)-Career_History!D19+1),0),IF(Career_History!H20=TRUE,IF(A164&lt;Career_History!D20,0,MIN(A164,Career_History!E20)-Career_History!D20+1),0))/365.2425</f>
        <v>10.423211975605248</v>
      </c>
      <c r="Z164" s="9">
        <f>SUM(IF(Career_History!G21=TRUE,IF(A164&lt;Career_History!D21,0,MIN(A164,Career_History!E21)-Career_History!D21+1),0),IF(Career_History!G22=TRUE,IF(A164&lt;Career_History!D22,0,MIN(A164,Career_History!E22)-Career_History!D22+1),0),IF(Career_History!G23=TRUE,IF(A164&lt;Career_History!D23,0,MIN(A164,Career_History!E23)-Career_History!D23+1),0),IF(Career_History!G24=TRUE,IF(A164&lt;Career_History!D24,0,MIN(A164,Career_History!E24)-Career_History!D24+1),0))/365.2425</f>
        <v>37.002813199449683</v>
      </c>
      <c r="AA164" s="9">
        <f>SUM(IF(Career_History!I21=TRUE,IF(A164&lt;Career_History!D21,0,MIN(A164,Career_History!E21)-Career_History!D21+1),0),IF(Career_History!I22=TRUE,IF(A164&lt;Career_History!D22,0,MIN(A164,Career_History!E22)-Career_History!D22+1),0),IF(Career_History!I23=TRUE,IF(A164&lt;Career_History!D23,0,MIN(A164,Career_History!E23)-Career_History!D23+1),0),IF(Career_History!I24=TRUE,IF(A164&lt;Career_History!D24,0,MIN(A164,Career_History!E24)-Career_History!D24+1),0))/365.2425</f>
        <v>26.505677734655741</v>
      </c>
      <c r="AB164" s="9">
        <f>SUM(IF(Career_History!H21=TRUE,IF(A164&lt;Career_History!D21,0,MIN(A164,Career_History!E21)-Career_History!D21+1),0),IF(Career_History!H22=TRUE,IF(A164&lt;Career_History!D22,0,MIN(A164,Career_History!E22)-Career_History!D22+1),0),IF(Career_History!H23=TRUE,IF(A164&lt;Career_History!D23,0,MIN(A164,Career_History!E23)-Career_History!D23+1),0),IF(Career_History!H24=TRUE,IF(A164&lt;Career_History!D24,0,MIN(A164,Career_History!E24)-Career_History!D24+1),0))/365.2425</f>
        <v>27.918437750261813</v>
      </c>
      <c r="AC164" s="9">
        <f>SUM(IF(Career_History!G25=TRUE,IF(A164&lt;Career_History!D25,0,MIN(A164,Career_History!E25)-Career_History!D25+1),0),IF(Career_History!G26=TRUE,IF(A164&lt;Career_History!D26,0,MIN(A164,Career_History!E26)-Career_History!D26+1),0),IF(Career_History!G27=TRUE,IF(A164&lt;Career_History!D27,0,MIN(A164,Career_History!E27)-Career_History!D27+1),0),IF(Career_History!G28=TRUE,IF(A164&lt;Career_History!D28,0,MIN(A164,Career_History!E28)-Career_History!D28+1),0),IF(Career_History!G29=TRUE,IF(A164&lt;Career_History!D29,0,MIN(A164,Career_History!E29)-Career_History!D29+1),0))/365.2425</f>
        <v>35.001403177341082</v>
      </c>
      <c r="AD164" s="9">
        <f>SUM(IF(Career_History!I25=TRUE,IF(A164&lt;Career_History!D25,0,MIN(A164,Career_History!E25)-Career_History!D25+1),0),IF(Career_History!I26=TRUE,IF(A164&lt;Career_History!D26,0,MIN(A164,Career_History!E26)-Career_History!D26+1),0),IF(Career_History!I27=TRUE,IF(A164&lt;Career_History!D27,0,MIN(A164,Career_History!E27)-Career_History!D27+1),0),IF(Career_History!I28=TRUE,IF(A164&lt;Career_History!D28,0,MIN(A164,Career_History!E28)-Career_History!D28+1),0),IF(Career_History!I29=TRUE,IF(A164&lt;Career_History!D29,0,MIN(A164,Career_History!E29)-Career_History!D29+1),0))/365.2425</f>
        <v>0</v>
      </c>
      <c r="AE164" s="9">
        <f>SUM(IF(Career_History!H25=TRUE,IF(A164&lt;Career_History!D25,0,MIN(A164,Career_History!E25)-Career_History!D25+1),0),IF(Career_History!H26=TRUE,IF(A164&lt;Career_History!D26,0,MIN(A164,Career_History!E26)-Career_History!D26+1),0),IF(Career_History!H27=TRUE,IF(A164&lt;Career_History!D27,0,MIN(A164,Career_History!E27)-Career_History!D27+1),0),IF(Career_History!H28=TRUE,IF(A164&lt;Career_History!D28,0,MIN(A164,Career_History!E28)-Career_History!D28+1),0),IF(Career_History!H29=TRUE,IF(A164&lt;Career_History!D29,0,MIN(A164,Career_History!E29)-Career_History!D29+1),0))/365.2425</f>
        <v>22.497381876424566</v>
      </c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</row>
    <row r="165" spans="1:67">
      <c r="A165" s="8">
        <v>39660</v>
      </c>
      <c r="B165" s="9">
        <f t="shared" si="6"/>
        <v>36.486991519333046</v>
      </c>
      <c r="C165" s="9">
        <f t="shared" si="7"/>
        <v>9.6023874549100938</v>
      </c>
      <c r="D165" s="9">
        <f t="shared" si="8"/>
        <v>21.552803959013534</v>
      </c>
      <c r="E165" s="9"/>
      <c r="F165" s="9"/>
      <c r="G165" s="9"/>
      <c r="H165" s="9"/>
      <c r="I165" s="9"/>
      <c r="J165" s="9"/>
      <c r="K165" s="9"/>
      <c r="L165" s="9"/>
      <c r="M165" s="9"/>
      <c r="N165" s="9">
        <f>SUM(IF(Career_History!G12=TRUE,IF(A165&lt;Career_History!D12,0,MIN(A165,Career_History!E12)-Career_History!D12+1),0),IF(Career_History!G13=TRUE,IF(A165&lt;Career_History!D13,0,MIN(A165,Career_History!E13)-Career_History!D13+1),0))/365.2425</f>
        <v>37.087688316666323</v>
      </c>
      <c r="O165" s="9">
        <f>SUM(IF(Career_History!I12=TRUE,IF(A165&lt;Career_History!D12,0,MIN(A165,Career_History!E12)-Career_History!D12+1),0),IF(Career_History!I13=TRUE,IF(A165&lt;Career_History!D13,0,MIN(A165,Career_History!E13)-Career_History!D13+1),0))/365.2425</f>
        <v>0</v>
      </c>
      <c r="P165" s="9">
        <f>SUM(IF(Career_History!H12=TRUE,IF(A165&lt;Career_History!D12,0,MIN(A165,Career_History!E12)-Career_History!D12+1),0),IF(Career_History!H13=TRUE,IF(A165&lt;Career_History!D13,0,MIN(A165,Career_History!E13)-Career_History!D13+1),0))/365.2425</f>
        <v>13.582756661669986</v>
      </c>
      <c r="Q165" s="9"/>
      <c r="R165" s="9"/>
      <c r="S165" s="9"/>
      <c r="T165" s="9">
        <f>SUM(IF(Career_History!G16=TRUE,IF(A165&lt;Career_History!D16,0,MIN(A165,Career_History!E16)-Career_History!D16+1),0),IF(Career_History!G17=TRUE,IF(A165&lt;Career_History!D17,0,MIN(A165,Career_History!E17)-Career_History!D17+1),0))/365.2425</f>
        <v>33.087606179456117</v>
      </c>
      <c r="U165" s="9">
        <f>SUM(IF(Career_History!I16=TRUE,IF(A165&lt;Career_History!D16,0,MIN(A165,Career_History!E16)-Career_History!D16+1),0),IF(Career_History!I17=TRUE,IF(A165&lt;Career_History!D17,0,MIN(A165,Career_History!E17)-Career_History!D17+1),0))/365.2425</f>
        <v>21.506259539894728</v>
      </c>
      <c r="V165" s="9">
        <f>SUM(IF(Career_History!H16=TRUE,IF(A165&lt;Career_History!D16,0,MIN(A165,Career_History!E16)-Career_History!D16+1),0),IF(Career_History!H17=TRUE,IF(A165&lt;Career_History!D17,0,MIN(A165,Career_History!E17)-Career_History!D17+1),0))/365.2425</f>
        <v>33.087606179456117</v>
      </c>
      <c r="W165" s="9">
        <f>SUM(IF(Career_History!G18=TRUE,IF(A165&lt;Career_History!D18,0,MIN(A165,Career_History!E18)-Career_History!D18+1),0),IF(Career_History!G19=TRUE,IF(A165&lt;Career_History!D19,0,MIN(A165,Career_History!E19)-Career_History!D19+1),0),IF(Career_History!G20=TRUE,IF(A165&lt;Career_History!D20,0,MIN(A165,Career_History!E20)-Career_History!D20+1),0))/365.2425</f>
        <v>40.085696489318742</v>
      </c>
      <c r="X165" s="9">
        <f>SUM(IF(Career_History!I18=TRUE,IF(A165&lt;Career_History!D18,0,MIN(A165,Career_History!E18)-Career_History!D18+1),0),IF(Career_History!I19=TRUE,IF(A165&lt;Career_History!D19,0,MIN(A165,Career_History!E19)-Career_History!D19+1),0),IF(Career_History!I20=TRUE,IF(A165&lt;Career_History!D20,0,MIN(A165,Career_History!E20)-Career_History!D20+1),0))/365.2425</f>
        <v>0</v>
      </c>
      <c r="Y165" s="9">
        <f>SUM(IF(Career_History!H18=TRUE,IF(A165&lt;Career_History!D18,0,MIN(A165,Career_History!E18)-Career_History!D18+1),0),IF(Career_History!H19=TRUE,IF(A165&lt;Career_History!D19,0,MIN(A165,Career_History!E19)-Career_History!D19+1),0),IF(Career_History!H20=TRUE,IF(A165&lt;Career_History!D20,0,MIN(A165,Career_History!E20)-Career_History!D20+1),0))/365.2425</f>
        <v>10.508087092821892</v>
      </c>
      <c r="Z165" s="9">
        <f>SUM(IF(Career_History!G21=TRUE,IF(A165&lt;Career_History!D21,0,MIN(A165,Career_History!E21)-Career_History!D21+1),0),IF(Career_History!G22=TRUE,IF(A165&lt;Career_History!D22,0,MIN(A165,Career_History!E22)-Career_History!D22+1),0),IF(Career_History!G23=TRUE,IF(A165&lt;Career_History!D23,0,MIN(A165,Career_History!E23)-Career_History!D23+1),0),IF(Career_History!G24=TRUE,IF(A165&lt;Career_History!D24,0,MIN(A165,Career_History!E24)-Career_History!D24+1),0))/365.2425</f>
        <v>37.087688316666323</v>
      </c>
      <c r="AA165" s="9">
        <f>SUM(IF(Career_History!I21=TRUE,IF(A165&lt;Career_History!D21,0,MIN(A165,Career_History!E21)-Career_History!D21+1),0),IF(Career_History!I22=TRUE,IF(A165&lt;Career_History!D22,0,MIN(A165,Career_History!E22)-Career_History!D22+1),0),IF(Career_History!I23=TRUE,IF(A165&lt;Career_History!D23,0,MIN(A165,Career_History!E23)-Career_History!D23+1),0),IF(Career_History!I24=TRUE,IF(A165&lt;Career_History!D24,0,MIN(A165,Career_History!E24)-Career_History!D24+1),0))/365.2425</f>
        <v>26.505677734655741</v>
      </c>
      <c r="AB165" s="9">
        <f>SUM(IF(Career_History!H21=TRUE,IF(A165&lt;Career_History!D21,0,MIN(A165,Career_History!E21)-Career_History!D21+1),0),IF(Career_History!H22=TRUE,IF(A165&lt;Career_History!D22,0,MIN(A165,Career_History!E22)-Career_History!D22+1),0),IF(Career_History!H23=TRUE,IF(A165&lt;Career_History!D23,0,MIN(A165,Career_History!E23)-Career_History!D23+1),0),IF(Career_History!H24=TRUE,IF(A165&lt;Career_History!D24,0,MIN(A165,Career_History!E24)-Career_History!D24+1),0))/365.2425</f>
        <v>28.003312867478456</v>
      </c>
      <c r="AC165" s="9">
        <f>SUM(IF(Career_History!G25=TRUE,IF(A165&lt;Career_History!D25,0,MIN(A165,Career_History!E25)-Career_History!D25+1),0),IF(Career_History!G26=TRUE,IF(A165&lt;Career_History!D26,0,MIN(A165,Career_History!E26)-Career_History!D26+1),0),IF(Career_History!G27=TRUE,IF(A165&lt;Career_History!D27,0,MIN(A165,Career_History!E27)-Career_History!D27+1),0),IF(Career_History!G28=TRUE,IF(A165&lt;Career_History!D28,0,MIN(A165,Career_History!E28)-Career_History!D28+1),0),IF(Career_History!G29=TRUE,IF(A165&lt;Career_History!D29,0,MIN(A165,Career_History!E29)-Career_History!D29+1),0))/365.2425</f>
        <v>35.086278294557722</v>
      </c>
      <c r="AD165" s="9">
        <f>SUM(IF(Career_History!I25=TRUE,IF(A165&lt;Career_History!D25,0,MIN(A165,Career_History!E25)-Career_History!D25+1),0),IF(Career_History!I26=TRUE,IF(A165&lt;Career_History!D26,0,MIN(A165,Career_History!E26)-Career_History!D26+1),0),IF(Career_History!I27=TRUE,IF(A165&lt;Career_History!D27,0,MIN(A165,Career_History!E27)-Career_History!D27+1),0),IF(Career_History!I28=TRUE,IF(A165&lt;Career_History!D28,0,MIN(A165,Career_History!E28)-Career_History!D28+1),0),IF(Career_History!I29=TRUE,IF(A165&lt;Career_History!D29,0,MIN(A165,Career_History!E29)-Career_History!D29+1),0))/365.2425</f>
        <v>0</v>
      </c>
      <c r="AE165" s="9">
        <f>SUM(IF(Career_History!H25=TRUE,IF(A165&lt;Career_History!D25,0,MIN(A165,Career_History!E25)-Career_History!D25+1),0),IF(Career_History!H26=TRUE,IF(A165&lt;Career_History!D26,0,MIN(A165,Career_History!E26)-Career_History!D26+1),0),IF(Career_History!H27=TRUE,IF(A165&lt;Career_History!D27,0,MIN(A165,Career_History!E27)-Career_History!D27+1),0),IF(Career_History!H28=TRUE,IF(A165&lt;Career_History!D28,0,MIN(A165,Career_History!E28)-Career_History!D28+1),0),IF(Career_History!H29=TRUE,IF(A165&lt;Career_History!D29,0,MIN(A165,Career_History!E29)-Career_History!D29+1),0))/365.2425</f>
        <v>22.582256993641209</v>
      </c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</row>
    <row r="166" spans="1:67">
      <c r="A166" s="8">
        <v>39691</v>
      </c>
      <c r="B166" s="9">
        <f t="shared" si="6"/>
        <v>36.571866636549693</v>
      </c>
      <c r="C166" s="9">
        <f t="shared" si="7"/>
        <v>9.6023874549100938</v>
      </c>
      <c r="D166" s="9">
        <f t="shared" si="8"/>
        <v>21.637679076230175</v>
      </c>
      <c r="E166" s="9"/>
      <c r="F166" s="9"/>
      <c r="G166" s="9"/>
      <c r="H166" s="9"/>
      <c r="I166" s="9"/>
      <c r="J166" s="9"/>
      <c r="K166" s="9"/>
      <c r="L166" s="9"/>
      <c r="M166" s="9"/>
      <c r="N166" s="9">
        <f>SUM(IF(Career_History!G12=TRUE,IF(A166&lt;Career_History!D12,0,MIN(A166,Career_History!E12)-Career_History!D12+1),0),IF(Career_History!G13=TRUE,IF(A166&lt;Career_History!D13,0,MIN(A166,Career_History!E13)-Career_History!D13+1),0))/365.2425</f>
        <v>37.172563433882971</v>
      </c>
      <c r="O166" s="9">
        <f>SUM(IF(Career_History!I12=TRUE,IF(A166&lt;Career_History!D12,0,MIN(A166,Career_History!E12)-Career_History!D12+1),0),IF(Career_History!I13=TRUE,IF(A166&lt;Career_History!D13,0,MIN(A166,Career_History!E13)-Career_History!D13+1),0))/365.2425</f>
        <v>0</v>
      </c>
      <c r="P166" s="9">
        <f>SUM(IF(Career_History!H12=TRUE,IF(A166&lt;Career_History!D12,0,MIN(A166,Career_History!E12)-Career_History!D12+1),0),IF(Career_History!H13=TRUE,IF(A166&lt;Career_History!D13,0,MIN(A166,Career_History!E13)-Career_History!D13+1),0))/365.2425</f>
        <v>13.66763177888663</v>
      </c>
      <c r="Q166" s="9"/>
      <c r="R166" s="9"/>
      <c r="S166" s="9"/>
      <c r="T166" s="9">
        <f>SUM(IF(Career_History!G16=TRUE,IF(A166&lt;Career_History!D16,0,MIN(A166,Career_History!E16)-Career_History!D16+1),0),IF(Career_History!G17=TRUE,IF(A166&lt;Career_History!D17,0,MIN(A166,Career_History!E17)-Career_History!D17+1),0))/365.2425</f>
        <v>33.172481296672757</v>
      </c>
      <c r="U166" s="9">
        <f>SUM(IF(Career_History!I16=TRUE,IF(A166&lt;Career_History!D16,0,MIN(A166,Career_History!E16)-Career_History!D16+1),0),IF(Career_History!I17=TRUE,IF(A166&lt;Career_History!D17,0,MIN(A166,Career_History!E17)-Career_History!D17+1),0))/365.2425</f>
        <v>21.506259539894728</v>
      </c>
      <c r="V166" s="9">
        <f>SUM(IF(Career_History!H16=TRUE,IF(A166&lt;Career_History!D16,0,MIN(A166,Career_History!E16)-Career_History!D16+1),0),IF(Career_History!H17=TRUE,IF(A166&lt;Career_History!D17,0,MIN(A166,Career_History!E17)-Career_History!D17+1),0))/365.2425</f>
        <v>33.172481296672757</v>
      </c>
      <c r="W166" s="9">
        <f>SUM(IF(Career_History!G18=TRUE,IF(A166&lt;Career_History!D18,0,MIN(A166,Career_History!E18)-Career_History!D18+1),0),IF(Career_History!G19=TRUE,IF(A166&lt;Career_History!D19,0,MIN(A166,Career_History!E19)-Career_History!D19+1),0),IF(Career_History!G20=TRUE,IF(A166&lt;Career_History!D20,0,MIN(A166,Career_History!E20)-Career_History!D20+1),0))/365.2425</f>
        <v>40.170571606535383</v>
      </c>
      <c r="X166" s="9">
        <f>SUM(IF(Career_History!I18=TRUE,IF(A166&lt;Career_History!D18,0,MIN(A166,Career_History!E18)-Career_History!D18+1),0),IF(Career_History!I19=TRUE,IF(A166&lt;Career_History!D19,0,MIN(A166,Career_History!E19)-Career_History!D19+1),0),IF(Career_History!I20=TRUE,IF(A166&lt;Career_History!D20,0,MIN(A166,Career_History!E20)-Career_History!D20+1),0))/365.2425</f>
        <v>0</v>
      </c>
      <c r="Y166" s="9">
        <f>SUM(IF(Career_History!H18=TRUE,IF(A166&lt;Career_History!D18,0,MIN(A166,Career_History!E18)-Career_History!D18+1),0),IF(Career_History!H19=TRUE,IF(A166&lt;Career_History!D19,0,MIN(A166,Career_History!E19)-Career_History!D19+1),0),IF(Career_History!H20=TRUE,IF(A166&lt;Career_History!D20,0,MIN(A166,Career_History!E20)-Career_History!D20+1),0))/365.2425</f>
        <v>10.592962210038536</v>
      </c>
      <c r="Z166" s="9">
        <f>SUM(IF(Career_History!G21=TRUE,IF(A166&lt;Career_History!D21,0,MIN(A166,Career_History!E21)-Career_History!D21+1),0),IF(Career_History!G22=TRUE,IF(A166&lt;Career_History!D22,0,MIN(A166,Career_History!E22)-Career_History!D22+1),0),IF(Career_History!G23=TRUE,IF(A166&lt;Career_History!D23,0,MIN(A166,Career_History!E23)-Career_History!D23+1),0),IF(Career_History!G24=TRUE,IF(A166&lt;Career_History!D24,0,MIN(A166,Career_History!E24)-Career_History!D24+1),0))/365.2425</f>
        <v>37.172563433882971</v>
      </c>
      <c r="AA166" s="9">
        <f>SUM(IF(Career_History!I21=TRUE,IF(A166&lt;Career_History!D21,0,MIN(A166,Career_History!E21)-Career_History!D21+1),0),IF(Career_History!I22=TRUE,IF(A166&lt;Career_History!D22,0,MIN(A166,Career_History!E22)-Career_History!D22+1),0),IF(Career_History!I23=TRUE,IF(A166&lt;Career_History!D23,0,MIN(A166,Career_History!E23)-Career_History!D23+1),0),IF(Career_History!I24=TRUE,IF(A166&lt;Career_History!D24,0,MIN(A166,Career_History!E24)-Career_History!D24+1),0))/365.2425</f>
        <v>26.505677734655741</v>
      </c>
      <c r="AB166" s="9">
        <f>SUM(IF(Career_History!H21=TRUE,IF(A166&lt;Career_History!D21,0,MIN(A166,Career_History!E21)-Career_History!D21+1),0),IF(Career_History!H22=TRUE,IF(A166&lt;Career_History!D22,0,MIN(A166,Career_History!E22)-Career_History!D22+1),0),IF(Career_History!H23=TRUE,IF(A166&lt;Career_History!D23,0,MIN(A166,Career_History!E23)-Career_History!D23+1),0),IF(Career_History!H24=TRUE,IF(A166&lt;Career_History!D24,0,MIN(A166,Career_History!E24)-Career_History!D24+1),0))/365.2425</f>
        <v>28.0881879846951</v>
      </c>
      <c r="AC166" s="9">
        <f>SUM(IF(Career_History!G25=TRUE,IF(A166&lt;Career_History!D25,0,MIN(A166,Career_History!E25)-Career_History!D25+1),0),IF(Career_History!G26=TRUE,IF(A166&lt;Career_History!D26,0,MIN(A166,Career_History!E26)-Career_History!D26+1),0),IF(Career_History!G27=TRUE,IF(A166&lt;Career_History!D27,0,MIN(A166,Career_History!E27)-Career_History!D27+1),0),IF(Career_History!G28=TRUE,IF(A166&lt;Career_History!D28,0,MIN(A166,Career_History!E28)-Career_History!D28+1),0),IF(Career_History!G29=TRUE,IF(A166&lt;Career_History!D29,0,MIN(A166,Career_History!E29)-Career_History!D29+1),0))/365.2425</f>
        <v>35.17115341177437</v>
      </c>
      <c r="AD166" s="9">
        <f>SUM(IF(Career_History!I25=TRUE,IF(A166&lt;Career_History!D25,0,MIN(A166,Career_History!E25)-Career_History!D25+1),0),IF(Career_History!I26=TRUE,IF(A166&lt;Career_History!D26,0,MIN(A166,Career_History!E26)-Career_History!D26+1),0),IF(Career_History!I27=TRUE,IF(A166&lt;Career_History!D27,0,MIN(A166,Career_History!E27)-Career_History!D27+1),0),IF(Career_History!I28=TRUE,IF(A166&lt;Career_History!D28,0,MIN(A166,Career_History!E28)-Career_History!D28+1),0),IF(Career_History!I29=TRUE,IF(A166&lt;Career_History!D29,0,MIN(A166,Career_History!E29)-Career_History!D29+1),0))/365.2425</f>
        <v>0</v>
      </c>
      <c r="AE166" s="9">
        <f>SUM(IF(Career_History!H25=TRUE,IF(A166&lt;Career_History!D25,0,MIN(A166,Career_History!E25)-Career_History!D25+1),0),IF(Career_History!H26=TRUE,IF(A166&lt;Career_History!D26,0,MIN(A166,Career_History!E26)-Career_History!D26+1),0),IF(Career_History!H27=TRUE,IF(A166&lt;Career_History!D27,0,MIN(A166,Career_History!E27)-Career_History!D27+1),0),IF(Career_History!H28=TRUE,IF(A166&lt;Career_History!D28,0,MIN(A166,Career_History!E28)-Career_History!D28+1),0),IF(Career_History!H29=TRUE,IF(A166&lt;Career_History!D29,0,MIN(A166,Career_History!E29)-Career_History!D29+1),0))/365.2425</f>
        <v>22.667132110857853</v>
      </c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</row>
    <row r="167" spans="1:67">
      <c r="A167" s="8">
        <v>39721</v>
      </c>
      <c r="B167" s="9">
        <f t="shared" si="6"/>
        <v>36.654003846759352</v>
      </c>
      <c r="C167" s="9">
        <f t="shared" si="7"/>
        <v>9.6023874549100938</v>
      </c>
      <c r="D167" s="9">
        <f t="shared" si="8"/>
        <v>21.719816286439833</v>
      </c>
      <c r="E167" s="9"/>
      <c r="F167" s="9"/>
      <c r="G167" s="9"/>
      <c r="H167" s="9"/>
      <c r="I167" s="9"/>
      <c r="J167" s="9"/>
      <c r="K167" s="9"/>
      <c r="L167" s="9"/>
      <c r="M167" s="9"/>
      <c r="N167" s="9">
        <f>SUM(IF(Career_History!G12=TRUE,IF(A167&lt;Career_History!D12,0,MIN(A167,Career_History!E12)-Career_History!D12+1),0),IF(Career_History!G13=TRUE,IF(A167&lt;Career_History!D13,0,MIN(A167,Career_History!E13)-Career_History!D13+1),0))/365.2425</f>
        <v>37.254700644092622</v>
      </c>
      <c r="O167" s="9">
        <f>SUM(IF(Career_History!I12=TRUE,IF(A167&lt;Career_History!D12,0,MIN(A167,Career_History!E12)-Career_History!D12+1),0),IF(Career_History!I13=TRUE,IF(A167&lt;Career_History!D13,0,MIN(A167,Career_History!E13)-Career_History!D13+1),0))/365.2425</f>
        <v>0</v>
      </c>
      <c r="P167" s="9">
        <f>SUM(IF(Career_History!H12=TRUE,IF(A167&lt;Career_History!D12,0,MIN(A167,Career_History!E12)-Career_History!D12+1),0),IF(Career_History!H13=TRUE,IF(A167&lt;Career_History!D13,0,MIN(A167,Career_History!E13)-Career_History!D13+1),0))/365.2425</f>
        <v>13.749768989096285</v>
      </c>
      <c r="Q167" s="9"/>
      <c r="R167" s="9"/>
      <c r="S167" s="9"/>
      <c r="T167" s="9">
        <f>SUM(IF(Career_History!G16=TRUE,IF(A167&lt;Career_History!D16,0,MIN(A167,Career_History!E16)-Career_History!D16+1),0),IF(Career_History!G17=TRUE,IF(A167&lt;Career_History!D17,0,MIN(A167,Career_History!E17)-Career_History!D17+1),0))/365.2425</f>
        <v>33.254618506882416</v>
      </c>
      <c r="U167" s="9">
        <f>SUM(IF(Career_History!I16=TRUE,IF(A167&lt;Career_History!D16,0,MIN(A167,Career_History!E16)-Career_History!D16+1),0),IF(Career_History!I17=TRUE,IF(A167&lt;Career_History!D17,0,MIN(A167,Career_History!E17)-Career_History!D17+1),0))/365.2425</f>
        <v>21.506259539894728</v>
      </c>
      <c r="V167" s="9">
        <f>SUM(IF(Career_History!H16=TRUE,IF(A167&lt;Career_History!D16,0,MIN(A167,Career_History!E16)-Career_History!D16+1),0),IF(Career_History!H17=TRUE,IF(A167&lt;Career_History!D17,0,MIN(A167,Career_History!E17)-Career_History!D17+1),0))/365.2425</f>
        <v>33.254618506882416</v>
      </c>
      <c r="W167" s="9">
        <f>SUM(IF(Career_History!G18=TRUE,IF(A167&lt;Career_History!D18,0,MIN(A167,Career_History!E18)-Career_History!D18+1),0),IF(Career_History!G19=TRUE,IF(A167&lt;Career_History!D19,0,MIN(A167,Career_History!E19)-Career_History!D19+1),0),IF(Career_History!G20=TRUE,IF(A167&lt;Career_History!D20,0,MIN(A167,Career_History!E20)-Career_History!D20+1),0))/365.2425</f>
        <v>40.252708816745042</v>
      </c>
      <c r="X167" s="9">
        <f>SUM(IF(Career_History!I18=TRUE,IF(A167&lt;Career_History!D18,0,MIN(A167,Career_History!E18)-Career_History!D18+1),0),IF(Career_History!I19=TRUE,IF(A167&lt;Career_History!D19,0,MIN(A167,Career_History!E19)-Career_History!D19+1),0),IF(Career_History!I20=TRUE,IF(A167&lt;Career_History!D20,0,MIN(A167,Career_History!E20)-Career_History!D20+1),0))/365.2425</f>
        <v>0</v>
      </c>
      <c r="Y167" s="9">
        <f>SUM(IF(Career_History!H18=TRUE,IF(A167&lt;Career_History!D18,0,MIN(A167,Career_History!E18)-Career_History!D18+1),0),IF(Career_History!H19=TRUE,IF(A167&lt;Career_History!D19,0,MIN(A167,Career_History!E19)-Career_History!D19+1),0),IF(Career_History!H20=TRUE,IF(A167&lt;Career_History!D20,0,MIN(A167,Career_History!E20)-Career_History!D20+1),0))/365.2425</f>
        <v>10.675099420248191</v>
      </c>
      <c r="Z167" s="9">
        <f>SUM(IF(Career_History!G21=TRUE,IF(A167&lt;Career_History!D21,0,MIN(A167,Career_History!E21)-Career_History!D21+1),0),IF(Career_History!G22=TRUE,IF(A167&lt;Career_History!D22,0,MIN(A167,Career_History!E22)-Career_History!D22+1),0),IF(Career_History!G23=TRUE,IF(A167&lt;Career_History!D23,0,MIN(A167,Career_History!E23)-Career_History!D23+1),0),IF(Career_History!G24=TRUE,IF(A167&lt;Career_History!D24,0,MIN(A167,Career_History!E24)-Career_History!D24+1),0))/365.2425</f>
        <v>37.254700644092622</v>
      </c>
      <c r="AA167" s="9">
        <f>SUM(IF(Career_History!I21=TRUE,IF(A167&lt;Career_History!D21,0,MIN(A167,Career_History!E21)-Career_History!D21+1),0),IF(Career_History!I22=TRUE,IF(A167&lt;Career_History!D22,0,MIN(A167,Career_History!E22)-Career_History!D22+1),0),IF(Career_History!I23=TRUE,IF(A167&lt;Career_History!D23,0,MIN(A167,Career_History!E23)-Career_History!D23+1),0),IF(Career_History!I24=TRUE,IF(A167&lt;Career_History!D24,0,MIN(A167,Career_History!E24)-Career_History!D24+1),0))/365.2425</f>
        <v>26.505677734655741</v>
      </c>
      <c r="AB167" s="9">
        <f>SUM(IF(Career_History!H21=TRUE,IF(A167&lt;Career_History!D21,0,MIN(A167,Career_History!E21)-Career_History!D21+1),0),IF(Career_History!H22=TRUE,IF(A167&lt;Career_History!D22,0,MIN(A167,Career_History!E22)-Career_History!D22+1),0),IF(Career_History!H23=TRUE,IF(A167&lt;Career_History!D23,0,MIN(A167,Career_History!E23)-Career_History!D23+1),0),IF(Career_History!H24=TRUE,IF(A167&lt;Career_History!D24,0,MIN(A167,Career_History!E24)-Career_History!D24+1),0))/365.2425</f>
        <v>28.170325194904756</v>
      </c>
      <c r="AC167" s="9">
        <f>SUM(IF(Career_History!G25=TRUE,IF(A167&lt;Career_History!D25,0,MIN(A167,Career_History!E25)-Career_History!D25+1),0),IF(Career_History!G26=TRUE,IF(A167&lt;Career_History!D26,0,MIN(A167,Career_History!E26)-Career_History!D26+1),0),IF(Career_History!G27=TRUE,IF(A167&lt;Career_History!D27,0,MIN(A167,Career_History!E27)-Career_History!D27+1),0),IF(Career_History!G28=TRUE,IF(A167&lt;Career_History!D28,0,MIN(A167,Career_History!E28)-Career_History!D28+1),0),IF(Career_History!G29=TRUE,IF(A167&lt;Career_History!D29,0,MIN(A167,Career_History!E29)-Career_History!D29+1),0))/365.2425</f>
        <v>35.253290621984021</v>
      </c>
      <c r="AD167" s="9">
        <f>SUM(IF(Career_History!I25=TRUE,IF(A167&lt;Career_History!D25,0,MIN(A167,Career_History!E25)-Career_History!D25+1),0),IF(Career_History!I26=TRUE,IF(A167&lt;Career_History!D26,0,MIN(A167,Career_History!E26)-Career_History!D26+1),0),IF(Career_History!I27=TRUE,IF(A167&lt;Career_History!D27,0,MIN(A167,Career_History!E27)-Career_History!D27+1),0),IF(Career_History!I28=TRUE,IF(A167&lt;Career_History!D28,0,MIN(A167,Career_History!E28)-Career_History!D28+1),0),IF(Career_History!I29=TRUE,IF(A167&lt;Career_History!D29,0,MIN(A167,Career_History!E29)-Career_History!D29+1),0))/365.2425</f>
        <v>0</v>
      </c>
      <c r="AE167" s="9">
        <f>SUM(IF(Career_History!H25=TRUE,IF(A167&lt;Career_History!D25,0,MIN(A167,Career_History!E25)-Career_History!D25+1),0),IF(Career_History!H26=TRUE,IF(A167&lt;Career_History!D26,0,MIN(A167,Career_History!E26)-Career_History!D26+1),0),IF(Career_History!H27=TRUE,IF(A167&lt;Career_History!D27,0,MIN(A167,Career_History!E27)-Career_History!D27+1),0),IF(Career_History!H28=TRUE,IF(A167&lt;Career_History!D28,0,MIN(A167,Career_History!E28)-Career_History!D28+1),0),IF(Career_History!H29=TRUE,IF(A167&lt;Career_History!D29,0,MIN(A167,Career_History!E29)-Career_History!D29+1),0))/365.2425</f>
        <v>22.749269321067509</v>
      </c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</row>
    <row r="168" spans="1:67">
      <c r="A168" s="8">
        <v>39752</v>
      </c>
      <c r="B168" s="9">
        <f t="shared" si="6"/>
        <v>36.738878963975985</v>
      </c>
      <c r="C168" s="9">
        <f t="shared" si="7"/>
        <v>9.6023874549100938</v>
      </c>
      <c r="D168" s="9">
        <f t="shared" si="8"/>
        <v>21.804691403656474</v>
      </c>
      <c r="E168" s="9"/>
      <c r="F168" s="9"/>
      <c r="G168" s="9"/>
      <c r="H168" s="9"/>
      <c r="I168" s="9"/>
      <c r="J168" s="9"/>
      <c r="K168" s="9"/>
      <c r="L168" s="9"/>
      <c r="M168" s="9"/>
      <c r="N168" s="9">
        <f>SUM(IF(Career_History!G12=TRUE,IF(A168&lt;Career_History!D12,0,MIN(A168,Career_History!E12)-Career_History!D12+1),0),IF(Career_History!G13=TRUE,IF(A168&lt;Career_History!D13,0,MIN(A168,Career_History!E13)-Career_History!D13+1),0))/365.2425</f>
        <v>37.33957576130927</v>
      </c>
      <c r="O168" s="9">
        <f>SUM(IF(Career_History!I12=TRUE,IF(A168&lt;Career_History!D12,0,MIN(A168,Career_History!E12)-Career_History!D12+1),0),IF(Career_History!I13=TRUE,IF(A168&lt;Career_History!D13,0,MIN(A168,Career_History!E13)-Career_History!D13+1),0))/365.2425</f>
        <v>0</v>
      </c>
      <c r="P168" s="9">
        <f>SUM(IF(Career_History!H12=TRUE,IF(A168&lt;Career_History!D12,0,MIN(A168,Career_History!E12)-Career_History!D12+1),0),IF(Career_History!H13=TRUE,IF(A168&lt;Career_History!D13,0,MIN(A168,Career_History!E13)-Career_History!D13+1),0))/365.2425</f>
        <v>13.834644106312929</v>
      </c>
      <c r="Q168" s="9"/>
      <c r="R168" s="9"/>
      <c r="S168" s="9"/>
      <c r="T168" s="9">
        <f>SUM(IF(Career_History!G16=TRUE,IF(A168&lt;Career_History!D16,0,MIN(A168,Career_History!E16)-Career_History!D16+1),0),IF(Career_History!G17=TRUE,IF(A168&lt;Career_History!D17,0,MIN(A168,Career_History!E17)-Career_History!D17+1),0))/365.2425</f>
        <v>33.339493624099056</v>
      </c>
      <c r="U168" s="9">
        <f>SUM(IF(Career_History!I16=TRUE,IF(A168&lt;Career_History!D16,0,MIN(A168,Career_History!E16)-Career_History!D16+1),0),IF(Career_History!I17=TRUE,IF(A168&lt;Career_History!D17,0,MIN(A168,Career_History!E17)-Career_History!D17+1),0))/365.2425</f>
        <v>21.506259539894728</v>
      </c>
      <c r="V168" s="9">
        <f>SUM(IF(Career_History!H16=TRUE,IF(A168&lt;Career_History!D16,0,MIN(A168,Career_History!E16)-Career_History!D16+1),0),IF(Career_History!H17=TRUE,IF(A168&lt;Career_History!D17,0,MIN(A168,Career_History!E17)-Career_History!D17+1),0))/365.2425</f>
        <v>33.339493624099056</v>
      </c>
      <c r="W168" s="9">
        <f>SUM(IF(Career_History!G18=TRUE,IF(A168&lt;Career_History!D18,0,MIN(A168,Career_History!E18)-Career_History!D18+1),0),IF(Career_History!G19=TRUE,IF(A168&lt;Career_History!D19,0,MIN(A168,Career_History!E19)-Career_History!D19+1),0),IF(Career_History!G20=TRUE,IF(A168&lt;Career_History!D20,0,MIN(A168,Career_History!E20)-Career_History!D20+1),0))/365.2425</f>
        <v>40.337583933961682</v>
      </c>
      <c r="X168" s="9">
        <f>SUM(IF(Career_History!I18=TRUE,IF(A168&lt;Career_History!D18,0,MIN(A168,Career_History!E18)-Career_History!D18+1),0),IF(Career_History!I19=TRUE,IF(A168&lt;Career_History!D19,0,MIN(A168,Career_History!E19)-Career_History!D19+1),0),IF(Career_History!I20=TRUE,IF(A168&lt;Career_History!D20,0,MIN(A168,Career_History!E20)-Career_History!D20+1),0))/365.2425</f>
        <v>0</v>
      </c>
      <c r="Y168" s="9">
        <f>SUM(IF(Career_History!H18=TRUE,IF(A168&lt;Career_History!D18,0,MIN(A168,Career_History!E18)-Career_History!D18+1),0),IF(Career_History!H19=TRUE,IF(A168&lt;Career_History!D19,0,MIN(A168,Career_History!E19)-Career_History!D19+1),0),IF(Career_History!H20=TRUE,IF(A168&lt;Career_History!D20,0,MIN(A168,Career_History!E20)-Career_History!D20+1),0))/365.2425</f>
        <v>10.759974537464835</v>
      </c>
      <c r="Z168" s="9">
        <f>SUM(IF(Career_History!G21=TRUE,IF(A168&lt;Career_History!D21,0,MIN(A168,Career_History!E21)-Career_History!D21+1),0),IF(Career_History!G22=TRUE,IF(A168&lt;Career_History!D22,0,MIN(A168,Career_History!E22)-Career_History!D22+1),0),IF(Career_History!G23=TRUE,IF(A168&lt;Career_History!D23,0,MIN(A168,Career_History!E23)-Career_History!D23+1),0),IF(Career_History!G24=TRUE,IF(A168&lt;Career_History!D24,0,MIN(A168,Career_History!E24)-Career_History!D24+1),0))/365.2425</f>
        <v>37.33957576130927</v>
      </c>
      <c r="AA168" s="9">
        <f>SUM(IF(Career_History!I21=TRUE,IF(A168&lt;Career_History!D21,0,MIN(A168,Career_History!E21)-Career_History!D21+1),0),IF(Career_History!I22=TRUE,IF(A168&lt;Career_History!D22,0,MIN(A168,Career_History!E22)-Career_History!D22+1),0),IF(Career_History!I23=TRUE,IF(A168&lt;Career_History!D23,0,MIN(A168,Career_History!E23)-Career_History!D23+1),0),IF(Career_History!I24=TRUE,IF(A168&lt;Career_History!D24,0,MIN(A168,Career_History!E24)-Career_History!D24+1),0))/365.2425</f>
        <v>26.505677734655741</v>
      </c>
      <c r="AB168" s="9">
        <f>SUM(IF(Career_History!H21=TRUE,IF(A168&lt;Career_History!D21,0,MIN(A168,Career_History!E21)-Career_History!D21+1),0),IF(Career_History!H22=TRUE,IF(A168&lt;Career_History!D22,0,MIN(A168,Career_History!E22)-Career_History!D22+1),0),IF(Career_History!H23=TRUE,IF(A168&lt;Career_History!D23,0,MIN(A168,Career_History!E23)-Career_History!D23+1),0),IF(Career_History!H24=TRUE,IF(A168&lt;Career_History!D24,0,MIN(A168,Career_History!E24)-Career_History!D24+1),0))/365.2425</f>
        <v>28.255200312121399</v>
      </c>
      <c r="AC168" s="9">
        <f>SUM(IF(Career_History!G25=TRUE,IF(A168&lt;Career_History!D25,0,MIN(A168,Career_History!E25)-Career_History!D25+1),0),IF(Career_History!G26=TRUE,IF(A168&lt;Career_History!D26,0,MIN(A168,Career_History!E26)-Career_History!D26+1),0),IF(Career_History!G27=TRUE,IF(A168&lt;Career_History!D27,0,MIN(A168,Career_History!E27)-Career_History!D27+1),0),IF(Career_History!G28=TRUE,IF(A168&lt;Career_History!D28,0,MIN(A168,Career_History!E28)-Career_History!D28+1),0),IF(Career_History!G29=TRUE,IF(A168&lt;Career_History!D29,0,MIN(A168,Career_History!E29)-Career_History!D29+1),0))/365.2425</f>
        <v>35.338165739200669</v>
      </c>
      <c r="AD168" s="9">
        <f>SUM(IF(Career_History!I25=TRUE,IF(A168&lt;Career_History!D25,0,MIN(A168,Career_History!E25)-Career_History!D25+1),0),IF(Career_History!I26=TRUE,IF(A168&lt;Career_History!D26,0,MIN(A168,Career_History!E26)-Career_History!D26+1),0),IF(Career_History!I27=TRUE,IF(A168&lt;Career_History!D27,0,MIN(A168,Career_History!E27)-Career_History!D27+1),0),IF(Career_History!I28=TRUE,IF(A168&lt;Career_History!D28,0,MIN(A168,Career_History!E28)-Career_History!D28+1),0),IF(Career_History!I29=TRUE,IF(A168&lt;Career_History!D29,0,MIN(A168,Career_History!E29)-Career_History!D29+1),0))/365.2425</f>
        <v>0</v>
      </c>
      <c r="AE168" s="9">
        <f>SUM(IF(Career_History!H25=TRUE,IF(A168&lt;Career_History!D25,0,MIN(A168,Career_History!E25)-Career_History!D25+1),0),IF(Career_History!H26=TRUE,IF(A168&lt;Career_History!D26,0,MIN(A168,Career_History!E26)-Career_History!D26+1),0),IF(Career_History!H27=TRUE,IF(A168&lt;Career_History!D27,0,MIN(A168,Career_History!E27)-Career_History!D27+1),0),IF(Career_History!H28=TRUE,IF(A168&lt;Career_History!D28,0,MIN(A168,Career_History!E28)-Career_History!D28+1),0),IF(Career_History!H29=TRUE,IF(A168&lt;Career_History!D29,0,MIN(A168,Career_History!E29)-Career_History!D29+1),0))/365.2425</f>
        <v>22.834144438284152</v>
      </c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</row>
    <row r="169" spans="1:67">
      <c r="A169" s="8">
        <v>39782</v>
      </c>
      <c r="B169" s="9">
        <f t="shared" si="6"/>
        <v>36.821016174185644</v>
      </c>
      <c r="C169" s="9">
        <f t="shared" si="7"/>
        <v>9.6023874549100938</v>
      </c>
      <c r="D169" s="9">
        <f t="shared" si="8"/>
        <v>21.886828613866133</v>
      </c>
      <c r="E169" s="9"/>
      <c r="F169" s="9"/>
      <c r="G169" s="9"/>
      <c r="H169" s="9"/>
      <c r="I169" s="9"/>
      <c r="J169" s="9"/>
      <c r="K169" s="9"/>
      <c r="L169" s="9"/>
      <c r="M169" s="9"/>
      <c r="N169" s="9">
        <f>SUM(IF(Career_History!G12=TRUE,IF(A169&lt;Career_History!D12,0,MIN(A169,Career_History!E12)-Career_History!D12+1),0),IF(Career_History!G13=TRUE,IF(A169&lt;Career_History!D13,0,MIN(A169,Career_History!E13)-Career_History!D13+1),0))/365.2425</f>
        <v>37.421712971518922</v>
      </c>
      <c r="O169" s="9">
        <f>SUM(IF(Career_History!I12=TRUE,IF(A169&lt;Career_History!D12,0,MIN(A169,Career_History!E12)-Career_History!D12+1),0),IF(Career_History!I13=TRUE,IF(A169&lt;Career_History!D13,0,MIN(A169,Career_History!E13)-Career_History!D13+1),0))/365.2425</f>
        <v>0</v>
      </c>
      <c r="P169" s="9">
        <f>SUM(IF(Career_History!H12=TRUE,IF(A169&lt;Career_History!D12,0,MIN(A169,Career_History!E12)-Career_History!D12+1),0),IF(Career_History!H13=TRUE,IF(A169&lt;Career_History!D13,0,MIN(A169,Career_History!E13)-Career_History!D13+1),0))/365.2425</f>
        <v>13.916781316522584</v>
      </c>
      <c r="Q169" s="9"/>
      <c r="R169" s="9"/>
      <c r="S169" s="9"/>
      <c r="T169" s="9">
        <f>SUM(IF(Career_History!G16=TRUE,IF(A169&lt;Career_History!D16,0,MIN(A169,Career_History!E16)-Career_History!D16+1),0),IF(Career_History!G17=TRUE,IF(A169&lt;Career_History!D17,0,MIN(A169,Career_History!E17)-Career_History!D17+1),0))/365.2425</f>
        <v>33.421630834308715</v>
      </c>
      <c r="U169" s="9">
        <f>SUM(IF(Career_History!I16=TRUE,IF(A169&lt;Career_History!D16,0,MIN(A169,Career_History!E16)-Career_History!D16+1),0),IF(Career_History!I17=TRUE,IF(A169&lt;Career_History!D17,0,MIN(A169,Career_History!E17)-Career_History!D17+1),0))/365.2425</f>
        <v>21.506259539894728</v>
      </c>
      <c r="V169" s="9">
        <f>SUM(IF(Career_History!H16=TRUE,IF(A169&lt;Career_History!D16,0,MIN(A169,Career_History!E16)-Career_History!D16+1),0),IF(Career_History!H17=TRUE,IF(A169&lt;Career_History!D17,0,MIN(A169,Career_History!E17)-Career_History!D17+1),0))/365.2425</f>
        <v>33.421630834308715</v>
      </c>
      <c r="W169" s="9">
        <f>SUM(IF(Career_History!G18=TRUE,IF(A169&lt;Career_History!D18,0,MIN(A169,Career_History!E18)-Career_History!D18+1),0),IF(Career_History!G19=TRUE,IF(A169&lt;Career_History!D19,0,MIN(A169,Career_History!E19)-Career_History!D19+1),0),IF(Career_History!G20=TRUE,IF(A169&lt;Career_History!D20,0,MIN(A169,Career_History!E20)-Career_History!D20+1),0))/365.2425</f>
        <v>40.419721144171341</v>
      </c>
      <c r="X169" s="9">
        <f>SUM(IF(Career_History!I18=TRUE,IF(A169&lt;Career_History!D18,0,MIN(A169,Career_History!E18)-Career_History!D18+1),0),IF(Career_History!I19=TRUE,IF(A169&lt;Career_History!D19,0,MIN(A169,Career_History!E19)-Career_History!D19+1),0),IF(Career_History!I20=TRUE,IF(A169&lt;Career_History!D20,0,MIN(A169,Career_History!E20)-Career_History!D20+1),0))/365.2425</f>
        <v>0</v>
      </c>
      <c r="Y169" s="9">
        <f>SUM(IF(Career_History!H18=TRUE,IF(A169&lt;Career_History!D18,0,MIN(A169,Career_History!E18)-Career_History!D18+1),0),IF(Career_History!H19=TRUE,IF(A169&lt;Career_History!D19,0,MIN(A169,Career_History!E19)-Career_History!D19+1),0),IF(Career_History!H20=TRUE,IF(A169&lt;Career_History!D20,0,MIN(A169,Career_History!E20)-Career_History!D20+1),0))/365.2425</f>
        <v>10.84211174767449</v>
      </c>
      <c r="Z169" s="9">
        <f>SUM(IF(Career_History!G21=TRUE,IF(A169&lt;Career_History!D21,0,MIN(A169,Career_History!E21)-Career_History!D21+1),0),IF(Career_History!G22=TRUE,IF(A169&lt;Career_History!D22,0,MIN(A169,Career_History!E22)-Career_History!D22+1),0),IF(Career_History!G23=TRUE,IF(A169&lt;Career_History!D23,0,MIN(A169,Career_History!E23)-Career_History!D23+1),0),IF(Career_History!G24=TRUE,IF(A169&lt;Career_History!D24,0,MIN(A169,Career_History!E24)-Career_History!D24+1),0))/365.2425</f>
        <v>37.421712971518922</v>
      </c>
      <c r="AA169" s="9">
        <f>SUM(IF(Career_History!I21=TRUE,IF(A169&lt;Career_History!D21,0,MIN(A169,Career_History!E21)-Career_History!D21+1),0),IF(Career_History!I22=TRUE,IF(A169&lt;Career_History!D22,0,MIN(A169,Career_History!E22)-Career_History!D22+1),0),IF(Career_History!I23=TRUE,IF(A169&lt;Career_History!D23,0,MIN(A169,Career_History!E23)-Career_History!D23+1),0),IF(Career_History!I24=TRUE,IF(A169&lt;Career_History!D24,0,MIN(A169,Career_History!E24)-Career_History!D24+1),0))/365.2425</f>
        <v>26.505677734655741</v>
      </c>
      <c r="AB169" s="9">
        <f>SUM(IF(Career_History!H21=TRUE,IF(A169&lt;Career_History!D21,0,MIN(A169,Career_History!E21)-Career_History!D21+1),0),IF(Career_History!H22=TRUE,IF(A169&lt;Career_History!D22,0,MIN(A169,Career_History!E22)-Career_History!D22+1),0),IF(Career_History!H23=TRUE,IF(A169&lt;Career_History!D23,0,MIN(A169,Career_History!E23)-Career_History!D23+1),0),IF(Career_History!H24=TRUE,IF(A169&lt;Career_History!D24,0,MIN(A169,Career_History!E24)-Career_History!D24+1),0))/365.2425</f>
        <v>28.337337522331055</v>
      </c>
      <c r="AC169" s="9">
        <f>SUM(IF(Career_History!G25=TRUE,IF(A169&lt;Career_History!D25,0,MIN(A169,Career_History!E25)-Career_History!D25+1),0),IF(Career_History!G26=TRUE,IF(A169&lt;Career_History!D26,0,MIN(A169,Career_History!E26)-Career_History!D26+1),0),IF(Career_History!G27=TRUE,IF(A169&lt;Career_History!D27,0,MIN(A169,Career_History!E27)-Career_History!D27+1),0),IF(Career_History!G28=TRUE,IF(A169&lt;Career_History!D28,0,MIN(A169,Career_History!E28)-Career_History!D28+1),0),IF(Career_History!G29=TRUE,IF(A169&lt;Career_History!D29,0,MIN(A169,Career_History!E29)-Career_History!D29+1),0))/365.2425</f>
        <v>35.420302949410321</v>
      </c>
      <c r="AD169" s="9">
        <f>SUM(IF(Career_History!I25=TRUE,IF(A169&lt;Career_History!D25,0,MIN(A169,Career_History!E25)-Career_History!D25+1),0),IF(Career_History!I26=TRUE,IF(A169&lt;Career_History!D26,0,MIN(A169,Career_History!E26)-Career_History!D26+1),0),IF(Career_History!I27=TRUE,IF(A169&lt;Career_History!D27,0,MIN(A169,Career_History!E27)-Career_History!D27+1),0),IF(Career_History!I28=TRUE,IF(A169&lt;Career_History!D28,0,MIN(A169,Career_History!E28)-Career_History!D28+1),0),IF(Career_History!I29=TRUE,IF(A169&lt;Career_History!D29,0,MIN(A169,Career_History!E29)-Career_History!D29+1),0))/365.2425</f>
        <v>0</v>
      </c>
      <c r="AE169" s="9">
        <f>SUM(IF(Career_History!H25=TRUE,IF(A169&lt;Career_History!D25,0,MIN(A169,Career_History!E25)-Career_History!D25+1),0),IF(Career_History!H26=TRUE,IF(A169&lt;Career_History!D26,0,MIN(A169,Career_History!E26)-Career_History!D26+1),0),IF(Career_History!H27=TRUE,IF(A169&lt;Career_History!D27,0,MIN(A169,Career_History!E27)-Career_History!D27+1),0),IF(Career_History!H28=TRUE,IF(A169&lt;Career_History!D28,0,MIN(A169,Career_History!E28)-Career_History!D28+1),0),IF(Career_History!H29=TRUE,IF(A169&lt;Career_History!D29,0,MIN(A169,Career_History!E29)-Career_History!D29+1),0))/365.2425</f>
        <v>22.916281648493808</v>
      </c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</row>
    <row r="170" spans="1:67">
      <c r="A170" s="8">
        <v>39813</v>
      </c>
      <c r="B170" s="9">
        <f t="shared" si="6"/>
        <v>36.905891291402291</v>
      </c>
      <c r="C170" s="9">
        <f t="shared" si="7"/>
        <v>9.6023874549100938</v>
      </c>
      <c r="D170" s="9">
        <f t="shared" si="8"/>
        <v>21.971703731082773</v>
      </c>
      <c r="E170" s="9"/>
      <c r="F170" s="9"/>
      <c r="G170" s="9"/>
      <c r="H170" s="9"/>
      <c r="I170" s="9"/>
      <c r="J170" s="9"/>
      <c r="K170" s="9"/>
      <c r="L170" s="9"/>
      <c r="M170" s="9"/>
      <c r="N170" s="9">
        <f>SUM(IF(Career_History!G12=TRUE,IF(A170&lt;Career_History!D12,0,MIN(A170,Career_History!E12)-Career_History!D12+1),0),IF(Career_History!G13=TRUE,IF(A170&lt;Career_History!D13,0,MIN(A170,Career_History!E13)-Career_History!D13+1),0))/365.2425</f>
        <v>37.506588088735569</v>
      </c>
      <c r="O170" s="9">
        <f>SUM(IF(Career_History!I12=TRUE,IF(A170&lt;Career_History!D12,0,MIN(A170,Career_History!E12)-Career_History!D12+1),0),IF(Career_History!I13=TRUE,IF(A170&lt;Career_History!D13,0,MIN(A170,Career_History!E13)-Career_History!D13+1),0))/365.2425</f>
        <v>0</v>
      </c>
      <c r="P170" s="9">
        <f>SUM(IF(Career_History!H12=TRUE,IF(A170&lt;Career_History!D12,0,MIN(A170,Career_History!E12)-Career_History!D12+1),0),IF(Career_History!H13=TRUE,IF(A170&lt;Career_History!D13,0,MIN(A170,Career_History!E13)-Career_History!D13+1),0))/365.2425</f>
        <v>14.001656433739228</v>
      </c>
      <c r="Q170" s="9"/>
      <c r="R170" s="9"/>
      <c r="S170" s="9"/>
      <c r="T170" s="9">
        <f>SUM(IF(Career_History!G16=TRUE,IF(A170&lt;Career_History!D16,0,MIN(A170,Career_History!E16)-Career_History!D16+1),0),IF(Career_History!G17=TRUE,IF(A170&lt;Career_History!D17,0,MIN(A170,Career_History!E17)-Career_History!D17+1),0))/365.2425</f>
        <v>33.506505951525355</v>
      </c>
      <c r="U170" s="9">
        <f>SUM(IF(Career_History!I16=TRUE,IF(A170&lt;Career_History!D16,0,MIN(A170,Career_History!E16)-Career_History!D16+1),0),IF(Career_History!I17=TRUE,IF(A170&lt;Career_History!D17,0,MIN(A170,Career_History!E17)-Career_History!D17+1),0))/365.2425</f>
        <v>21.506259539894728</v>
      </c>
      <c r="V170" s="9">
        <f>SUM(IF(Career_History!H16=TRUE,IF(A170&lt;Career_History!D16,0,MIN(A170,Career_History!E16)-Career_History!D16+1),0),IF(Career_History!H17=TRUE,IF(A170&lt;Career_History!D17,0,MIN(A170,Career_History!E17)-Career_History!D17+1),0))/365.2425</f>
        <v>33.506505951525355</v>
      </c>
      <c r="W170" s="9">
        <f>SUM(IF(Career_History!G18=TRUE,IF(A170&lt;Career_History!D18,0,MIN(A170,Career_History!E18)-Career_History!D18+1),0),IF(Career_History!G19=TRUE,IF(A170&lt;Career_History!D19,0,MIN(A170,Career_History!E19)-Career_History!D19+1),0),IF(Career_History!G20=TRUE,IF(A170&lt;Career_History!D20,0,MIN(A170,Career_History!E20)-Career_History!D20+1),0))/365.2425</f>
        <v>40.504596261387981</v>
      </c>
      <c r="X170" s="9">
        <f>SUM(IF(Career_History!I18=TRUE,IF(A170&lt;Career_History!D18,0,MIN(A170,Career_History!E18)-Career_History!D18+1),0),IF(Career_History!I19=TRUE,IF(A170&lt;Career_History!D19,0,MIN(A170,Career_History!E19)-Career_History!D19+1),0),IF(Career_History!I20=TRUE,IF(A170&lt;Career_History!D20,0,MIN(A170,Career_History!E20)-Career_History!D20+1),0))/365.2425</f>
        <v>0</v>
      </c>
      <c r="Y170" s="9">
        <f>SUM(IF(Career_History!H18=TRUE,IF(A170&lt;Career_History!D18,0,MIN(A170,Career_History!E18)-Career_History!D18+1),0),IF(Career_History!H19=TRUE,IF(A170&lt;Career_History!D19,0,MIN(A170,Career_History!E19)-Career_History!D19+1),0),IF(Career_History!H20=TRUE,IF(A170&lt;Career_History!D20,0,MIN(A170,Career_History!E20)-Career_History!D20+1),0))/365.2425</f>
        <v>10.926986864891134</v>
      </c>
      <c r="Z170" s="9">
        <f>SUM(IF(Career_History!G21=TRUE,IF(A170&lt;Career_History!D21,0,MIN(A170,Career_History!E21)-Career_History!D21+1),0),IF(Career_History!G22=TRUE,IF(A170&lt;Career_History!D22,0,MIN(A170,Career_History!E22)-Career_History!D22+1),0),IF(Career_History!G23=TRUE,IF(A170&lt;Career_History!D23,0,MIN(A170,Career_History!E23)-Career_History!D23+1),0),IF(Career_History!G24=TRUE,IF(A170&lt;Career_History!D24,0,MIN(A170,Career_History!E24)-Career_History!D24+1),0))/365.2425</f>
        <v>37.506588088735569</v>
      </c>
      <c r="AA170" s="9">
        <f>SUM(IF(Career_History!I21=TRUE,IF(A170&lt;Career_History!D21,0,MIN(A170,Career_History!E21)-Career_History!D21+1),0),IF(Career_History!I22=TRUE,IF(A170&lt;Career_History!D22,0,MIN(A170,Career_History!E22)-Career_History!D22+1),0),IF(Career_History!I23=TRUE,IF(A170&lt;Career_History!D23,0,MIN(A170,Career_History!E23)-Career_History!D23+1),0),IF(Career_History!I24=TRUE,IF(A170&lt;Career_History!D24,0,MIN(A170,Career_History!E24)-Career_History!D24+1),0))/365.2425</f>
        <v>26.505677734655741</v>
      </c>
      <c r="AB170" s="9">
        <f>SUM(IF(Career_History!H21=TRUE,IF(A170&lt;Career_History!D21,0,MIN(A170,Career_History!E21)-Career_History!D21+1),0),IF(Career_History!H22=TRUE,IF(A170&lt;Career_History!D22,0,MIN(A170,Career_History!E22)-Career_History!D22+1),0),IF(Career_History!H23=TRUE,IF(A170&lt;Career_History!D23,0,MIN(A170,Career_History!E23)-Career_History!D23+1),0),IF(Career_History!H24=TRUE,IF(A170&lt;Career_History!D24,0,MIN(A170,Career_History!E24)-Career_History!D24+1),0))/365.2425</f>
        <v>28.422212639547698</v>
      </c>
      <c r="AC170" s="9">
        <f>SUM(IF(Career_History!G25=TRUE,IF(A170&lt;Career_History!D25,0,MIN(A170,Career_History!E25)-Career_History!D25+1),0),IF(Career_History!G26=TRUE,IF(A170&lt;Career_History!D26,0,MIN(A170,Career_History!E26)-Career_History!D26+1),0),IF(Career_History!G27=TRUE,IF(A170&lt;Career_History!D27,0,MIN(A170,Career_History!E27)-Career_History!D27+1),0),IF(Career_History!G28=TRUE,IF(A170&lt;Career_History!D28,0,MIN(A170,Career_History!E28)-Career_History!D28+1),0),IF(Career_History!G29=TRUE,IF(A170&lt;Career_History!D29,0,MIN(A170,Career_History!E29)-Career_History!D29+1),0))/365.2425</f>
        <v>35.505178066626968</v>
      </c>
      <c r="AD170" s="9">
        <f>SUM(IF(Career_History!I25=TRUE,IF(A170&lt;Career_History!D25,0,MIN(A170,Career_History!E25)-Career_History!D25+1),0),IF(Career_History!I26=TRUE,IF(A170&lt;Career_History!D26,0,MIN(A170,Career_History!E26)-Career_History!D26+1),0),IF(Career_History!I27=TRUE,IF(A170&lt;Career_History!D27,0,MIN(A170,Career_History!E27)-Career_History!D27+1),0),IF(Career_History!I28=TRUE,IF(A170&lt;Career_History!D28,0,MIN(A170,Career_History!E28)-Career_History!D28+1),0),IF(Career_History!I29=TRUE,IF(A170&lt;Career_History!D29,0,MIN(A170,Career_History!E29)-Career_History!D29+1),0))/365.2425</f>
        <v>0</v>
      </c>
      <c r="AE170" s="9">
        <f>SUM(IF(Career_History!H25=TRUE,IF(A170&lt;Career_History!D25,0,MIN(A170,Career_History!E25)-Career_History!D25+1),0),IF(Career_History!H26=TRUE,IF(A170&lt;Career_History!D26,0,MIN(A170,Career_History!E26)-Career_History!D26+1),0),IF(Career_History!H27=TRUE,IF(A170&lt;Career_History!D27,0,MIN(A170,Career_History!E27)-Career_History!D27+1),0),IF(Career_History!H28=TRUE,IF(A170&lt;Career_History!D28,0,MIN(A170,Career_History!E28)-Career_History!D28+1),0),IF(Career_History!H29=TRUE,IF(A170&lt;Career_History!D29,0,MIN(A170,Career_History!E29)-Career_History!D29+1),0))/365.2425</f>
        <v>23.001156765710451</v>
      </c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</row>
    <row r="171" spans="1:67">
      <c r="A171" s="8">
        <v>39844</v>
      </c>
      <c r="B171" s="9">
        <f t="shared" si="6"/>
        <v>36.091090166122513</v>
      </c>
      <c r="C171" s="9">
        <f t="shared" si="7"/>
        <v>12.002984318637617</v>
      </c>
      <c r="D171" s="9">
        <f t="shared" si="8"/>
        <v>24.817758064847332</v>
      </c>
      <c r="E171" s="9"/>
      <c r="F171" s="9"/>
      <c r="G171" s="9"/>
      <c r="H171" s="9"/>
      <c r="I171" s="9"/>
      <c r="J171" s="9"/>
      <c r="K171" s="9"/>
      <c r="L171" s="9"/>
      <c r="M171" s="9"/>
      <c r="N171" s="9">
        <f>SUM(IF(Career_History!G12=TRUE,IF(A171&lt;Career_History!D12,0,MIN(A171,Career_History!E12)-Career_History!D12+1),0),IF(Career_History!G13=TRUE,IF(A171&lt;Career_History!D13,0,MIN(A171,Career_History!E13)-Career_History!D13+1),0))/365.2425</f>
        <v>37.591463205952209</v>
      </c>
      <c r="O171" s="9">
        <f>SUM(IF(Career_History!I12=TRUE,IF(A171&lt;Career_History!D12,0,MIN(A171,Career_History!E12)-Career_History!D12+1),0),IF(Career_History!I13=TRUE,IF(A171&lt;Career_History!D13,0,MIN(A171,Career_History!E13)-Career_History!D13+1),0))/365.2425</f>
        <v>0</v>
      </c>
      <c r="P171" s="9">
        <f>SUM(IF(Career_History!H12=TRUE,IF(A171&lt;Career_History!D12,0,MIN(A171,Career_History!E12)-Career_History!D12+1),0),IF(Career_History!H13=TRUE,IF(A171&lt;Career_History!D13,0,MIN(A171,Career_History!E13)-Career_History!D13+1),0))/365.2425</f>
        <v>14.086531550955872</v>
      </c>
      <c r="Q171" s="9"/>
      <c r="R171" s="9"/>
      <c r="S171" s="9"/>
      <c r="T171" s="9">
        <f>SUM(IF(Career_History!G16=TRUE,IF(A171&lt;Career_History!D16,0,MIN(A171,Career_History!E16)-Career_History!D16+1),0),IF(Career_History!G17=TRUE,IF(A171&lt;Career_History!D17,0,MIN(A171,Career_History!E17)-Career_History!D17+1),0))/365.2425</f>
        <v>33.591381068742002</v>
      </c>
      <c r="U171" s="9">
        <f>SUM(IF(Career_History!I16=TRUE,IF(A171&lt;Career_History!D16,0,MIN(A171,Career_History!E16)-Career_History!D16+1),0),IF(Career_History!I17=TRUE,IF(A171&lt;Career_History!D17,0,MIN(A171,Career_History!E17)-Career_History!D17+1),0))/365.2425</f>
        <v>21.506259539894728</v>
      </c>
      <c r="V171" s="9">
        <f>SUM(IF(Career_History!H16=TRUE,IF(A171&lt;Career_History!D16,0,MIN(A171,Career_History!E16)-Career_History!D16+1),0),IF(Career_History!H17=TRUE,IF(A171&lt;Career_History!D17,0,MIN(A171,Career_History!E17)-Career_History!D17+1),0))/365.2425</f>
        <v>33.591381068742002</v>
      </c>
      <c r="W171" s="9"/>
      <c r="X171" s="9"/>
      <c r="Y171" s="9"/>
      <c r="Z171" s="9">
        <f>SUM(IF(Career_History!G21=TRUE,IF(A171&lt;Career_History!D21,0,MIN(A171,Career_History!E21)-Career_History!D21+1),0),IF(Career_History!G22=TRUE,IF(A171&lt;Career_History!D22,0,MIN(A171,Career_History!E22)-Career_History!D22+1),0),IF(Career_History!G23=TRUE,IF(A171&lt;Career_History!D23,0,MIN(A171,Career_History!E23)-Career_History!D23+1),0),IF(Career_History!G24=TRUE,IF(A171&lt;Career_History!D24,0,MIN(A171,Career_History!E24)-Career_History!D24+1),0))/365.2425</f>
        <v>37.591463205952209</v>
      </c>
      <c r="AA171" s="9">
        <f>SUM(IF(Career_History!I21=TRUE,IF(A171&lt;Career_History!D21,0,MIN(A171,Career_History!E21)-Career_History!D21+1),0),IF(Career_History!I22=TRUE,IF(A171&lt;Career_History!D22,0,MIN(A171,Career_History!E22)-Career_History!D22+1),0),IF(Career_History!I23=TRUE,IF(A171&lt;Career_History!D23,0,MIN(A171,Career_History!E23)-Career_History!D23+1),0),IF(Career_History!I24=TRUE,IF(A171&lt;Career_History!D24,0,MIN(A171,Career_History!E24)-Career_History!D24+1),0))/365.2425</f>
        <v>26.505677734655741</v>
      </c>
      <c r="AB171" s="9">
        <f>SUM(IF(Career_History!H21=TRUE,IF(A171&lt;Career_History!D21,0,MIN(A171,Career_History!E21)-Career_History!D21+1),0),IF(Career_History!H22=TRUE,IF(A171&lt;Career_History!D22,0,MIN(A171,Career_History!E22)-Career_History!D22+1),0),IF(Career_History!H23=TRUE,IF(A171&lt;Career_History!D23,0,MIN(A171,Career_History!E23)-Career_History!D23+1),0),IF(Career_History!H24=TRUE,IF(A171&lt;Career_History!D24,0,MIN(A171,Career_History!E24)-Career_History!D24+1),0))/365.2425</f>
        <v>28.507087756764342</v>
      </c>
      <c r="AC171" s="9">
        <f>SUM(IF(Career_History!G25=TRUE,IF(A171&lt;Career_History!D25,0,MIN(A171,Career_History!E25)-Career_History!D25+1),0),IF(Career_History!G26=TRUE,IF(A171&lt;Career_History!D26,0,MIN(A171,Career_History!E26)-Career_History!D26+1),0),IF(Career_History!G27=TRUE,IF(A171&lt;Career_History!D27,0,MIN(A171,Career_History!E27)-Career_History!D27+1),0),IF(Career_History!G28=TRUE,IF(A171&lt;Career_History!D28,0,MIN(A171,Career_History!E28)-Career_History!D28+1),0),IF(Career_History!G29=TRUE,IF(A171&lt;Career_History!D29,0,MIN(A171,Career_History!E29)-Career_History!D29+1),0))/365.2425</f>
        <v>35.590053183843608</v>
      </c>
      <c r="AD171" s="9">
        <f>SUM(IF(Career_History!I25=TRUE,IF(A171&lt;Career_History!D25,0,MIN(A171,Career_History!E25)-Career_History!D25+1),0),IF(Career_History!I26=TRUE,IF(A171&lt;Career_History!D26,0,MIN(A171,Career_History!E26)-Career_History!D26+1),0),IF(Career_History!I27=TRUE,IF(A171&lt;Career_History!D27,0,MIN(A171,Career_History!E27)-Career_History!D27+1),0),IF(Career_History!I28=TRUE,IF(A171&lt;Career_History!D28,0,MIN(A171,Career_History!E28)-Career_History!D28+1),0),IF(Career_History!I29=TRUE,IF(A171&lt;Career_History!D29,0,MIN(A171,Career_History!E29)-Career_History!D29+1),0))/365.2425</f>
        <v>0</v>
      </c>
      <c r="AE171" s="9">
        <f>SUM(IF(Career_History!H25=TRUE,IF(A171&lt;Career_History!D25,0,MIN(A171,Career_History!E25)-Career_History!D25+1),0),IF(Career_History!H26=TRUE,IF(A171&lt;Career_History!D26,0,MIN(A171,Career_History!E26)-Career_History!D26+1),0),IF(Career_History!H27=TRUE,IF(A171&lt;Career_History!D27,0,MIN(A171,Career_History!E27)-Career_History!D27+1),0),IF(Career_History!H28=TRUE,IF(A171&lt;Career_History!D28,0,MIN(A171,Career_History!E28)-Career_History!D28+1),0),IF(Career_History!H29=TRUE,IF(A171&lt;Career_History!D29,0,MIN(A171,Career_History!E29)-Career_History!D29+1),0))/365.2425</f>
        <v>23.086031882927095</v>
      </c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</row>
    <row r="172" spans="1:67">
      <c r="A172" s="8">
        <v>39872</v>
      </c>
      <c r="B172" s="9">
        <f t="shared" si="6"/>
        <v>36.167751562318188</v>
      </c>
      <c r="C172" s="9">
        <f t="shared" si="7"/>
        <v>12.002984318637617</v>
      </c>
      <c r="D172" s="9">
        <f t="shared" si="8"/>
        <v>24.894419461043007</v>
      </c>
      <c r="E172" s="9"/>
      <c r="F172" s="9"/>
      <c r="G172" s="9"/>
      <c r="H172" s="9"/>
      <c r="I172" s="9"/>
      <c r="J172" s="9"/>
      <c r="K172" s="9"/>
      <c r="L172" s="9"/>
      <c r="M172" s="9"/>
      <c r="N172" s="9">
        <f>SUM(IF(Career_History!G12=TRUE,IF(A172&lt;Career_History!D12,0,MIN(A172,Career_History!E12)-Career_History!D12+1),0),IF(Career_History!G13=TRUE,IF(A172&lt;Career_History!D13,0,MIN(A172,Career_History!E13)-Career_History!D13+1),0))/365.2425</f>
        <v>37.668124602147884</v>
      </c>
      <c r="O172" s="9">
        <f>SUM(IF(Career_History!I12=TRUE,IF(A172&lt;Career_History!D12,0,MIN(A172,Career_History!E12)-Career_History!D12+1),0),IF(Career_History!I13=TRUE,IF(A172&lt;Career_History!D13,0,MIN(A172,Career_History!E13)-Career_History!D13+1),0))/365.2425</f>
        <v>0</v>
      </c>
      <c r="P172" s="9">
        <f>SUM(IF(Career_History!H12=TRUE,IF(A172&lt;Career_History!D12,0,MIN(A172,Career_History!E12)-Career_History!D12+1),0),IF(Career_History!H13=TRUE,IF(A172&lt;Career_History!D13,0,MIN(A172,Career_History!E13)-Career_History!D13+1),0))/365.2425</f>
        <v>14.163192947151551</v>
      </c>
      <c r="Q172" s="9"/>
      <c r="R172" s="9"/>
      <c r="S172" s="9"/>
      <c r="T172" s="9">
        <f>SUM(IF(Career_History!G16=TRUE,IF(A172&lt;Career_History!D16,0,MIN(A172,Career_History!E16)-Career_History!D16+1),0),IF(Career_History!G17=TRUE,IF(A172&lt;Career_History!D17,0,MIN(A172,Career_History!E17)-Career_History!D17+1),0))/365.2425</f>
        <v>33.668042464937677</v>
      </c>
      <c r="U172" s="9">
        <f>SUM(IF(Career_History!I16=TRUE,IF(A172&lt;Career_History!D16,0,MIN(A172,Career_History!E16)-Career_History!D16+1),0),IF(Career_History!I17=TRUE,IF(A172&lt;Career_History!D17,0,MIN(A172,Career_History!E17)-Career_History!D17+1),0))/365.2425</f>
        <v>21.506259539894728</v>
      </c>
      <c r="V172" s="9">
        <f>SUM(IF(Career_History!H16=TRUE,IF(A172&lt;Career_History!D16,0,MIN(A172,Career_History!E16)-Career_History!D16+1),0),IF(Career_History!H17=TRUE,IF(A172&lt;Career_History!D17,0,MIN(A172,Career_History!E17)-Career_History!D17+1),0))/365.2425</f>
        <v>33.668042464937677</v>
      </c>
      <c r="W172" s="9"/>
      <c r="X172" s="9"/>
      <c r="Y172" s="9"/>
      <c r="Z172" s="9">
        <f>SUM(IF(Career_History!G21=TRUE,IF(A172&lt;Career_History!D21,0,MIN(A172,Career_History!E21)-Career_History!D21+1),0),IF(Career_History!G22=TRUE,IF(A172&lt;Career_History!D22,0,MIN(A172,Career_History!E22)-Career_History!D22+1),0),IF(Career_History!G23=TRUE,IF(A172&lt;Career_History!D23,0,MIN(A172,Career_History!E23)-Career_History!D23+1),0),IF(Career_History!G24=TRUE,IF(A172&lt;Career_History!D24,0,MIN(A172,Career_History!E24)-Career_History!D24+1),0))/365.2425</f>
        <v>37.668124602147884</v>
      </c>
      <c r="AA172" s="9">
        <f>SUM(IF(Career_History!I21=TRUE,IF(A172&lt;Career_History!D21,0,MIN(A172,Career_History!E21)-Career_History!D21+1),0),IF(Career_History!I22=TRUE,IF(A172&lt;Career_History!D22,0,MIN(A172,Career_History!E22)-Career_History!D22+1),0),IF(Career_History!I23=TRUE,IF(A172&lt;Career_History!D23,0,MIN(A172,Career_History!E23)-Career_History!D23+1),0),IF(Career_History!I24=TRUE,IF(A172&lt;Career_History!D24,0,MIN(A172,Career_History!E24)-Career_History!D24+1),0))/365.2425</f>
        <v>26.505677734655741</v>
      </c>
      <c r="AB172" s="9">
        <f>SUM(IF(Career_History!H21=TRUE,IF(A172&lt;Career_History!D21,0,MIN(A172,Career_History!E21)-Career_History!D21+1),0),IF(Career_History!H22=TRUE,IF(A172&lt;Career_History!D22,0,MIN(A172,Career_History!E22)-Career_History!D22+1),0),IF(Career_History!H23=TRUE,IF(A172&lt;Career_History!D23,0,MIN(A172,Career_History!E23)-Career_History!D23+1),0),IF(Career_History!H24=TRUE,IF(A172&lt;Career_History!D24,0,MIN(A172,Career_History!E24)-Career_History!D24+1),0))/365.2425</f>
        <v>28.583749152960021</v>
      </c>
      <c r="AC172" s="9">
        <f>SUM(IF(Career_History!G25=TRUE,IF(A172&lt;Career_History!D25,0,MIN(A172,Career_History!E25)-Career_History!D25+1),0),IF(Career_History!G26=TRUE,IF(A172&lt;Career_History!D26,0,MIN(A172,Career_History!E26)-Career_History!D26+1),0),IF(Career_History!G27=TRUE,IF(A172&lt;Career_History!D27,0,MIN(A172,Career_History!E27)-Career_History!D27+1),0),IF(Career_History!G28=TRUE,IF(A172&lt;Career_History!D28,0,MIN(A172,Career_History!E28)-Career_History!D28+1),0),IF(Career_History!G29=TRUE,IF(A172&lt;Career_History!D29,0,MIN(A172,Career_History!E29)-Career_History!D29+1),0))/365.2425</f>
        <v>35.66671458003929</v>
      </c>
      <c r="AD172" s="9">
        <f>SUM(IF(Career_History!I25=TRUE,IF(A172&lt;Career_History!D25,0,MIN(A172,Career_History!E25)-Career_History!D25+1),0),IF(Career_History!I26=TRUE,IF(A172&lt;Career_History!D26,0,MIN(A172,Career_History!E26)-Career_History!D26+1),0),IF(Career_History!I27=TRUE,IF(A172&lt;Career_History!D27,0,MIN(A172,Career_History!E27)-Career_History!D27+1),0),IF(Career_History!I28=TRUE,IF(A172&lt;Career_History!D28,0,MIN(A172,Career_History!E28)-Career_History!D28+1),0),IF(Career_History!I29=TRUE,IF(A172&lt;Career_History!D29,0,MIN(A172,Career_History!E29)-Career_History!D29+1),0))/365.2425</f>
        <v>0</v>
      </c>
      <c r="AE172" s="9">
        <f>SUM(IF(Career_History!H25=TRUE,IF(A172&lt;Career_History!D25,0,MIN(A172,Career_History!E25)-Career_History!D25+1),0),IF(Career_History!H26=TRUE,IF(A172&lt;Career_History!D26,0,MIN(A172,Career_History!E26)-Career_History!D26+1),0),IF(Career_History!H27=TRUE,IF(A172&lt;Career_History!D27,0,MIN(A172,Career_History!E27)-Career_History!D27+1),0),IF(Career_History!H28=TRUE,IF(A172&lt;Career_History!D28,0,MIN(A172,Career_History!E28)-Career_History!D28+1),0),IF(Career_History!H29=TRUE,IF(A172&lt;Career_History!D29,0,MIN(A172,Career_History!E29)-Career_History!D29+1),0))/365.2425</f>
        <v>23.162693279122774</v>
      </c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</row>
    <row r="173" spans="1:67">
      <c r="A173" s="8">
        <v>39903</v>
      </c>
      <c r="B173" s="9">
        <f t="shared" si="6"/>
        <v>36.252626679534828</v>
      </c>
      <c r="C173" s="9">
        <f t="shared" si="7"/>
        <v>12.002984318637617</v>
      </c>
      <c r="D173" s="9">
        <f t="shared" si="8"/>
        <v>24.979294578259651</v>
      </c>
      <c r="E173" s="9"/>
      <c r="F173" s="9"/>
      <c r="G173" s="9"/>
      <c r="H173" s="9"/>
      <c r="I173" s="9"/>
      <c r="J173" s="9"/>
      <c r="K173" s="9"/>
      <c r="L173" s="9"/>
      <c r="M173" s="9"/>
      <c r="N173" s="9">
        <f>SUM(IF(Career_History!G12=TRUE,IF(A173&lt;Career_History!D12,0,MIN(A173,Career_History!E12)-Career_History!D12+1),0),IF(Career_History!G13=TRUE,IF(A173&lt;Career_History!D13,0,MIN(A173,Career_History!E13)-Career_History!D13+1),0))/365.2425</f>
        <v>37.752999719364531</v>
      </c>
      <c r="O173" s="9">
        <f>SUM(IF(Career_History!I12=TRUE,IF(A173&lt;Career_History!D12,0,MIN(A173,Career_History!E12)-Career_History!D12+1),0),IF(Career_History!I13=TRUE,IF(A173&lt;Career_History!D13,0,MIN(A173,Career_History!E13)-Career_History!D13+1),0))/365.2425</f>
        <v>0</v>
      </c>
      <c r="P173" s="9">
        <f>SUM(IF(Career_History!H12=TRUE,IF(A173&lt;Career_History!D12,0,MIN(A173,Career_History!E12)-Career_History!D12+1),0),IF(Career_History!H13=TRUE,IF(A173&lt;Career_History!D13,0,MIN(A173,Career_History!E13)-Career_History!D13+1),0))/365.2425</f>
        <v>14.248068064368194</v>
      </c>
      <c r="Q173" s="9"/>
      <c r="R173" s="9"/>
      <c r="S173" s="9"/>
      <c r="T173" s="9">
        <f>SUM(IF(Career_History!G16=TRUE,IF(A173&lt;Career_History!D16,0,MIN(A173,Career_History!E16)-Career_History!D16+1),0),IF(Career_History!G17=TRUE,IF(A173&lt;Career_History!D17,0,MIN(A173,Career_History!E17)-Career_History!D17+1),0))/365.2425</f>
        <v>33.752917582154325</v>
      </c>
      <c r="U173" s="9">
        <f>SUM(IF(Career_History!I16=TRUE,IF(A173&lt;Career_History!D16,0,MIN(A173,Career_History!E16)-Career_History!D16+1),0),IF(Career_History!I17=TRUE,IF(A173&lt;Career_History!D17,0,MIN(A173,Career_History!E17)-Career_History!D17+1),0))/365.2425</f>
        <v>21.506259539894728</v>
      </c>
      <c r="V173" s="9">
        <f>SUM(IF(Career_History!H16=TRUE,IF(A173&lt;Career_History!D16,0,MIN(A173,Career_History!E16)-Career_History!D16+1),0),IF(Career_History!H17=TRUE,IF(A173&lt;Career_History!D17,0,MIN(A173,Career_History!E17)-Career_History!D17+1),0))/365.2425</f>
        <v>33.752917582154325</v>
      </c>
      <c r="W173" s="9"/>
      <c r="X173" s="9"/>
      <c r="Y173" s="9"/>
      <c r="Z173" s="9">
        <f>SUM(IF(Career_History!G21=TRUE,IF(A173&lt;Career_History!D21,0,MIN(A173,Career_History!E21)-Career_History!D21+1),0),IF(Career_History!G22=TRUE,IF(A173&lt;Career_History!D22,0,MIN(A173,Career_History!E22)-Career_History!D22+1),0),IF(Career_History!G23=TRUE,IF(A173&lt;Career_History!D23,0,MIN(A173,Career_History!E23)-Career_History!D23+1),0),IF(Career_History!G24=TRUE,IF(A173&lt;Career_History!D24,0,MIN(A173,Career_History!E24)-Career_History!D24+1),0))/365.2425</f>
        <v>37.752999719364531</v>
      </c>
      <c r="AA173" s="9">
        <f>SUM(IF(Career_History!I21=TRUE,IF(A173&lt;Career_History!D21,0,MIN(A173,Career_History!E21)-Career_History!D21+1),0),IF(Career_History!I22=TRUE,IF(A173&lt;Career_History!D22,0,MIN(A173,Career_History!E22)-Career_History!D22+1),0),IF(Career_History!I23=TRUE,IF(A173&lt;Career_History!D23,0,MIN(A173,Career_History!E23)-Career_History!D23+1),0),IF(Career_History!I24=TRUE,IF(A173&lt;Career_History!D24,0,MIN(A173,Career_History!E24)-Career_History!D24+1),0))/365.2425</f>
        <v>26.505677734655741</v>
      </c>
      <c r="AB173" s="9">
        <f>SUM(IF(Career_History!H21=TRUE,IF(A173&lt;Career_History!D21,0,MIN(A173,Career_History!E21)-Career_History!D21+1),0),IF(Career_History!H22=TRUE,IF(A173&lt;Career_History!D22,0,MIN(A173,Career_History!E22)-Career_History!D22+1),0),IF(Career_History!H23=TRUE,IF(A173&lt;Career_History!D23,0,MIN(A173,Career_History!E23)-Career_History!D23+1),0),IF(Career_History!H24=TRUE,IF(A173&lt;Career_History!D24,0,MIN(A173,Career_History!E24)-Career_History!D24+1),0))/365.2425</f>
        <v>28.668624270176664</v>
      </c>
      <c r="AC173" s="9">
        <f>SUM(IF(Career_History!G25=TRUE,IF(A173&lt;Career_History!D25,0,MIN(A173,Career_History!E25)-Career_History!D25+1),0),IF(Career_History!G26=TRUE,IF(A173&lt;Career_History!D26,0,MIN(A173,Career_History!E26)-Career_History!D26+1),0),IF(Career_History!G27=TRUE,IF(A173&lt;Career_History!D27,0,MIN(A173,Career_History!E27)-Career_History!D27+1),0),IF(Career_History!G28=TRUE,IF(A173&lt;Career_History!D28,0,MIN(A173,Career_History!E28)-Career_History!D28+1),0),IF(Career_History!G29=TRUE,IF(A173&lt;Career_History!D29,0,MIN(A173,Career_History!E29)-Career_History!D29+1),0))/365.2425</f>
        <v>35.75158969725593</v>
      </c>
      <c r="AD173" s="9">
        <f>SUM(IF(Career_History!I25=TRUE,IF(A173&lt;Career_History!D25,0,MIN(A173,Career_History!E25)-Career_History!D25+1),0),IF(Career_History!I26=TRUE,IF(A173&lt;Career_History!D26,0,MIN(A173,Career_History!E26)-Career_History!D26+1),0),IF(Career_History!I27=TRUE,IF(A173&lt;Career_History!D27,0,MIN(A173,Career_History!E27)-Career_History!D27+1),0),IF(Career_History!I28=TRUE,IF(A173&lt;Career_History!D28,0,MIN(A173,Career_History!E28)-Career_History!D28+1),0),IF(Career_History!I29=TRUE,IF(A173&lt;Career_History!D29,0,MIN(A173,Career_History!E29)-Career_History!D29+1),0))/365.2425</f>
        <v>0</v>
      </c>
      <c r="AE173" s="9">
        <f>SUM(IF(Career_History!H25=TRUE,IF(A173&lt;Career_History!D25,0,MIN(A173,Career_History!E25)-Career_History!D25+1),0),IF(Career_History!H26=TRUE,IF(A173&lt;Career_History!D26,0,MIN(A173,Career_History!E26)-Career_History!D26+1),0),IF(Career_History!H27=TRUE,IF(A173&lt;Career_History!D27,0,MIN(A173,Career_History!E27)-Career_History!D27+1),0),IF(Career_History!H28=TRUE,IF(A173&lt;Career_History!D28,0,MIN(A173,Career_History!E28)-Career_History!D28+1),0),IF(Career_History!H29=TRUE,IF(A173&lt;Career_History!D29,0,MIN(A173,Career_History!E29)-Career_History!D29+1),0))/365.2425</f>
        <v>23.247568396339418</v>
      </c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</row>
    <row r="174" spans="1:67">
      <c r="A174" s="8">
        <v>39933</v>
      </c>
      <c r="B174" s="9">
        <f t="shared" si="6"/>
        <v>36.33476388974448</v>
      </c>
      <c r="C174" s="9">
        <f t="shared" si="7"/>
        <v>12.002984318637617</v>
      </c>
      <c r="D174" s="9">
        <f t="shared" si="8"/>
        <v>25.061431788469303</v>
      </c>
      <c r="E174" s="9"/>
      <c r="F174" s="9"/>
      <c r="G174" s="9"/>
      <c r="H174" s="9"/>
      <c r="I174" s="9"/>
      <c r="J174" s="9"/>
      <c r="K174" s="9"/>
      <c r="L174" s="9"/>
      <c r="M174" s="9"/>
      <c r="N174" s="9">
        <f>SUM(IF(Career_History!G12=TRUE,IF(A174&lt;Career_History!D12,0,MIN(A174,Career_History!E12)-Career_History!D12+1),0),IF(Career_History!G13=TRUE,IF(A174&lt;Career_History!D13,0,MIN(A174,Career_History!E13)-Career_History!D13+1),0))/365.2425</f>
        <v>37.835136929574183</v>
      </c>
      <c r="O174" s="9">
        <f>SUM(IF(Career_History!I12=TRUE,IF(A174&lt;Career_History!D12,0,MIN(A174,Career_History!E12)-Career_History!D12+1),0),IF(Career_History!I13=TRUE,IF(A174&lt;Career_History!D13,0,MIN(A174,Career_History!E13)-Career_History!D13+1),0))/365.2425</f>
        <v>0</v>
      </c>
      <c r="P174" s="9">
        <f>SUM(IF(Career_History!H12=TRUE,IF(A174&lt;Career_History!D12,0,MIN(A174,Career_History!E12)-Career_History!D12+1),0),IF(Career_History!H13=TRUE,IF(A174&lt;Career_History!D13,0,MIN(A174,Career_History!E13)-Career_History!D13+1),0))/365.2425</f>
        <v>14.330205274577848</v>
      </c>
      <c r="Q174" s="9"/>
      <c r="R174" s="9"/>
      <c r="S174" s="9"/>
      <c r="T174" s="9">
        <f>SUM(IF(Career_History!G16=TRUE,IF(A174&lt;Career_History!D16,0,MIN(A174,Career_History!E16)-Career_History!D16+1),0),IF(Career_History!G17=TRUE,IF(A174&lt;Career_History!D17,0,MIN(A174,Career_History!E17)-Career_History!D17+1),0))/365.2425</f>
        <v>33.835054792363977</v>
      </c>
      <c r="U174" s="9">
        <f>SUM(IF(Career_History!I16=TRUE,IF(A174&lt;Career_History!D16,0,MIN(A174,Career_History!E16)-Career_History!D16+1),0),IF(Career_History!I17=TRUE,IF(A174&lt;Career_History!D17,0,MIN(A174,Career_History!E17)-Career_History!D17+1),0))/365.2425</f>
        <v>21.506259539894728</v>
      </c>
      <c r="V174" s="9">
        <f>SUM(IF(Career_History!H16=TRUE,IF(A174&lt;Career_History!D16,0,MIN(A174,Career_History!E16)-Career_History!D16+1),0),IF(Career_History!H17=TRUE,IF(A174&lt;Career_History!D17,0,MIN(A174,Career_History!E17)-Career_History!D17+1),0))/365.2425</f>
        <v>33.835054792363977</v>
      </c>
      <c r="W174" s="9"/>
      <c r="X174" s="9"/>
      <c r="Y174" s="9"/>
      <c r="Z174" s="9">
        <f>SUM(IF(Career_History!G21=TRUE,IF(A174&lt;Career_History!D21,0,MIN(A174,Career_History!E21)-Career_History!D21+1),0),IF(Career_History!G22=TRUE,IF(A174&lt;Career_History!D22,0,MIN(A174,Career_History!E22)-Career_History!D22+1),0),IF(Career_History!G23=TRUE,IF(A174&lt;Career_History!D23,0,MIN(A174,Career_History!E23)-Career_History!D23+1),0),IF(Career_History!G24=TRUE,IF(A174&lt;Career_History!D24,0,MIN(A174,Career_History!E24)-Career_History!D24+1),0))/365.2425</f>
        <v>37.835136929574183</v>
      </c>
      <c r="AA174" s="9">
        <f>SUM(IF(Career_History!I21=TRUE,IF(A174&lt;Career_History!D21,0,MIN(A174,Career_History!E21)-Career_History!D21+1),0),IF(Career_History!I22=TRUE,IF(A174&lt;Career_History!D22,0,MIN(A174,Career_History!E22)-Career_History!D22+1),0),IF(Career_History!I23=TRUE,IF(A174&lt;Career_History!D23,0,MIN(A174,Career_History!E23)-Career_History!D23+1),0),IF(Career_History!I24=TRUE,IF(A174&lt;Career_History!D24,0,MIN(A174,Career_History!E24)-Career_History!D24+1),0))/365.2425</f>
        <v>26.505677734655741</v>
      </c>
      <c r="AB174" s="9">
        <f>SUM(IF(Career_History!H21=TRUE,IF(A174&lt;Career_History!D21,0,MIN(A174,Career_History!E21)-Career_History!D21+1),0),IF(Career_History!H22=TRUE,IF(A174&lt;Career_History!D22,0,MIN(A174,Career_History!E22)-Career_History!D22+1),0),IF(Career_History!H23=TRUE,IF(A174&lt;Career_History!D23,0,MIN(A174,Career_History!E23)-Career_History!D23+1),0),IF(Career_History!H24=TRUE,IF(A174&lt;Career_History!D24,0,MIN(A174,Career_History!E24)-Career_History!D24+1),0))/365.2425</f>
        <v>28.75076148038632</v>
      </c>
      <c r="AC174" s="9">
        <f>SUM(IF(Career_History!G25=TRUE,IF(A174&lt;Career_History!D25,0,MIN(A174,Career_History!E25)-Career_History!D25+1),0),IF(Career_History!G26=TRUE,IF(A174&lt;Career_History!D26,0,MIN(A174,Career_History!E26)-Career_History!D26+1),0),IF(Career_History!G27=TRUE,IF(A174&lt;Career_History!D27,0,MIN(A174,Career_History!E27)-Career_History!D27+1),0),IF(Career_History!G28=TRUE,IF(A174&lt;Career_History!D28,0,MIN(A174,Career_History!E28)-Career_History!D28+1),0),IF(Career_History!G29=TRUE,IF(A174&lt;Career_History!D29,0,MIN(A174,Career_History!E29)-Career_History!D29+1),0))/365.2425</f>
        <v>35.833726907465589</v>
      </c>
      <c r="AD174" s="9">
        <f>SUM(IF(Career_History!I25=TRUE,IF(A174&lt;Career_History!D25,0,MIN(A174,Career_History!E25)-Career_History!D25+1),0),IF(Career_History!I26=TRUE,IF(A174&lt;Career_History!D26,0,MIN(A174,Career_History!E26)-Career_History!D26+1),0),IF(Career_History!I27=TRUE,IF(A174&lt;Career_History!D27,0,MIN(A174,Career_History!E27)-Career_History!D27+1),0),IF(Career_History!I28=TRUE,IF(A174&lt;Career_History!D28,0,MIN(A174,Career_History!E28)-Career_History!D28+1),0),IF(Career_History!I29=TRUE,IF(A174&lt;Career_History!D29,0,MIN(A174,Career_History!E29)-Career_History!D29+1),0))/365.2425</f>
        <v>0</v>
      </c>
      <c r="AE174" s="9">
        <f>SUM(IF(Career_History!H25=TRUE,IF(A174&lt;Career_History!D25,0,MIN(A174,Career_History!E25)-Career_History!D25+1),0),IF(Career_History!H26=TRUE,IF(A174&lt;Career_History!D26,0,MIN(A174,Career_History!E26)-Career_History!D26+1),0),IF(Career_History!H27=TRUE,IF(A174&lt;Career_History!D27,0,MIN(A174,Career_History!E27)-Career_History!D27+1),0),IF(Career_History!H28=TRUE,IF(A174&lt;Career_History!D28,0,MIN(A174,Career_History!E28)-Career_History!D28+1),0),IF(Career_History!H29=TRUE,IF(A174&lt;Career_History!D29,0,MIN(A174,Career_History!E29)-Career_History!D29+1),0))/365.2425</f>
        <v>23.329705606549073</v>
      </c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</row>
    <row r="175" spans="1:67">
      <c r="A175" s="8">
        <v>39964</v>
      </c>
      <c r="B175" s="9">
        <f t="shared" si="6"/>
        <v>34.91926596713143</v>
      </c>
      <c r="C175" s="9">
        <f t="shared" si="7"/>
        <v>9.6023874549100938</v>
      </c>
      <c r="D175" s="9">
        <f t="shared" si="8"/>
        <v>20.119783431555746</v>
      </c>
      <c r="E175" s="9"/>
      <c r="F175" s="9"/>
      <c r="G175" s="9"/>
      <c r="H175" s="9"/>
      <c r="I175" s="9"/>
      <c r="J175" s="9"/>
      <c r="K175" s="9"/>
      <c r="L175" s="9"/>
      <c r="M175" s="9"/>
      <c r="N175" s="9">
        <f>SUM(IF(Career_History!G12=TRUE,IF(A175&lt;Career_History!D12,0,MIN(A175,Career_History!E12)-Career_History!D12+1),0),IF(Career_History!G13=TRUE,IF(A175&lt;Career_History!D13,0,MIN(A175,Career_History!E13)-Career_History!D13+1),0))/365.2425</f>
        <v>37.920012046790831</v>
      </c>
      <c r="O175" s="9">
        <f>SUM(IF(Career_History!I12=TRUE,IF(A175&lt;Career_History!D12,0,MIN(A175,Career_History!E12)-Career_History!D12+1),0),IF(Career_History!I13=TRUE,IF(A175&lt;Career_History!D13,0,MIN(A175,Career_History!E13)-Career_History!D13+1),0))/365.2425</f>
        <v>0</v>
      </c>
      <c r="P175" s="9">
        <f>SUM(IF(Career_History!H12=TRUE,IF(A175&lt;Career_History!D12,0,MIN(A175,Career_History!E12)-Career_History!D12+1),0),IF(Career_History!H13=TRUE,IF(A175&lt;Career_History!D13,0,MIN(A175,Career_History!E13)-Career_History!D13+1),0))/365.2425</f>
        <v>14.415080391794492</v>
      </c>
      <c r="Q175" s="9"/>
      <c r="R175" s="9"/>
      <c r="S175" s="9"/>
      <c r="T175" s="9">
        <f>SUM(IF(Career_History!G16=TRUE,IF(A175&lt;Career_History!D16,0,MIN(A175,Career_History!E16)-Career_History!D16+1),0),IF(Career_History!G17=TRUE,IF(A175&lt;Career_History!D17,0,MIN(A175,Career_History!E17)-Career_History!D17+1),0))/365.2425</f>
        <v>33.919929909580624</v>
      </c>
      <c r="U175" s="9">
        <f>SUM(IF(Career_History!I16=TRUE,IF(A175&lt;Career_History!D16,0,MIN(A175,Career_History!E16)-Career_History!D16+1),0),IF(Career_History!I17=TRUE,IF(A175&lt;Career_History!D17,0,MIN(A175,Career_History!E17)-Career_History!D17+1),0))/365.2425</f>
        <v>21.506259539894728</v>
      </c>
      <c r="V175" s="9">
        <f>SUM(IF(Career_History!H16=TRUE,IF(A175&lt;Career_History!D16,0,MIN(A175,Career_History!E16)-Career_History!D16+1),0),IF(Career_History!H17=TRUE,IF(A175&lt;Career_History!D17,0,MIN(A175,Career_History!E17)-Career_History!D17+1),0))/365.2425</f>
        <v>33.919929909580624</v>
      </c>
      <c r="W175" s="9"/>
      <c r="X175" s="9"/>
      <c r="Y175" s="9"/>
      <c r="Z175" s="9">
        <f>SUM(IF(Career_History!G21=TRUE,IF(A175&lt;Career_History!D21,0,MIN(A175,Career_History!E21)-Career_History!D21+1),0),IF(Career_History!G22=TRUE,IF(A175&lt;Career_History!D22,0,MIN(A175,Career_History!E22)-Career_History!D22+1),0),IF(Career_History!G23=TRUE,IF(A175&lt;Career_History!D23,0,MIN(A175,Career_History!E23)-Career_History!D23+1),0),IF(Career_History!G24=TRUE,IF(A175&lt;Career_History!D24,0,MIN(A175,Career_History!E24)-Career_History!D24+1),0))/365.2425</f>
        <v>37.920012046790831</v>
      </c>
      <c r="AA175" s="9">
        <f>SUM(IF(Career_History!I21=TRUE,IF(A175&lt;Career_History!D21,0,MIN(A175,Career_History!E21)-Career_History!D21+1),0),IF(Career_History!I22=TRUE,IF(A175&lt;Career_History!D22,0,MIN(A175,Career_History!E22)-Career_History!D22+1),0),IF(Career_History!I23=TRUE,IF(A175&lt;Career_History!D23,0,MIN(A175,Career_History!E23)-Career_History!D23+1),0),IF(Career_History!I24=TRUE,IF(A175&lt;Career_History!D24,0,MIN(A175,Career_History!E24)-Career_History!D24+1),0))/365.2425</f>
        <v>26.505677734655741</v>
      </c>
      <c r="AB175" s="9">
        <f>SUM(IF(Career_History!H21=TRUE,IF(A175&lt;Career_History!D21,0,MIN(A175,Career_History!E21)-Career_History!D21+1),0),IF(Career_History!H22=TRUE,IF(A175&lt;Career_History!D22,0,MIN(A175,Career_History!E22)-Career_History!D22+1),0),IF(Career_History!H23=TRUE,IF(A175&lt;Career_History!D23,0,MIN(A175,Career_History!E23)-Career_History!D23+1),0),IF(Career_History!H24=TRUE,IF(A175&lt;Career_History!D24,0,MIN(A175,Career_History!E24)-Career_History!D24+1),0))/365.2425</f>
        <v>28.835636597602964</v>
      </c>
      <c r="AC175" s="9">
        <f>SUM(IF(Career_History!G25=TRUE,IF(A175&lt;Career_History!D25,0,MIN(A175,Career_History!E25)-Career_History!D25+1),0),IF(Career_History!G26=TRUE,IF(A175&lt;Career_History!D26,0,MIN(A175,Career_History!E26)-Career_History!D26+1),0),IF(Career_History!G27=TRUE,IF(A175&lt;Career_History!D27,0,MIN(A175,Career_History!E27)-Career_History!D27+1),0),IF(Career_History!G28=TRUE,IF(A175&lt;Career_History!D28,0,MIN(A175,Career_History!E28)-Career_History!D28+1),0),IF(Career_History!G29=TRUE,IF(A175&lt;Career_History!D29,0,MIN(A175,Career_History!E29)-Career_History!D29+1),0))/365.2425</f>
        <v>35.91860202468223</v>
      </c>
      <c r="AD175" s="9">
        <f>SUM(IF(Career_History!I25=TRUE,IF(A175&lt;Career_History!D25,0,MIN(A175,Career_History!E25)-Career_History!D25+1),0),IF(Career_History!I26=TRUE,IF(A175&lt;Career_History!D26,0,MIN(A175,Career_History!E26)-Career_History!D26+1),0),IF(Career_History!I27=TRUE,IF(A175&lt;Career_History!D27,0,MIN(A175,Career_History!E27)-Career_History!D27+1),0),IF(Career_History!I28=TRUE,IF(A175&lt;Career_History!D28,0,MIN(A175,Career_History!E28)-Career_History!D28+1),0),IF(Career_History!I29=TRUE,IF(A175&lt;Career_History!D29,0,MIN(A175,Career_History!E29)-Career_History!D29+1),0))/365.2425</f>
        <v>0</v>
      </c>
      <c r="AE175" s="9">
        <f>SUM(IF(Career_History!H25=TRUE,IF(A175&lt;Career_History!D25,0,MIN(A175,Career_History!E25)-Career_History!D25+1),0),IF(Career_History!H26=TRUE,IF(A175&lt;Career_History!D26,0,MIN(A175,Career_History!E26)-Career_History!D26+1),0),IF(Career_History!H27=TRUE,IF(A175&lt;Career_History!D27,0,MIN(A175,Career_History!E27)-Career_History!D27+1),0),IF(Career_History!H28=TRUE,IF(A175&lt;Career_History!D28,0,MIN(A175,Career_History!E28)-Career_History!D28+1),0),IF(Career_History!H29=TRUE,IF(A175&lt;Career_History!D29,0,MIN(A175,Career_History!E29)-Career_History!D29+1),0))/365.2425</f>
        <v>23.414580723765717</v>
      </c>
      <c r="AF175" s="9">
        <f>SUM(IF(Career_History!G30=TRUE,IF(A175&lt;Career_History!D30,0,MIN(A175,Career_History!E30)-Career_History!D30+1),0),IF(Career_History!G31=TRUE,IF(A175&lt;Career_History!D31,0,MIN(A175,Career_History!E31)-Career_History!D31+1),0),IF(Career_History!G32=TRUE,IF(A175&lt;Career_History!D32,0,MIN(A175,Career_History!E32)-Career_History!D32+1),0))/365.2425</f>
        <v>28.917773807812615</v>
      </c>
      <c r="AG175" s="9">
        <f>SUM(IF(Career_History!I30=TRUE,IF(A175&lt;Career_History!D30,0,MIN(A175,Career_History!E30)-Career_History!D30+1),0),IF(Career_History!I31=TRUE,IF(A175&lt;Career_History!D31,0,MIN(A175,Career_History!E31)-Career_History!D31+1),0),IF(Career_History!I32=TRUE,IF(A175&lt;Career_History!D32,0,MIN(A175,Career_History!E32)-Career_History!D32+1),0))/365.2425</f>
        <v>0</v>
      </c>
      <c r="AH175" s="9">
        <f>SUM(IF(Career_History!H30=TRUE,IF(A175&lt;Career_History!D30,0,MIN(A175,Career_History!E30)-Career_History!D30+1),0),IF(Career_History!H31=TRUE,IF(A175&lt;Career_History!D31,0,MIN(A175,Career_History!E31)-Career_History!D31+1),0),IF(Career_History!H32=TRUE,IF(A175&lt;Career_History!D32,0,MIN(A175,Career_History!E32)-Career_History!D32+1),0))/365.2425</f>
        <v>1.3689535034942538E-2</v>
      </c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</row>
    <row r="176" spans="1:67">
      <c r="A176" s="8">
        <v>39994</v>
      </c>
      <c r="B176" s="9">
        <f t="shared" si="6"/>
        <v>35.001403177341082</v>
      </c>
      <c r="C176" s="9">
        <f t="shared" si="7"/>
        <v>9.6023874549100938</v>
      </c>
      <c r="D176" s="9">
        <f t="shared" si="8"/>
        <v>20.201920641765401</v>
      </c>
      <c r="E176" s="9"/>
      <c r="F176" s="9"/>
      <c r="G176" s="9"/>
      <c r="H176" s="9"/>
      <c r="I176" s="9"/>
      <c r="J176" s="9"/>
      <c r="K176" s="9"/>
      <c r="L176" s="9"/>
      <c r="M176" s="9"/>
      <c r="N176" s="9">
        <f>SUM(IF(Career_History!G12=TRUE,IF(A176&lt;Career_History!D12,0,MIN(A176,Career_History!E12)-Career_History!D12+1),0),IF(Career_History!G13=TRUE,IF(A176&lt;Career_History!D13,0,MIN(A176,Career_History!E13)-Career_History!D13+1),0))/365.2425</f>
        <v>38.002149257000482</v>
      </c>
      <c r="O176" s="9">
        <f>SUM(IF(Career_History!I12=TRUE,IF(A176&lt;Career_History!D12,0,MIN(A176,Career_History!E12)-Career_History!D12+1),0),IF(Career_History!I13=TRUE,IF(A176&lt;Career_History!D13,0,MIN(A176,Career_History!E13)-Career_History!D13+1),0))/365.2425</f>
        <v>0</v>
      </c>
      <c r="P176" s="9">
        <f>SUM(IF(Career_History!H12=TRUE,IF(A176&lt;Career_History!D12,0,MIN(A176,Career_History!E12)-Career_History!D12+1),0),IF(Career_History!H13=TRUE,IF(A176&lt;Career_History!D13,0,MIN(A176,Career_History!E13)-Career_History!D13+1),0))/365.2425</f>
        <v>14.497217602004147</v>
      </c>
      <c r="Q176" s="9"/>
      <c r="R176" s="9"/>
      <c r="S176" s="9"/>
      <c r="T176" s="9">
        <f>SUM(IF(Career_History!G16=TRUE,IF(A176&lt;Career_History!D16,0,MIN(A176,Career_History!E16)-Career_History!D16+1),0),IF(Career_History!G17=TRUE,IF(A176&lt;Career_History!D17,0,MIN(A176,Career_History!E17)-Career_History!D17+1),0))/365.2425</f>
        <v>34.002067119790276</v>
      </c>
      <c r="U176" s="9">
        <f>SUM(IF(Career_History!I16=TRUE,IF(A176&lt;Career_History!D16,0,MIN(A176,Career_History!E16)-Career_History!D16+1),0),IF(Career_History!I17=TRUE,IF(A176&lt;Career_History!D17,0,MIN(A176,Career_History!E17)-Career_History!D17+1),0))/365.2425</f>
        <v>21.506259539894728</v>
      </c>
      <c r="V176" s="9">
        <f>SUM(IF(Career_History!H16=TRUE,IF(A176&lt;Career_History!D16,0,MIN(A176,Career_History!E16)-Career_History!D16+1),0),IF(Career_History!H17=TRUE,IF(A176&lt;Career_History!D17,0,MIN(A176,Career_History!E17)-Career_History!D17+1),0))/365.2425</f>
        <v>34.002067119790276</v>
      </c>
      <c r="W176" s="9"/>
      <c r="X176" s="9"/>
      <c r="Y176" s="9"/>
      <c r="Z176" s="9">
        <f>SUM(IF(Career_History!G21=TRUE,IF(A176&lt;Career_History!D21,0,MIN(A176,Career_History!E21)-Career_History!D21+1),0),IF(Career_History!G22=TRUE,IF(A176&lt;Career_History!D22,0,MIN(A176,Career_History!E22)-Career_History!D22+1),0),IF(Career_History!G23=TRUE,IF(A176&lt;Career_History!D23,0,MIN(A176,Career_History!E23)-Career_History!D23+1),0),IF(Career_History!G24=TRUE,IF(A176&lt;Career_History!D24,0,MIN(A176,Career_History!E24)-Career_History!D24+1),0))/365.2425</f>
        <v>38.002149257000482</v>
      </c>
      <c r="AA176" s="9">
        <f>SUM(IF(Career_History!I21=TRUE,IF(A176&lt;Career_History!D21,0,MIN(A176,Career_History!E21)-Career_History!D21+1),0),IF(Career_History!I22=TRUE,IF(A176&lt;Career_History!D22,0,MIN(A176,Career_History!E22)-Career_History!D22+1),0),IF(Career_History!I23=TRUE,IF(A176&lt;Career_History!D23,0,MIN(A176,Career_History!E23)-Career_History!D23+1),0),IF(Career_History!I24=TRUE,IF(A176&lt;Career_History!D24,0,MIN(A176,Career_History!E24)-Career_History!D24+1),0))/365.2425</f>
        <v>26.505677734655741</v>
      </c>
      <c r="AB176" s="9">
        <f>SUM(IF(Career_History!H21=TRUE,IF(A176&lt;Career_History!D21,0,MIN(A176,Career_History!E21)-Career_History!D21+1),0),IF(Career_History!H22=TRUE,IF(A176&lt;Career_History!D22,0,MIN(A176,Career_History!E22)-Career_History!D22+1),0),IF(Career_History!H23=TRUE,IF(A176&lt;Career_History!D23,0,MIN(A176,Career_History!E23)-Career_History!D23+1),0),IF(Career_History!H24=TRUE,IF(A176&lt;Career_History!D24,0,MIN(A176,Career_History!E24)-Career_History!D24+1),0))/365.2425</f>
        <v>28.917773807812615</v>
      </c>
      <c r="AC176" s="9">
        <f>SUM(IF(Career_History!G25=TRUE,IF(A176&lt;Career_History!D25,0,MIN(A176,Career_History!E25)-Career_History!D25+1),0),IF(Career_History!G26=TRUE,IF(A176&lt;Career_History!D26,0,MIN(A176,Career_History!E26)-Career_History!D26+1),0),IF(Career_History!G27=TRUE,IF(A176&lt;Career_History!D27,0,MIN(A176,Career_History!E27)-Career_History!D27+1),0),IF(Career_History!G28=TRUE,IF(A176&lt;Career_History!D28,0,MIN(A176,Career_History!E28)-Career_History!D28+1),0),IF(Career_History!G29=TRUE,IF(A176&lt;Career_History!D29,0,MIN(A176,Career_History!E29)-Career_History!D29+1),0))/365.2425</f>
        <v>36.000739234891888</v>
      </c>
      <c r="AD176" s="9">
        <f>SUM(IF(Career_History!I25=TRUE,IF(A176&lt;Career_History!D25,0,MIN(A176,Career_History!E25)-Career_History!D25+1),0),IF(Career_History!I26=TRUE,IF(A176&lt;Career_History!D26,0,MIN(A176,Career_History!E26)-Career_History!D26+1),0),IF(Career_History!I27=TRUE,IF(A176&lt;Career_History!D27,0,MIN(A176,Career_History!E27)-Career_History!D27+1),0),IF(Career_History!I28=TRUE,IF(A176&lt;Career_History!D28,0,MIN(A176,Career_History!E28)-Career_History!D28+1),0),IF(Career_History!I29=TRUE,IF(A176&lt;Career_History!D29,0,MIN(A176,Career_History!E29)-Career_History!D29+1),0))/365.2425</f>
        <v>0</v>
      </c>
      <c r="AE176" s="9">
        <f>SUM(IF(Career_History!H25=TRUE,IF(A176&lt;Career_History!D25,0,MIN(A176,Career_History!E25)-Career_History!D25+1),0),IF(Career_History!H26=TRUE,IF(A176&lt;Career_History!D26,0,MIN(A176,Career_History!E26)-Career_History!D26+1),0),IF(Career_History!H27=TRUE,IF(A176&lt;Career_History!D27,0,MIN(A176,Career_History!E27)-Career_History!D27+1),0),IF(Career_History!H28=TRUE,IF(A176&lt;Career_History!D28,0,MIN(A176,Career_History!E28)-Career_History!D28+1),0),IF(Career_History!H29=TRUE,IF(A176&lt;Career_History!D29,0,MIN(A176,Career_History!E29)-Career_History!D29+1),0))/365.2425</f>
        <v>23.496717933975372</v>
      </c>
      <c r="AF176" s="9">
        <f>SUM(IF(Career_History!G30=TRUE,IF(A176&lt;Career_History!D30,0,MIN(A176,Career_History!E30)-Career_History!D30+1),0),IF(Career_History!G31=TRUE,IF(A176&lt;Career_History!D31,0,MIN(A176,Career_History!E31)-Career_History!D31+1),0),IF(Career_History!G32=TRUE,IF(A176&lt;Career_History!D32,0,MIN(A176,Career_History!E32)-Career_History!D32+1),0))/365.2425</f>
        <v>28.999911018022271</v>
      </c>
      <c r="AG176" s="9">
        <f>SUM(IF(Career_History!I30=TRUE,IF(A176&lt;Career_History!D30,0,MIN(A176,Career_History!E30)-Career_History!D30+1),0),IF(Career_History!I31=TRUE,IF(A176&lt;Career_History!D31,0,MIN(A176,Career_History!E31)-Career_History!D31+1),0),IF(Career_History!I32=TRUE,IF(A176&lt;Career_History!D32,0,MIN(A176,Career_History!E32)-Career_History!D32+1),0))/365.2425</f>
        <v>0</v>
      </c>
      <c r="AH176" s="9">
        <f>SUM(IF(Career_History!H30=TRUE,IF(A176&lt;Career_History!D30,0,MIN(A176,Career_History!E30)-Career_History!D30+1),0),IF(Career_History!H31=TRUE,IF(A176&lt;Career_History!D31,0,MIN(A176,Career_History!E31)-Career_History!D31+1),0),IF(Career_History!H32=TRUE,IF(A176&lt;Career_History!D32,0,MIN(A176,Career_History!E32)-Career_History!D32+1),0))/365.2425</f>
        <v>9.5826745244597764E-2</v>
      </c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</row>
    <row r="177" spans="1:67">
      <c r="A177" s="8">
        <v>40025</v>
      </c>
      <c r="B177" s="9">
        <f t="shared" si="6"/>
        <v>35.086278294557722</v>
      </c>
      <c r="C177" s="9">
        <f t="shared" si="7"/>
        <v>9.6023874549100938</v>
      </c>
      <c r="D177" s="9">
        <f t="shared" si="8"/>
        <v>20.286795758982045</v>
      </c>
      <c r="E177" s="9"/>
      <c r="F177" s="9"/>
      <c r="G177" s="9"/>
      <c r="H177" s="9"/>
      <c r="I177" s="9"/>
      <c r="J177" s="9"/>
      <c r="K177" s="9"/>
      <c r="L177" s="9"/>
      <c r="M177" s="9"/>
      <c r="N177" s="9">
        <f>SUM(IF(Career_History!G12=TRUE,IF(A177&lt;Career_History!D12,0,MIN(A177,Career_History!E12)-Career_History!D12+1),0),IF(Career_History!G13=TRUE,IF(A177&lt;Career_History!D13,0,MIN(A177,Career_History!E13)-Career_History!D13+1),0))/365.2425</f>
        <v>38.08702437421713</v>
      </c>
      <c r="O177" s="9">
        <f>SUM(IF(Career_History!I12=TRUE,IF(A177&lt;Career_History!D12,0,MIN(A177,Career_History!E12)-Career_History!D12+1),0),IF(Career_History!I13=TRUE,IF(A177&lt;Career_History!D13,0,MIN(A177,Career_History!E13)-Career_History!D13+1),0))/365.2425</f>
        <v>0</v>
      </c>
      <c r="P177" s="9">
        <f>SUM(IF(Career_History!H12=TRUE,IF(A177&lt;Career_History!D12,0,MIN(A177,Career_History!E12)-Career_History!D12+1),0),IF(Career_History!H13=TRUE,IF(A177&lt;Career_History!D13,0,MIN(A177,Career_History!E13)-Career_History!D13+1),0))/365.2425</f>
        <v>14.582092719220791</v>
      </c>
      <c r="Q177" s="9"/>
      <c r="R177" s="9"/>
      <c r="S177" s="9"/>
      <c r="T177" s="9">
        <f>SUM(IF(Career_History!G16=TRUE,IF(A177&lt;Career_History!D16,0,MIN(A177,Career_History!E16)-Career_History!D16+1),0),IF(Career_History!G17=TRUE,IF(A177&lt;Career_History!D17,0,MIN(A177,Career_History!E17)-Career_History!D17+1),0))/365.2425</f>
        <v>34.086942237006916</v>
      </c>
      <c r="U177" s="9">
        <f>SUM(IF(Career_History!I16=TRUE,IF(A177&lt;Career_History!D16,0,MIN(A177,Career_History!E16)-Career_History!D16+1),0),IF(Career_History!I17=TRUE,IF(A177&lt;Career_History!D17,0,MIN(A177,Career_History!E17)-Career_History!D17+1),0))/365.2425</f>
        <v>21.506259539894728</v>
      </c>
      <c r="V177" s="9">
        <f>SUM(IF(Career_History!H16=TRUE,IF(A177&lt;Career_History!D16,0,MIN(A177,Career_History!E16)-Career_History!D16+1),0),IF(Career_History!H17=TRUE,IF(A177&lt;Career_History!D17,0,MIN(A177,Career_History!E17)-Career_History!D17+1),0))/365.2425</f>
        <v>34.086942237006916</v>
      </c>
      <c r="W177" s="9"/>
      <c r="X177" s="9"/>
      <c r="Y177" s="9"/>
      <c r="Z177" s="9">
        <f>SUM(IF(Career_History!G21=TRUE,IF(A177&lt;Career_History!D21,0,MIN(A177,Career_History!E21)-Career_History!D21+1),0),IF(Career_History!G22=TRUE,IF(A177&lt;Career_History!D22,0,MIN(A177,Career_History!E22)-Career_History!D22+1),0),IF(Career_History!G23=TRUE,IF(A177&lt;Career_History!D23,0,MIN(A177,Career_History!E23)-Career_History!D23+1),0),IF(Career_History!G24=TRUE,IF(A177&lt;Career_History!D24,0,MIN(A177,Career_History!E24)-Career_History!D24+1),0))/365.2425</f>
        <v>38.08702437421713</v>
      </c>
      <c r="AA177" s="9">
        <f>SUM(IF(Career_History!I21=TRUE,IF(A177&lt;Career_History!D21,0,MIN(A177,Career_History!E21)-Career_History!D21+1),0),IF(Career_History!I22=TRUE,IF(A177&lt;Career_History!D22,0,MIN(A177,Career_History!E22)-Career_History!D22+1),0),IF(Career_History!I23=TRUE,IF(A177&lt;Career_History!D23,0,MIN(A177,Career_History!E23)-Career_History!D23+1),0),IF(Career_History!I24=TRUE,IF(A177&lt;Career_History!D24,0,MIN(A177,Career_History!E24)-Career_History!D24+1),0))/365.2425</f>
        <v>26.505677734655741</v>
      </c>
      <c r="AB177" s="9">
        <f>SUM(IF(Career_History!H21=TRUE,IF(A177&lt;Career_History!D21,0,MIN(A177,Career_History!E21)-Career_History!D21+1),0),IF(Career_History!H22=TRUE,IF(A177&lt;Career_History!D22,0,MIN(A177,Career_History!E22)-Career_History!D22+1),0),IF(Career_History!H23=TRUE,IF(A177&lt;Career_History!D23,0,MIN(A177,Career_History!E23)-Career_History!D23+1),0),IF(Career_History!H24=TRUE,IF(A177&lt;Career_History!D24,0,MIN(A177,Career_History!E24)-Career_History!D24+1),0))/365.2425</f>
        <v>29.002648925029259</v>
      </c>
      <c r="AC177" s="9">
        <f>SUM(IF(Career_History!G25=TRUE,IF(A177&lt;Career_History!D25,0,MIN(A177,Career_History!E25)-Career_History!D25+1),0),IF(Career_History!G26=TRUE,IF(A177&lt;Career_History!D26,0,MIN(A177,Career_History!E26)-Career_History!D26+1),0),IF(Career_History!G27=TRUE,IF(A177&lt;Career_History!D27,0,MIN(A177,Career_History!E27)-Career_History!D27+1),0),IF(Career_History!G28=TRUE,IF(A177&lt;Career_History!D28,0,MIN(A177,Career_History!E28)-Career_History!D28+1),0),IF(Career_History!G29=TRUE,IF(A177&lt;Career_History!D29,0,MIN(A177,Career_History!E29)-Career_History!D29+1),0))/365.2425</f>
        <v>36.085614352108529</v>
      </c>
      <c r="AD177" s="9">
        <f>SUM(IF(Career_History!I25=TRUE,IF(A177&lt;Career_History!D25,0,MIN(A177,Career_History!E25)-Career_History!D25+1),0),IF(Career_History!I26=TRUE,IF(A177&lt;Career_History!D26,0,MIN(A177,Career_History!E26)-Career_History!D26+1),0),IF(Career_History!I27=TRUE,IF(A177&lt;Career_History!D27,0,MIN(A177,Career_History!E27)-Career_History!D27+1),0),IF(Career_History!I28=TRUE,IF(A177&lt;Career_History!D28,0,MIN(A177,Career_History!E28)-Career_History!D28+1),0),IF(Career_History!I29=TRUE,IF(A177&lt;Career_History!D29,0,MIN(A177,Career_History!E29)-Career_History!D29+1),0))/365.2425</f>
        <v>0</v>
      </c>
      <c r="AE177" s="9">
        <f>SUM(IF(Career_History!H25=TRUE,IF(A177&lt;Career_History!D25,0,MIN(A177,Career_History!E25)-Career_History!D25+1),0),IF(Career_History!H26=TRUE,IF(A177&lt;Career_History!D26,0,MIN(A177,Career_History!E26)-Career_History!D26+1),0),IF(Career_History!H27=TRUE,IF(A177&lt;Career_History!D27,0,MIN(A177,Career_History!E27)-Career_History!D27+1),0),IF(Career_History!H28=TRUE,IF(A177&lt;Career_History!D28,0,MIN(A177,Career_History!E28)-Career_History!D28+1),0),IF(Career_History!H29=TRUE,IF(A177&lt;Career_History!D29,0,MIN(A177,Career_History!E29)-Career_History!D29+1),0))/365.2425</f>
        <v>23.581593051192016</v>
      </c>
      <c r="AF177" s="9">
        <f>SUM(IF(Career_History!G30=TRUE,IF(A177&lt;Career_History!D30,0,MIN(A177,Career_History!E30)-Career_History!D30+1),0),IF(Career_History!G31=TRUE,IF(A177&lt;Career_History!D31,0,MIN(A177,Career_History!E31)-Career_History!D31+1),0),IF(Career_History!G32=TRUE,IF(A177&lt;Career_History!D32,0,MIN(A177,Career_History!E32)-Career_History!D32+1),0))/365.2425</f>
        <v>29.084786135238915</v>
      </c>
      <c r="AG177" s="9">
        <f>SUM(IF(Career_History!I30=TRUE,IF(A177&lt;Career_History!D30,0,MIN(A177,Career_History!E30)-Career_History!D30+1),0),IF(Career_History!I31=TRUE,IF(A177&lt;Career_History!D31,0,MIN(A177,Career_History!E31)-Career_History!D31+1),0),IF(Career_History!I32=TRUE,IF(A177&lt;Career_History!D32,0,MIN(A177,Career_History!E32)-Career_History!D32+1),0))/365.2425</f>
        <v>0</v>
      </c>
      <c r="AH177" s="9">
        <f>SUM(IF(Career_History!H30=TRUE,IF(A177&lt;Career_History!D30,0,MIN(A177,Career_History!E30)-Career_History!D30+1),0),IF(Career_History!H31=TRUE,IF(A177&lt;Career_History!D31,0,MIN(A177,Career_History!E31)-Career_History!D31+1),0),IF(Career_History!H32=TRUE,IF(A177&lt;Career_History!D32,0,MIN(A177,Career_History!E32)-Career_History!D32+1),0))/365.2425</f>
        <v>0.18070186246124151</v>
      </c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</row>
    <row r="178" spans="1:67">
      <c r="A178" s="8">
        <v>40056</v>
      </c>
      <c r="B178" s="9">
        <f t="shared" si="6"/>
        <v>35.17115341177437</v>
      </c>
      <c r="C178" s="9">
        <f t="shared" si="7"/>
        <v>9.6023874549100938</v>
      </c>
      <c r="D178" s="9">
        <f t="shared" si="8"/>
        <v>20.371670876198689</v>
      </c>
      <c r="E178" s="9"/>
      <c r="F178" s="9"/>
      <c r="G178" s="9"/>
      <c r="H178" s="9"/>
      <c r="I178" s="9"/>
      <c r="J178" s="9"/>
      <c r="K178" s="9"/>
      <c r="L178" s="9"/>
      <c r="M178" s="9"/>
      <c r="N178" s="9">
        <f>SUM(IF(Career_History!G12=TRUE,IF(A178&lt;Career_History!D12,0,MIN(A178,Career_History!E12)-Career_History!D12+1),0),IF(Career_History!G13=TRUE,IF(A178&lt;Career_History!D13,0,MIN(A178,Career_History!E13)-Career_History!D13+1),0))/365.2425</f>
        <v>38.17189949143377</v>
      </c>
      <c r="O178" s="9">
        <f>SUM(IF(Career_History!I12=TRUE,IF(A178&lt;Career_History!D12,0,MIN(A178,Career_History!E12)-Career_History!D12+1),0),IF(Career_History!I13=TRUE,IF(A178&lt;Career_History!D13,0,MIN(A178,Career_History!E13)-Career_History!D13+1),0))/365.2425</f>
        <v>0</v>
      </c>
      <c r="P178" s="9">
        <f>SUM(IF(Career_History!H12=TRUE,IF(A178&lt;Career_History!D12,0,MIN(A178,Career_History!E12)-Career_History!D12+1),0),IF(Career_History!H13=TRUE,IF(A178&lt;Career_History!D13,0,MIN(A178,Career_History!E13)-Career_History!D13+1),0))/365.2425</f>
        <v>14.666967836437435</v>
      </c>
      <c r="Q178" s="9"/>
      <c r="R178" s="9"/>
      <c r="S178" s="9"/>
      <c r="T178" s="9">
        <f>SUM(IF(Career_History!G16=TRUE,IF(A178&lt;Career_History!D16,0,MIN(A178,Career_History!E16)-Career_History!D16+1),0),IF(Career_History!G17=TRUE,IF(A178&lt;Career_History!D17,0,MIN(A178,Career_History!E17)-Career_History!D17+1),0))/365.2425</f>
        <v>34.171817354223563</v>
      </c>
      <c r="U178" s="9">
        <f>SUM(IF(Career_History!I16=TRUE,IF(A178&lt;Career_History!D16,0,MIN(A178,Career_History!E16)-Career_History!D16+1),0),IF(Career_History!I17=TRUE,IF(A178&lt;Career_History!D17,0,MIN(A178,Career_History!E17)-Career_History!D17+1),0))/365.2425</f>
        <v>21.506259539894728</v>
      </c>
      <c r="V178" s="9">
        <f>SUM(IF(Career_History!H16=TRUE,IF(A178&lt;Career_History!D16,0,MIN(A178,Career_History!E16)-Career_History!D16+1),0),IF(Career_History!H17=TRUE,IF(A178&lt;Career_History!D17,0,MIN(A178,Career_History!E17)-Career_History!D17+1),0))/365.2425</f>
        <v>34.171817354223563</v>
      </c>
      <c r="W178" s="9"/>
      <c r="X178" s="9"/>
      <c r="Y178" s="9"/>
      <c r="Z178" s="9">
        <f>SUM(IF(Career_History!G21=TRUE,IF(A178&lt;Career_History!D21,0,MIN(A178,Career_History!E21)-Career_History!D21+1),0),IF(Career_History!G22=TRUE,IF(A178&lt;Career_History!D22,0,MIN(A178,Career_History!E22)-Career_History!D22+1),0),IF(Career_History!G23=TRUE,IF(A178&lt;Career_History!D23,0,MIN(A178,Career_History!E23)-Career_History!D23+1),0),IF(Career_History!G24=TRUE,IF(A178&lt;Career_History!D24,0,MIN(A178,Career_History!E24)-Career_History!D24+1),0))/365.2425</f>
        <v>38.17189949143377</v>
      </c>
      <c r="AA178" s="9">
        <f>SUM(IF(Career_History!I21=TRUE,IF(A178&lt;Career_History!D21,0,MIN(A178,Career_History!E21)-Career_History!D21+1),0),IF(Career_History!I22=TRUE,IF(A178&lt;Career_History!D22,0,MIN(A178,Career_History!E22)-Career_History!D22+1),0),IF(Career_History!I23=TRUE,IF(A178&lt;Career_History!D23,0,MIN(A178,Career_History!E23)-Career_History!D23+1),0),IF(Career_History!I24=TRUE,IF(A178&lt;Career_History!D24,0,MIN(A178,Career_History!E24)-Career_History!D24+1),0))/365.2425</f>
        <v>26.505677734655741</v>
      </c>
      <c r="AB178" s="9">
        <f>SUM(IF(Career_History!H21=TRUE,IF(A178&lt;Career_History!D21,0,MIN(A178,Career_History!E21)-Career_History!D21+1),0),IF(Career_History!H22=TRUE,IF(A178&lt;Career_History!D22,0,MIN(A178,Career_History!E22)-Career_History!D22+1),0),IF(Career_History!H23=TRUE,IF(A178&lt;Career_History!D23,0,MIN(A178,Career_History!E23)-Career_History!D23+1),0),IF(Career_History!H24=TRUE,IF(A178&lt;Career_History!D24,0,MIN(A178,Career_History!E24)-Career_History!D24+1),0))/365.2425</f>
        <v>29.087524042245903</v>
      </c>
      <c r="AC178" s="9">
        <f>SUM(IF(Career_History!G25=TRUE,IF(A178&lt;Career_History!D25,0,MIN(A178,Career_History!E25)-Career_History!D25+1),0),IF(Career_History!G26=TRUE,IF(A178&lt;Career_History!D26,0,MIN(A178,Career_History!E26)-Career_History!D26+1),0),IF(Career_History!G27=TRUE,IF(A178&lt;Career_History!D27,0,MIN(A178,Career_History!E27)-Career_History!D27+1),0),IF(Career_History!G28=TRUE,IF(A178&lt;Career_History!D28,0,MIN(A178,Career_History!E28)-Career_History!D28+1),0),IF(Career_History!G29=TRUE,IF(A178&lt;Career_History!D29,0,MIN(A178,Career_History!E29)-Career_History!D29+1),0))/365.2425</f>
        <v>36.170489469325176</v>
      </c>
      <c r="AD178" s="9">
        <f>SUM(IF(Career_History!I25=TRUE,IF(A178&lt;Career_History!D25,0,MIN(A178,Career_History!E25)-Career_History!D25+1),0),IF(Career_History!I26=TRUE,IF(A178&lt;Career_History!D26,0,MIN(A178,Career_History!E26)-Career_History!D26+1),0),IF(Career_History!I27=TRUE,IF(A178&lt;Career_History!D27,0,MIN(A178,Career_History!E27)-Career_History!D27+1),0),IF(Career_History!I28=TRUE,IF(A178&lt;Career_History!D28,0,MIN(A178,Career_History!E28)-Career_History!D28+1),0),IF(Career_History!I29=TRUE,IF(A178&lt;Career_History!D29,0,MIN(A178,Career_History!E29)-Career_History!D29+1),0))/365.2425</f>
        <v>0</v>
      </c>
      <c r="AE178" s="9">
        <f>SUM(IF(Career_History!H25=TRUE,IF(A178&lt;Career_History!D25,0,MIN(A178,Career_History!E25)-Career_History!D25+1),0),IF(Career_History!H26=TRUE,IF(A178&lt;Career_History!D26,0,MIN(A178,Career_History!E26)-Career_History!D26+1),0),IF(Career_History!H27=TRUE,IF(A178&lt;Career_History!D27,0,MIN(A178,Career_History!E27)-Career_History!D27+1),0),IF(Career_History!H28=TRUE,IF(A178&lt;Career_History!D28,0,MIN(A178,Career_History!E28)-Career_History!D28+1),0),IF(Career_History!H29=TRUE,IF(A178&lt;Career_History!D29,0,MIN(A178,Career_History!E29)-Career_History!D29+1),0))/365.2425</f>
        <v>23.66646816840866</v>
      </c>
      <c r="AF178" s="9">
        <f>SUM(IF(Career_History!G30=TRUE,IF(A178&lt;Career_History!D30,0,MIN(A178,Career_History!E30)-Career_History!D30+1),0),IF(Career_History!G31=TRUE,IF(A178&lt;Career_History!D31,0,MIN(A178,Career_History!E31)-Career_History!D31+1),0),IF(Career_History!G32=TRUE,IF(A178&lt;Career_History!D32,0,MIN(A178,Career_History!E32)-Career_History!D32+1),0))/365.2425</f>
        <v>29.169661252455558</v>
      </c>
      <c r="AG178" s="9">
        <f>SUM(IF(Career_History!I30=TRUE,IF(A178&lt;Career_History!D30,0,MIN(A178,Career_History!E30)-Career_History!D30+1),0),IF(Career_History!I31=TRUE,IF(A178&lt;Career_History!D31,0,MIN(A178,Career_History!E31)-Career_History!D31+1),0),IF(Career_History!I32=TRUE,IF(A178&lt;Career_History!D32,0,MIN(A178,Career_History!E32)-Career_History!D32+1),0))/365.2425</f>
        <v>0</v>
      </c>
      <c r="AH178" s="9">
        <f>SUM(IF(Career_History!H30=TRUE,IF(A178&lt;Career_History!D30,0,MIN(A178,Career_History!E30)-Career_History!D30+1),0),IF(Career_History!H31=TRUE,IF(A178&lt;Career_History!D31,0,MIN(A178,Career_History!E31)-Career_History!D31+1),0),IF(Career_History!H32=TRUE,IF(A178&lt;Career_History!D32,0,MIN(A178,Career_History!E32)-Career_History!D32+1),0))/365.2425</f>
        <v>0.26557697967788524</v>
      </c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</row>
    <row r="179" spans="1:67">
      <c r="A179" s="8">
        <v>40086</v>
      </c>
      <c r="B179" s="9">
        <f t="shared" si="6"/>
        <v>35.253290621984021</v>
      </c>
      <c r="C179" s="9">
        <f t="shared" si="7"/>
        <v>9.6023874549100938</v>
      </c>
      <c r="D179" s="9">
        <f t="shared" si="8"/>
        <v>20.453808086408344</v>
      </c>
      <c r="E179" s="9"/>
      <c r="F179" s="9"/>
      <c r="G179" s="9"/>
      <c r="H179" s="9"/>
      <c r="I179" s="9"/>
      <c r="J179" s="9"/>
      <c r="K179" s="9"/>
      <c r="L179" s="9"/>
      <c r="M179" s="9"/>
      <c r="N179" s="9">
        <f>SUM(IF(Career_History!G12=TRUE,IF(A179&lt;Career_History!D12,0,MIN(A179,Career_History!E12)-Career_History!D12+1),0),IF(Career_History!G13=TRUE,IF(A179&lt;Career_History!D13,0,MIN(A179,Career_History!E13)-Career_History!D13+1),0))/365.2425</f>
        <v>38.254036701643429</v>
      </c>
      <c r="O179" s="9">
        <f>SUM(IF(Career_History!I12=TRUE,IF(A179&lt;Career_History!D12,0,MIN(A179,Career_History!E12)-Career_History!D12+1),0),IF(Career_History!I13=TRUE,IF(A179&lt;Career_History!D13,0,MIN(A179,Career_History!E13)-Career_History!D13+1),0))/365.2425</f>
        <v>0</v>
      </c>
      <c r="P179" s="9">
        <f>SUM(IF(Career_History!H12=TRUE,IF(A179&lt;Career_History!D12,0,MIN(A179,Career_History!E12)-Career_History!D12+1),0),IF(Career_History!H13=TRUE,IF(A179&lt;Career_History!D13,0,MIN(A179,Career_History!E13)-Career_History!D13+1),0))/365.2425</f>
        <v>14.74910504664709</v>
      </c>
      <c r="Q179" s="9"/>
      <c r="R179" s="9"/>
      <c r="S179" s="9"/>
      <c r="T179" s="9">
        <f>SUM(IF(Career_History!G16=TRUE,IF(A179&lt;Career_History!D16,0,MIN(A179,Career_History!E16)-Career_History!D16+1),0),IF(Career_History!G17=TRUE,IF(A179&lt;Career_History!D17,0,MIN(A179,Career_History!E17)-Career_History!D17+1),0))/365.2425</f>
        <v>34.253954564433215</v>
      </c>
      <c r="U179" s="9">
        <f>SUM(IF(Career_History!I16=TRUE,IF(A179&lt;Career_History!D16,0,MIN(A179,Career_History!E16)-Career_History!D16+1),0),IF(Career_History!I17=TRUE,IF(A179&lt;Career_History!D17,0,MIN(A179,Career_History!E17)-Career_History!D17+1),0))/365.2425</f>
        <v>21.506259539894728</v>
      </c>
      <c r="V179" s="9">
        <f>SUM(IF(Career_History!H16=TRUE,IF(A179&lt;Career_History!D16,0,MIN(A179,Career_History!E16)-Career_History!D16+1),0),IF(Career_History!H17=TRUE,IF(A179&lt;Career_History!D17,0,MIN(A179,Career_History!E17)-Career_History!D17+1),0))/365.2425</f>
        <v>34.253954564433215</v>
      </c>
      <c r="W179" s="9"/>
      <c r="X179" s="9"/>
      <c r="Y179" s="9"/>
      <c r="Z179" s="9">
        <f>SUM(IF(Career_History!G21=TRUE,IF(A179&lt;Career_History!D21,0,MIN(A179,Career_History!E21)-Career_History!D21+1),0),IF(Career_History!G22=TRUE,IF(A179&lt;Career_History!D22,0,MIN(A179,Career_History!E22)-Career_History!D22+1),0),IF(Career_History!G23=TRUE,IF(A179&lt;Career_History!D23,0,MIN(A179,Career_History!E23)-Career_History!D23+1),0),IF(Career_History!G24=TRUE,IF(A179&lt;Career_History!D24,0,MIN(A179,Career_History!E24)-Career_History!D24+1),0))/365.2425</f>
        <v>38.254036701643429</v>
      </c>
      <c r="AA179" s="9">
        <f>SUM(IF(Career_History!I21=TRUE,IF(A179&lt;Career_History!D21,0,MIN(A179,Career_History!E21)-Career_History!D21+1),0),IF(Career_History!I22=TRUE,IF(A179&lt;Career_History!D22,0,MIN(A179,Career_History!E22)-Career_History!D22+1),0),IF(Career_History!I23=TRUE,IF(A179&lt;Career_History!D23,0,MIN(A179,Career_History!E23)-Career_History!D23+1),0),IF(Career_History!I24=TRUE,IF(A179&lt;Career_History!D24,0,MIN(A179,Career_History!E24)-Career_History!D24+1),0))/365.2425</f>
        <v>26.505677734655741</v>
      </c>
      <c r="AB179" s="9">
        <f>SUM(IF(Career_History!H21=TRUE,IF(A179&lt;Career_History!D21,0,MIN(A179,Career_History!E21)-Career_History!D21+1),0),IF(Career_History!H22=TRUE,IF(A179&lt;Career_History!D22,0,MIN(A179,Career_History!E22)-Career_History!D22+1),0),IF(Career_History!H23=TRUE,IF(A179&lt;Career_History!D23,0,MIN(A179,Career_History!E23)-Career_History!D23+1),0),IF(Career_History!H24=TRUE,IF(A179&lt;Career_History!D24,0,MIN(A179,Career_History!E24)-Career_History!D24+1),0))/365.2425</f>
        <v>29.169661252455558</v>
      </c>
      <c r="AC179" s="9">
        <f>SUM(IF(Career_History!G25=TRUE,IF(A179&lt;Career_History!D25,0,MIN(A179,Career_History!E25)-Career_History!D25+1),0),IF(Career_History!G26=TRUE,IF(A179&lt;Career_History!D26,0,MIN(A179,Career_History!E26)-Career_History!D26+1),0),IF(Career_History!G27=TRUE,IF(A179&lt;Career_History!D27,0,MIN(A179,Career_History!E27)-Career_History!D27+1),0),IF(Career_History!G28=TRUE,IF(A179&lt;Career_History!D28,0,MIN(A179,Career_History!E28)-Career_History!D28+1),0),IF(Career_History!G29=TRUE,IF(A179&lt;Career_History!D29,0,MIN(A179,Career_History!E29)-Career_History!D29+1),0))/365.2425</f>
        <v>36.252626679534828</v>
      </c>
      <c r="AD179" s="9">
        <f>SUM(IF(Career_History!I25=TRUE,IF(A179&lt;Career_History!D25,0,MIN(A179,Career_History!E25)-Career_History!D25+1),0),IF(Career_History!I26=TRUE,IF(A179&lt;Career_History!D26,0,MIN(A179,Career_History!E26)-Career_History!D26+1),0),IF(Career_History!I27=TRUE,IF(A179&lt;Career_History!D27,0,MIN(A179,Career_History!E27)-Career_History!D27+1),0),IF(Career_History!I28=TRUE,IF(A179&lt;Career_History!D28,0,MIN(A179,Career_History!E28)-Career_History!D28+1),0),IF(Career_History!I29=TRUE,IF(A179&lt;Career_History!D29,0,MIN(A179,Career_History!E29)-Career_History!D29+1),0))/365.2425</f>
        <v>0</v>
      </c>
      <c r="AE179" s="9">
        <f>SUM(IF(Career_History!H25=TRUE,IF(A179&lt;Career_History!D25,0,MIN(A179,Career_History!E25)-Career_History!D25+1),0),IF(Career_History!H26=TRUE,IF(A179&lt;Career_History!D26,0,MIN(A179,Career_History!E26)-Career_History!D26+1),0),IF(Career_History!H27=TRUE,IF(A179&lt;Career_History!D27,0,MIN(A179,Career_History!E27)-Career_History!D27+1),0),IF(Career_History!H28=TRUE,IF(A179&lt;Career_History!D28,0,MIN(A179,Career_History!E28)-Career_History!D28+1),0),IF(Career_History!H29=TRUE,IF(A179&lt;Career_History!D29,0,MIN(A179,Career_History!E29)-Career_History!D29+1),0))/365.2425</f>
        <v>23.748605378618315</v>
      </c>
      <c r="AF179" s="9">
        <f>SUM(IF(Career_History!G30=TRUE,IF(A179&lt;Career_History!D30,0,MIN(A179,Career_History!E30)-Career_History!D30+1),0),IF(Career_History!G31=TRUE,IF(A179&lt;Career_History!D31,0,MIN(A179,Career_History!E31)-Career_History!D31+1),0),IF(Career_History!G32=TRUE,IF(A179&lt;Career_History!D32,0,MIN(A179,Career_History!E32)-Career_History!D32+1),0))/365.2425</f>
        <v>29.251798462665214</v>
      </c>
      <c r="AG179" s="9">
        <f>SUM(IF(Career_History!I30=TRUE,IF(A179&lt;Career_History!D30,0,MIN(A179,Career_History!E30)-Career_History!D30+1),0),IF(Career_History!I31=TRUE,IF(A179&lt;Career_History!D31,0,MIN(A179,Career_History!E31)-Career_History!D31+1),0),IF(Career_History!I32=TRUE,IF(A179&lt;Career_History!D32,0,MIN(A179,Career_History!E32)-Career_History!D32+1),0))/365.2425</f>
        <v>0</v>
      </c>
      <c r="AH179" s="9">
        <f>SUM(IF(Career_History!H30=TRUE,IF(A179&lt;Career_History!D30,0,MIN(A179,Career_History!E30)-Career_History!D30+1),0),IF(Career_History!H31=TRUE,IF(A179&lt;Career_History!D31,0,MIN(A179,Career_History!E31)-Career_History!D31+1),0),IF(Career_History!H32=TRUE,IF(A179&lt;Career_History!D32,0,MIN(A179,Career_History!E32)-Career_History!D32+1),0))/365.2425</f>
        <v>0.34771418988754044</v>
      </c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</row>
    <row r="180" spans="1:67">
      <c r="A180" s="8">
        <v>40117</v>
      </c>
      <c r="B180" s="9">
        <f t="shared" si="6"/>
        <v>35.338165739200669</v>
      </c>
      <c r="C180" s="9">
        <f t="shared" si="7"/>
        <v>9.6023874549100938</v>
      </c>
      <c r="D180" s="9">
        <f t="shared" si="8"/>
        <v>20.538683203624988</v>
      </c>
      <c r="E180" s="9"/>
      <c r="F180" s="9"/>
      <c r="G180" s="9"/>
      <c r="H180" s="9"/>
      <c r="I180" s="9"/>
      <c r="J180" s="9"/>
      <c r="K180" s="9"/>
      <c r="L180" s="9"/>
      <c r="M180" s="9"/>
      <c r="N180" s="9">
        <f>SUM(IF(Career_History!G12=TRUE,IF(A180&lt;Career_History!D12,0,MIN(A180,Career_History!E12)-Career_History!D12+1),0),IF(Career_History!G13=TRUE,IF(A180&lt;Career_History!D13,0,MIN(A180,Career_History!E13)-Career_History!D13+1),0))/365.2425</f>
        <v>38.338911818860069</v>
      </c>
      <c r="O180" s="9">
        <f>SUM(IF(Career_History!I12=TRUE,IF(A180&lt;Career_History!D12,0,MIN(A180,Career_History!E12)-Career_History!D12+1),0),IF(Career_History!I13=TRUE,IF(A180&lt;Career_History!D13,0,MIN(A180,Career_History!E13)-Career_History!D13+1),0))/365.2425</f>
        <v>0</v>
      </c>
      <c r="P180" s="9">
        <f>SUM(IF(Career_History!H12=TRUE,IF(A180&lt;Career_History!D12,0,MIN(A180,Career_History!E12)-Career_History!D12+1),0),IF(Career_History!H13=TRUE,IF(A180&lt;Career_History!D13,0,MIN(A180,Career_History!E13)-Career_History!D13+1),0))/365.2425</f>
        <v>14.833980163863734</v>
      </c>
      <c r="Q180" s="9"/>
      <c r="R180" s="9"/>
      <c r="S180" s="9"/>
      <c r="T180" s="9">
        <f>SUM(IF(Career_History!G16=TRUE,IF(A180&lt;Career_History!D16,0,MIN(A180,Career_History!E16)-Career_History!D16+1),0),IF(Career_History!G17=TRUE,IF(A180&lt;Career_History!D17,0,MIN(A180,Career_History!E17)-Career_History!D17+1),0))/365.2425</f>
        <v>34.338829681649862</v>
      </c>
      <c r="U180" s="9">
        <f>SUM(IF(Career_History!I16=TRUE,IF(A180&lt;Career_History!D16,0,MIN(A180,Career_History!E16)-Career_History!D16+1),0),IF(Career_History!I17=TRUE,IF(A180&lt;Career_History!D17,0,MIN(A180,Career_History!E17)-Career_History!D17+1),0))/365.2425</f>
        <v>21.506259539894728</v>
      </c>
      <c r="V180" s="9">
        <f>SUM(IF(Career_History!H16=TRUE,IF(A180&lt;Career_History!D16,0,MIN(A180,Career_History!E16)-Career_History!D16+1),0),IF(Career_History!H17=TRUE,IF(A180&lt;Career_History!D17,0,MIN(A180,Career_History!E17)-Career_History!D17+1),0))/365.2425</f>
        <v>34.338829681649862</v>
      </c>
      <c r="W180" s="9"/>
      <c r="X180" s="9"/>
      <c r="Y180" s="9"/>
      <c r="Z180" s="9">
        <f>SUM(IF(Career_History!G21=TRUE,IF(A180&lt;Career_History!D21,0,MIN(A180,Career_History!E21)-Career_History!D21+1),0),IF(Career_History!G22=TRUE,IF(A180&lt;Career_History!D22,0,MIN(A180,Career_History!E22)-Career_History!D22+1),0),IF(Career_History!G23=TRUE,IF(A180&lt;Career_History!D23,0,MIN(A180,Career_History!E23)-Career_History!D23+1),0),IF(Career_History!G24=TRUE,IF(A180&lt;Career_History!D24,0,MIN(A180,Career_History!E24)-Career_History!D24+1),0))/365.2425</f>
        <v>38.338911818860069</v>
      </c>
      <c r="AA180" s="9">
        <f>SUM(IF(Career_History!I21=TRUE,IF(A180&lt;Career_History!D21,0,MIN(A180,Career_History!E21)-Career_History!D21+1),0),IF(Career_History!I22=TRUE,IF(A180&lt;Career_History!D22,0,MIN(A180,Career_History!E22)-Career_History!D22+1),0),IF(Career_History!I23=TRUE,IF(A180&lt;Career_History!D23,0,MIN(A180,Career_History!E23)-Career_History!D23+1),0),IF(Career_History!I24=TRUE,IF(A180&lt;Career_History!D24,0,MIN(A180,Career_History!E24)-Career_History!D24+1),0))/365.2425</f>
        <v>26.505677734655741</v>
      </c>
      <c r="AB180" s="9">
        <f>SUM(IF(Career_History!H21=TRUE,IF(A180&lt;Career_History!D21,0,MIN(A180,Career_History!E21)-Career_History!D21+1),0),IF(Career_History!H22=TRUE,IF(A180&lt;Career_History!D22,0,MIN(A180,Career_History!E22)-Career_History!D22+1),0),IF(Career_History!H23=TRUE,IF(A180&lt;Career_History!D23,0,MIN(A180,Career_History!E23)-Career_History!D23+1),0),IF(Career_History!H24=TRUE,IF(A180&lt;Career_History!D24,0,MIN(A180,Career_History!E24)-Career_History!D24+1),0))/365.2425</f>
        <v>29.254536369672202</v>
      </c>
      <c r="AC180" s="9">
        <f>SUM(IF(Career_History!G25=TRUE,IF(A180&lt;Career_History!D25,0,MIN(A180,Career_History!E25)-Career_History!D25+1),0),IF(Career_History!G26=TRUE,IF(A180&lt;Career_History!D26,0,MIN(A180,Career_History!E26)-Career_History!D26+1),0),IF(Career_History!G27=TRUE,IF(A180&lt;Career_History!D27,0,MIN(A180,Career_History!E27)-Career_History!D27+1),0),IF(Career_History!G28=TRUE,IF(A180&lt;Career_History!D28,0,MIN(A180,Career_History!E28)-Career_History!D28+1),0),IF(Career_History!G29=TRUE,IF(A180&lt;Career_History!D29,0,MIN(A180,Career_History!E29)-Career_History!D29+1),0))/365.2425</f>
        <v>36.337501796751475</v>
      </c>
      <c r="AD180" s="9">
        <f>SUM(IF(Career_History!I25=TRUE,IF(A180&lt;Career_History!D25,0,MIN(A180,Career_History!E25)-Career_History!D25+1),0),IF(Career_History!I26=TRUE,IF(A180&lt;Career_History!D26,0,MIN(A180,Career_History!E26)-Career_History!D26+1),0),IF(Career_History!I27=TRUE,IF(A180&lt;Career_History!D27,0,MIN(A180,Career_History!E27)-Career_History!D27+1),0),IF(Career_History!I28=TRUE,IF(A180&lt;Career_History!D28,0,MIN(A180,Career_History!E28)-Career_History!D28+1),0),IF(Career_History!I29=TRUE,IF(A180&lt;Career_History!D29,0,MIN(A180,Career_History!E29)-Career_History!D29+1),0))/365.2425</f>
        <v>0</v>
      </c>
      <c r="AE180" s="9">
        <f>SUM(IF(Career_History!H25=TRUE,IF(A180&lt;Career_History!D25,0,MIN(A180,Career_History!E25)-Career_History!D25+1),0),IF(Career_History!H26=TRUE,IF(A180&lt;Career_History!D26,0,MIN(A180,Career_History!E26)-Career_History!D26+1),0),IF(Career_History!H27=TRUE,IF(A180&lt;Career_History!D27,0,MIN(A180,Career_History!E27)-Career_History!D27+1),0),IF(Career_History!H28=TRUE,IF(A180&lt;Career_History!D28,0,MIN(A180,Career_History!E28)-Career_History!D28+1),0),IF(Career_History!H29=TRUE,IF(A180&lt;Career_History!D29,0,MIN(A180,Career_History!E29)-Career_History!D29+1),0))/365.2425</f>
        <v>23.833480495834959</v>
      </c>
      <c r="AF180" s="9">
        <f>SUM(IF(Career_History!G30=TRUE,IF(A180&lt;Career_History!D30,0,MIN(A180,Career_History!E30)-Career_History!D30+1),0),IF(Career_History!G31=TRUE,IF(A180&lt;Career_History!D31,0,MIN(A180,Career_History!E31)-Career_History!D31+1),0),IF(Career_History!G32=TRUE,IF(A180&lt;Career_History!D32,0,MIN(A180,Career_History!E32)-Career_History!D32+1),0))/365.2425</f>
        <v>29.336673579881857</v>
      </c>
      <c r="AG180" s="9">
        <f>SUM(IF(Career_History!I30=TRUE,IF(A180&lt;Career_History!D30,0,MIN(A180,Career_History!E30)-Career_History!D30+1),0),IF(Career_History!I31=TRUE,IF(A180&lt;Career_History!D31,0,MIN(A180,Career_History!E31)-Career_History!D31+1),0),IF(Career_History!I32=TRUE,IF(A180&lt;Career_History!D32,0,MIN(A180,Career_History!E32)-Career_History!D32+1),0))/365.2425</f>
        <v>0</v>
      </c>
      <c r="AH180" s="9">
        <f>SUM(IF(Career_History!H30=TRUE,IF(A180&lt;Career_History!D30,0,MIN(A180,Career_History!E30)-Career_History!D30+1),0),IF(Career_History!H31=TRUE,IF(A180&lt;Career_History!D31,0,MIN(A180,Career_History!E31)-Career_History!D31+1),0),IF(Career_History!H32=TRUE,IF(A180&lt;Career_History!D32,0,MIN(A180,Career_History!E32)-Career_History!D32+1),0))/365.2425</f>
        <v>0.4325893071041842</v>
      </c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</row>
    <row r="181" spans="1:67">
      <c r="A181" s="8">
        <v>40147</v>
      </c>
      <c r="B181" s="9">
        <f t="shared" si="6"/>
        <v>35.420302949410328</v>
      </c>
      <c r="C181" s="9">
        <f t="shared" si="7"/>
        <v>9.6023874549100938</v>
      </c>
      <c r="D181" s="9">
        <f t="shared" si="8"/>
        <v>20.620820413834643</v>
      </c>
      <c r="E181" s="9"/>
      <c r="F181" s="9"/>
      <c r="G181" s="9"/>
      <c r="H181" s="9"/>
      <c r="I181" s="9"/>
      <c r="J181" s="9"/>
      <c r="K181" s="9"/>
      <c r="L181" s="9"/>
      <c r="M181" s="9"/>
      <c r="N181" s="9">
        <f>SUM(IF(Career_History!G12=TRUE,IF(A181&lt;Career_History!D12,0,MIN(A181,Career_History!E12)-Career_History!D12+1),0),IF(Career_History!G13=TRUE,IF(A181&lt;Career_History!D13,0,MIN(A181,Career_History!E13)-Career_History!D13+1),0))/365.2425</f>
        <v>38.421049029069728</v>
      </c>
      <c r="O181" s="9">
        <f>SUM(IF(Career_History!I12=TRUE,IF(A181&lt;Career_History!D12,0,MIN(A181,Career_History!E12)-Career_History!D12+1),0),IF(Career_History!I13=TRUE,IF(A181&lt;Career_History!D13,0,MIN(A181,Career_History!E13)-Career_History!D13+1),0))/365.2425</f>
        <v>0</v>
      </c>
      <c r="P181" s="9">
        <f>SUM(IF(Career_History!H12=TRUE,IF(A181&lt;Career_History!D12,0,MIN(A181,Career_History!E12)-Career_History!D12+1),0),IF(Career_History!H13=TRUE,IF(A181&lt;Career_History!D13,0,MIN(A181,Career_History!E13)-Career_History!D13+1),0))/365.2425</f>
        <v>14.916117374073389</v>
      </c>
      <c r="Q181" s="9"/>
      <c r="R181" s="9"/>
      <c r="S181" s="9"/>
      <c r="T181" s="9">
        <f>SUM(IF(Career_History!G16=TRUE,IF(A181&lt;Career_History!D16,0,MIN(A181,Career_History!E16)-Career_History!D16+1),0),IF(Career_History!G17=TRUE,IF(A181&lt;Career_History!D17,0,MIN(A181,Career_History!E17)-Career_History!D17+1),0))/365.2425</f>
        <v>34.420966891859514</v>
      </c>
      <c r="U181" s="9">
        <f>SUM(IF(Career_History!I16=TRUE,IF(A181&lt;Career_History!D16,0,MIN(A181,Career_History!E16)-Career_History!D16+1),0),IF(Career_History!I17=TRUE,IF(A181&lt;Career_History!D17,0,MIN(A181,Career_History!E17)-Career_History!D17+1),0))/365.2425</f>
        <v>21.506259539894728</v>
      </c>
      <c r="V181" s="9">
        <f>SUM(IF(Career_History!H16=TRUE,IF(A181&lt;Career_History!D16,0,MIN(A181,Career_History!E16)-Career_History!D16+1),0),IF(Career_History!H17=TRUE,IF(A181&lt;Career_History!D17,0,MIN(A181,Career_History!E17)-Career_History!D17+1),0))/365.2425</f>
        <v>34.420966891859514</v>
      </c>
      <c r="W181" s="9"/>
      <c r="X181" s="9"/>
      <c r="Y181" s="9"/>
      <c r="Z181" s="9">
        <f>SUM(IF(Career_History!G21=TRUE,IF(A181&lt;Career_History!D21,0,MIN(A181,Career_History!E21)-Career_History!D21+1),0),IF(Career_History!G22=TRUE,IF(A181&lt;Career_History!D22,0,MIN(A181,Career_History!E22)-Career_History!D22+1),0),IF(Career_History!G23=TRUE,IF(A181&lt;Career_History!D23,0,MIN(A181,Career_History!E23)-Career_History!D23+1),0),IF(Career_History!G24=TRUE,IF(A181&lt;Career_History!D24,0,MIN(A181,Career_History!E24)-Career_History!D24+1),0))/365.2425</f>
        <v>38.421049029069728</v>
      </c>
      <c r="AA181" s="9">
        <f>SUM(IF(Career_History!I21=TRUE,IF(A181&lt;Career_History!D21,0,MIN(A181,Career_History!E21)-Career_History!D21+1),0),IF(Career_History!I22=TRUE,IF(A181&lt;Career_History!D22,0,MIN(A181,Career_History!E22)-Career_History!D22+1),0),IF(Career_History!I23=TRUE,IF(A181&lt;Career_History!D23,0,MIN(A181,Career_History!E23)-Career_History!D23+1),0),IF(Career_History!I24=TRUE,IF(A181&lt;Career_History!D24,0,MIN(A181,Career_History!E24)-Career_History!D24+1),0))/365.2425</f>
        <v>26.505677734655741</v>
      </c>
      <c r="AB181" s="9">
        <f>SUM(IF(Career_History!H21=TRUE,IF(A181&lt;Career_History!D21,0,MIN(A181,Career_History!E21)-Career_History!D21+1),0),IF(Career_History!H22=TRUE,IF(A181&lt;Career_History!D22,0,MIN(A181,Career_History!E22)-Career_History!D22+1),0),IF(Career_History!H23=TRUE,IF(A181&lt;Career_History!D23,0,MIN(A181,Career_History!E23)-Career_History!D23+1),0),IF(Career_History!H24=TRUE,IF(A181&lt;Career_History!D24,0,MIN(A181,Career_History!E24)-Career_History!D24+1),0))/365.2425</f>
        <v>29.336673579881857</v>
      </c>
      <c r="AC181" s="9">
        <f>SUM(IF(Career_History!G25=TRUE,IF(A181&lt;Career_History!D25,0,MIN(A181,Career_History!E25)-Career_History!D25+1),0),IF(Career_History!G26=TRUE,IF(A181&lt;Career_History!D26,0,MIN(A181,Career_History!E26)-Career_History!D26+1),0),IF(Career_History!G27=TRUE,IF(A181&lt;Career_History!D27,0,MIN(A181,Career_History!E27)-Career_History!D27+1),0),IF(Career_History!G28=TRUE,IF(A181&lt;Career_History!D28,0,MIN(A181,Career_History!E28)-Career_History!D28+1),0),IF(Career_History!G29=TRUE,IF(A181&lt;Career_History!D29,0,MIN(A181,Career_History!E29)-Career_History!D29+1),0))/365.2425</f>
        <v>36.419639006961127</v>
      </c>
      <c r="AD181" s="9">
        <f>SUM(IF(Career_History!I25=TRUE,IF(A181&lt;Career_History!D25,0,MIN(A181,Career_History!E25)-Career_History!D25+1),0),IF(Career_History!I26=TRUE,IF(A181&lt;Career_History!D26,0,MIN(A181,Career_History!E26)-Career_History!D26+1),0),IF(Career_History!I27=TRUE,IF(A181&lt;Career_History!D27,0,MIN(A181,Career_History!E27)-Career_History!D27+1),0),IF(Career_History!I28=TRUE,IF(A181&lt;Career_History!D28,0,MIN(A181,Career_History!E28)-Career_History!D28+1),0),IF(Career_History!I29=TRUE,IF(A181&lt;Career_History!D29,0,MIN(A181,Career_History!E29)-Career_History!D29+1),0))/365.2425</f>
        <v>0</v>
      </c>
      <c r="AE181" s="9">
        <f>SUM(IF(Career_History!H25=TRUE,IF(A181&lt;Career_History!D25,0,MIN(A181,Career_History!E25)-Career_History!D25+1),0),IF(Career_History!H26=TRUE,IF(A181&lt;Career_History!D26,0,MIN(A181,Career_History!E26)-Career_History!D26+1),0),IF(Career_History!H27=TRUE,IF(A181&lt;Career_History!D27,0,MIN(A181,Career_History!E27)-Career_History!D27+1),0),IF(Career_History!H28=TRUE,IF(A181&lt;Career_History!D28,0,MIN(A181,Career_History!E28)-Career_History!D28+1),0),IF(Career_History!H29=TRUE,IF(A181&lt;Career_History!D29,0,MIN(A181,Career_History!E29)-Career_History!D29+1),0))/365.2425</f>
        <v>23.915617706044614</v>
      </c>
      <c r="AF181" s="9">
        <f>SUM(IF(Career_History!G30=TRUE,IF(A181&lt;Career_History!D30,0,MIN(A181,Career_History!E30)-Career_History!D30+1),0),IF(Career_History!G31=TRUE,IF(A181&lt;Career_History!D31,0,MIN(A181,Career_History!E31)-Career_History!D31+1),0),IF(Career_History!G32=TRUE,IF(A181&lt;Career_History!D32,0,MIN(A181,Career_History!E32)-Career_History!D32+1),0))/365.2425</f>
        <v>29.418810790091513</v>
      </c>
      <c r="AG181" s="9">
        <f>SUM(IF(Career_History!I30=TRUE,IF(A181&lt;Career_History!D30,0,MIN(A181,Career_History!E30)-Career_History!D30+1),0),IF(Career_History!I31=TRUE,IF(A181&lt;Career_History!D31,0,MIN(A181,Career_History!E31)-Career_History!D31+1),0),IF(Career_History!I32=TRUE,IF(A181&lt;Career_History!D32,0,MIN(A181,Career_History!E32)-Career_History!D32+1),0))/365.2425</f>
        <v>0</v>
      </c>
      <c r="AH181" s="9">
        <f>SUM(IF(Career_History!H30=TRUE,IF(A181&lt;Career_History!D30,0,MIN(A181,Career_History!E30)-Career_History!D30+1),0),IF(Career_History!H31=TRUE,IF(A181&lt;Career_History!D31,0,MIN(A181,Career_History!E31)-Career_History!D31+1),0),IF(Career_History!H32=TRUE,IF(A181&lt;Career_History!D32,0,MIN(A181,Career_History!E32)-Career_History!D32+1),0))/365.2425</f>
        <v>0.51472651731383945</v>
      </c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</row>
    <row r="182" spans="1:67">
      <c r="A182" s="8">
        <v>40178</v>
      </c>
      <c r="B182" s="9">
        <f t="shared" si="6"/>
        <v>35.505178066626961</v>
      </c>
      <c r="C182" s="9">
        <f t="shared" si="7"/>
        <v>9.6023874549100938</v>
      </c>
      <c r="D182" s="9">
        <f t="shared" si="8"/>
        <v>20.705695531051287</v>
      </c>
      <c r="E182" s="9"/>
      <c r="F182" s="9"/>
      <c r="G182" s="9"/>
      <c r="H182" s="9"/>
      <c r="I182" s="9"/>
      <c r="J182" s="9"/>
      <c r="K182" s="9"/>
      <c r="L182" s="9"/>
      <c r="M182" s="9"/>
      <c r="N182" s="9">
        <f>SUM(IF(Career_History!G12=TRUE,IF(A182&lt;Career_History!D12,0,MIN(A182,Career_History!E12)-Career_History!D12+1),0),IF(Career_History!G13=TRUE,IF(A182&lt;Career_History!D13,0,MIN(A182,Career_History!E13)-Career_History!D13+1),0))/365.2425</f>
        <v>38.505924146286368</v>
      </c>
      <c r="O182" s="9">
        <f>SUM(IF(Career_History!I12=TRUE,IF(A182&lt;Career_History!D12,0,MIN(A182,Career_History!E12)-Career_History!D12+1),0),IF(Career_History!I13=TRUE,IF(A182&lt;Career_History!D13,0,MIN(A182,Career_History!E13)-Career_History!D13+1),0))/365.2425</f>
        <v>0</v>
      </c>
      <c r="P182" s="9">
        <f>SUM(IF(Career_History!H12=TRUE,IF(A182&lt;Career_History!D12,0,MIN(A182,Career_History!E12)-Career_History!D12+1),0),IF(Career_History!H13=TRUE,IF(A182&lt;Career_History!D13,0,MIN(A182,Career_History!E13)-Career_History!D13+1),0))/365.2425</f>
        <v>15.000992491290033</v>
      </c>
      <c r="Q182" s="9"/>
      <c r="R182" s="9"/>
      <c r="S182" s="9"/>
      <c r="T182" s="9">
        <f>SUM(IF(Career_History!G16=TRUE,IF(A182&lt;Career_History!D16,0,MIN(A182,Career_History!E16)-Career_History!D16+1),0),IF(Career_History!G17=TRUE,IF(A182&lt;Career_History!D17,0,MIN(A182,Career_History!E17)-Career_History!D17+1),0))/365.2425</f>
        <v>34.505842009076162</v>
      </c>
      <c r="U182" s="9">
        <f>SUM(IF(Career_History!I16=TRUE,IF(A182&lt;Career_History!D16,0,MIN(A182,Career_History!E16)-Career_History!D16+1),0),IF(Career_History!I17=TRUE,IF(A182&lt;Career_History!D17,0,MIN(A182,Career_History!E17)-Career_History!D17+1),0))/365.2425</f>
        <v>21.506259539894728</v>
      </c>
      <c r="V182" s="9">
        <f>SUM(IF(Career_History!H16=TRUE,IF(A182&lt;Career_History!D16,0,MIN(A182,Career_History!E16)-Career_History!D16+1),0),IF(Career_History!H17=TRUE,IF(A182&lt;Career_History!D17,0,MIN(A182,Career_History!E17)-Career_History!D17+1),0))/365.2425</f>
        <v>34.505842009076162</v>
      </c>
      <c r="W182" s="9"/>
      <c r="X182" s="9"/>
      <c r="Y182" s="9"/>
      <c r="Z182" s="9">
        <f>SUM(IF(Career_History!G21=TRUE,IF(A182&lt;Career_History!D21,0,MIN(A182,Career_History!E21)-Career_History!D21+1),0),IF(Career_History!G22=TRUE,IF(A182&lt;Career_History!D22,0,MIN(A182,Career_History!E22)-Career_History!D22+1),0),IF(Career_History!G23=TRUE,IF(A182&lt;Career_History!D23,0,MIN(A182,Career_History!E23)-Career_History!D23+1),0),IF(Career_History!G24=TRUE,IF(A182&lt;Career_History!D24,0,MIN(A182,Career_History!E24)-Career_History!D24+1),0))/365.2425</f>
        <v>38.505924146286368</v>
      </c>
      <c r="AA182" s="9">
        <f>SUM(IF(Career_History!I21=TRUE,IF(A182&lt;Career_History!D21,0,MIN(A182,Career_History!E21)-Career_History!D21+1),0),IF(Career_History!I22=TRUE,IF(A182&lt;Career_History!D22,0,MIN(A182,Career_History!E22)-Career_History!D22+1),0),IF(Career_History!I23=TRUE,IF(A182&lt;Career_History!D23,0,MIN(A182,Career_History!E23)-Career_History!D23+1),0),IF(Career_History!I24=TRUE,IF(A182&lt;Career_History!D24,0,MIN(A182,Career_History!E24)-Career_History!D24+1),0))/365.2425</f>
        <v>26.505677734655741</v>
      </c>
      <c r="AB182" s="9">
        <f>SUM(IF(Career_History!H21=TRUE,IF(A182&lt;Career_History!D21,0,MIN(A182,Career_History!E21)-Career_History!D21+1),0),IF(Career_History!H22=TRUE,IF(A182&lt;Career_History!D22,0,MIN(A182,Career_History!E22)-Career_History!D22+1),0),IF(Career_History!H23=TRUE,IF(A182&lt;Career_History!D23,0,MIN(A182,Career_History!E23)-Career_History!D23+1),0),IF(Career_History!H24=TRUE,IF(A182&lt;Career_History!D24,0,MIN(A182,Career_History!E24)-Career_History!D24+1),0))/365.2425</f>
        <v>29.421548697098501</v>
      </c>
      <c r="AC182" s="9">
        <f>SUM(IF(Career_History!G25=TRUE,IF(A182&lt;Career_History!D25,0,MIN(A182,Career_History!E25)-Career_History!D25+1),0),IF(Career_History!G26=TRUE,IF(A182&lt;Career_History!D26,0,MIN(A182,Career_History!E26)-Career_History!D26+1),0),IF(Career_History!G27=TRUE,IF(A182&lt;Career_History!D27,0,MIN(A182,Career_History!E27)-Career_History!D27+1),0),IF(Career_History!G28=TRUE,IF(A182&lt;Career_History!D28,0,MIN(A182,Career_History!E28)-Career_History!D28+1),0),IF(Career_History!G29=TRUE,IF(A182&lt;Career_History!D29,0,MIN(A182,Career_History!E29)-Career_History!D29+1),0))/365.2425</f>
        <v>36.504514124177774</v>
      </c>
      <c r="AD182" s="9">
        <f>SUM(IF(Career_History!I25=TRUE,IF(A182&lt;Career_History!D25,0,MIN(A182,Career_History!E25)-Career_History!D25+1),0),IF(Career_History!I26=TRUE,IF(A182&lt;Career_History!D26,0,MIN(A182,Career_History!E26)-Career_History!D26+1),0),IF(Career_History!I27=TRUE,IF(A182&lt;Career_History!D27,0,MIN(A182,Career_History!E27)-Career_History!D27+1),0),IF(Career_History!I28=TRUE,IF(A182&lt;Career_History!D28,0,MIN(A182,Career_History!E28)-Career_History!D28+1),0),IF(Career_History!I29=TRUE,IF(A182&lt;Career_History!D29,0,MIN(A182,Career_History!E29)-Career_History!D29+1),0))/365.2425</f>
        <v>0</v>
      </c>
      <c r="AE182" s="9">
        <f>SUM(IF(Career_History!H25=TRUE,IF(A182&lt;Career_History!D25,0,MIN(A182,Career_History!E25)-Career_History!D25+1),0),IF(Career_History!H26=TRUE,IF(A182&lt;Career_History!D26,0,MIN(A182,Career_History!E26)-Career_History!D26+1),0),IF(Career_History!H27=TRUE,IF(A182&lt;Career_History!D27,0,MIN(A182,Career_History!E27)-Career_History!D27+1),0),IF(Career_History!H28=TRUE,IF(A182&lt;Career_History!D28,0,MIN(A182,Career_History!E28)-Career_History!D28+1),0),IF(Career_History!H29=TRUE,IF(A182&lt;Career_History!D29,0,MIN(A182,Career_History!E29)-Career_History!D29+1),0))/365.2425</f>
        <v>24.000492823261258</v>
      </c>
      <c r="AF182" s="9">
        <f>SUM(IF(Career_History!G30=TRUE,IF(A182&lt;Career_History!D30,0,MIN(A182,Career_History!E30)-Career_History!D30+1),0),IF(Career_History!G31=TRUE,IF(A182&lt;Career_History!D31,0,MIN(A182,Career_History!E31)-Career_History!D31+1),0),IF(Career_History!G32=TRUE,IF(A182&lt;Career_History!D32,0,MIN(A182,Career_History!E32)-Career_History!D32+1),0))/365.2425</f>
        <v>29.503685907308157</v>
      </c>
      <c r="AG182" s="9">
        <f>SUM(IF(Career_History!I30=TRUE,IF(A182&lt;Career_History!D30,0,MIN(A182,Career_History!E30)-Career_History!D30+1),0),IF(Career_History!I31=TRUE,IF(A182&lt;Career_History!D31,0,MIN(A182,Career_History!E31)-Career_History!D31+1),0),IF(Career_History!I32=TRUE,IF(A182&lt;Career_History!D32,0,MIN(A182,Career_History!E32)-Career_History!D32+1),0))/365.2425</f>
        <v>0</v>
      </c>
      <c r="AH182" s="9">
        <f>SUM(IF(Career_History!H30=TRUE,IF(A182&lt;Career_History!D30,0,MIN(A182,Career_History!E30)-Career_History!D30+1),0),IF(Career_History!H31=TRUE,IF(A182&lt;Career_History!D31,0,MIN(A182,Career_History!E31)-Career_History!D31+1),0),IF(Career_History!H32=TRUE,IF(A182&lt;Career_History!D32,0,MIN(A182,Career_History!E32)-Career_History!D32+1),0))/365.2425</f>
        <v>0.59960163453048321</v>
      </c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</row>
    <row r="183" spans="1:67">
      <c r="A183" s="8">
        <v>40209</v>
      </c>
      <c r="B183" s="9">
        <f t="shared" si="6"/>
        <v>33.789605536047972</v>
      </c>
      <c r="C183" s="9">
        <f t="shared" si="7"/>
        <v>5.4341978274707898</v>
      </c>
      <c r="D183" s="9">
        <f t="shared" si="8"/>
        <v>19.674052170818015</v>
      </c>
      <c r="E183" s="9"/>
      <c r="F183" s="9"/>
      <c r="G183" s="9"/>
      <c r="H183" s="9"/>
      <c r="I183" s="9"/>
      <c r="J183" s="9"/>
      <c r="K183" s="9"/>
      <c r="L183" s="9"/>
      <c r="M183" s="9"/>
      <c r="N183" s="9">
        <f>SUM(IF(Career_History!G12=TRUE,IF(A183&lt;Career_History!D12,0,MIN(A183,Career_History!E12)-Career_History!D12+1),0),IF(Career_History!G13=TRUE,IF(A183&lt;Career_History!D13,0,MIN(A183,Career_History!E13)-Career_History!D13+1),0))/365.2425</f>
        <v>38.590799263503015</v>
      </c>
      <c r="O183" s="9">
        <f>SUM(IF(Career_History!I12=TRUE,IF(A183&lt;Career_History!D12,0,MIN(A183,Career_History!E12)-Career_History!D12+1),0),IF(Career_History!I13=TRUE,IF(A183&lt;Career_History!D13,0,MIN(A183,Career_History!E13)-Career_History!D13+1),0))/365.2425</f>
        <v>0</v>
      </c>
      <c r="P183" s="9">
        <f>SUM(IF(Career_History!H12=TRUE,IF(A183&lt;Career_History!D12,0,MIN(A183,Career_History!E12)-Career_History!D12+1),0),IF(Career_History!H13=TRUE,IF(A183&lt;Career_History!D13,0,MIN(A183,Career_History!E13)-Career_History!D13+1),0))/365.2425</f>
        <v>15.085867608506677</v>
      </c>
      <c r="Q183" s="9"/>
      <c r="R183" s="9"/>
      <c r="S183" s="9"/>
      <c r="T183" s="9">
        <f>SUM(IF(Career_History!G16=TRUE,IF(A183&lt;Career_History!D16,0,MIN(A183,Career_History!E16)-Career_History!D16+1),0),IF(Career_History!G17=TRUE,IF(A183&lt;Career_History!D17,0,MIN(A183,Career_History!E17)-Career_History!D17+1),0))/365.2425</f>
        <v>34.590717126292802</v>
      </c>
      <c r="U183" s="9">
        <f>SUM(IF(Career_History!I16=TRUE,IF(A183&lt;Career_History!D16,0,MIN(A183,Career_History!E16)-Career_History!D16+1),0),IF(Career_History!I17=TRUE,IF(A183&lt;Career_History!D17,0,MIN(A183,Career_History!E17)-Career_History!D17+1),0))/365.2425</f>
        <v>21.506259539894728</v>
      </c>
      <c r="V183" s="9">
        <f>SUM(IF(Career_History!H16=TRUE,IF(A183&lt;Career_History!D16,0,MIN(A183,Career_History!E16)-Career_History!D16+1),0),IF(Career_History!H17=TRUE,IF(A183&lt;Career_History!D17,0,MIN(A183,Career_History!E17)-Career_History!D17+1),0))/365.2425</f>
        <v>34.590717126292802</v>
      </c>
      <c r="W183" s="9"/>
      <c r="X183" s="9"/>
      <c r="Y183" s="9"/>
      <c r="Z183" s="9"/>
      <c r="AA183" s="9"/>
      <c r="AB183" s="9"/>
      <c r="AC183" s="9">
        <f>SUM(IF(Career_History!G25=TRUE,IF(A183&lt;Career_History!D25,0,MIN(A183,Career_History!E25)-Career_History!D25+1),0),IF(Career_History!G26=TRUE,IF(A183&lt;Career_History!D26,0,MIN(A183,Career_History!E26)-Career_History!D26+1),0),IF(Career_History!G27=TRUE,IF(A183&lt;Career_History!D27,0,MIN(A183,Career_History!E27)-Career_History!D27+1),0),IF(Career_History!G28=TRUE,IF(A183&lt;Career_History!D28,0,MIN(A183,Career_History!E28)-Career_History!D28+1),0),IF(Career_History!G29=TRUE,IF(A183&lt;Career_History!D29,0,MIN(A183,Career_History!E29)-Career_History!D29+1),0))/365.2425</f>
        <v>36.589389241394414</v>
      </c>
      <c r="AD183" s="9">
        <f>SUM(IF(Career_History!I25=TRUE,IF(A183&lt;Career_History!D25,0,MIN(A183,Career_History!E25)-Career_History!D25+1),0),IF(Career_History!I26=TRUE,IF(A183&lt;Career_History!D26,0,MIN(A183,Career_History!E26)-Career_History!D26+1),0),IF(Career_History!I27=TRUE,IF(A183&lt;Career_History!D27,0,MIN(A183,Career_History!E27)-Career_History!D27+1),0),IF(Career_History!I28=TRUE,IF(A183&lt;Career_History!D28,0,MIN(A183,Career_History!E28)-Career_History!D28+1),0),IF(Career_History!I29=TRUE,IF(A183&lt;Career_History!D29,0,MIN(A183,Career_History!E29)-Career_History!D29+1),0))/365.2425</f>
        <v>0</v>
      </c>
      <c r="AE183" s="9">
        <f>SUM(IF(Career_History!H25=TRUE,IF(A183&lt;Career_History!D25,0,MIN(A183,Career_History!E25)-Career_History!D25+1),0),IF(Career_History!H26=TRUE,IF(A183&lt;Career_History!D26,0,MIN(A183,Career_History!E26)-Career_History!D26+1),0),IF(Career_History!H27=TRUE,IF(A183&lt;Career_History!D27,0,MIN(A183,Career_History!E27)-Career_History!D27+1),0),IF(Career_History!H28=TRUE,IF(A183&lt;Career_History!D28,0,MIN(A183,Career_History!E28)-Career_History!D28+1),0),IF(Career_History!H29=TRUE,IF(A183&lt;Career_History!D29,0,MIN(A183,Career_History!E29)-Career_History!D29+1),0))/365.2425</f>
        <v>24.085367940477902</v>
      </c>
      <c r="AF183" s="9">
        <f>SUM(IF(Career_History!G30=TRUE,IF(A183&lt;Career_History!D30,0,MIN(A183,Career_History!E30)-Career_History!D30+1),0),IF(Career_History!G31=TRUE,IF(A183&lt;Career_History!D31,0,MIN(A183,Career_History!E31)-Career_History!D31+1),0),IF(Career_History!G32=TRUE,IF(A183&lt;Career_History!D32,0,MIN(A183,Career_History!E32)-Career_History!D32+1),0))/365.2425</f>
        <v>29.5885610245248</v>
      </c>
      <c r="AG183" s="9">
        <f>SUM(IF(Career_History!I30=TRUE,IF(A183&lt;Career_History!D30,0,MIN(A183,Career_History!E30)-Career_History!D30+1),0),IF(Career_History!I31=TRUE,IF(A183&lt;Career_History!D31,0,MIN(A183,Career_History!E31)-Career_History!D31+1),0),IF(Career_History!I32=TRUE,IF(A183&lt;Career_History!D32,0,MIN(A183,Career_History!E32)-Career_History!D32+1),0))/365.2425</f>
        <v>0</v>
      </c>
      <c r="AH183" s="9">
        <f>SUM(IF(Career_History!H30=TRUE,IF(A183&lt;Career_History!D30,0,MIN(A183,Career_History!E30)-Career_History!D30+1),0),IF(Career_History!H31=TRUE,IF(A183&lt;Career_History!D31,0,MIN(A183,Career_History!E31)-Career_History!D31+1),0),IF(Career_History!H32=TRUE,IF(A183&lt;Career_History!D32,0,MIN(A183,Career_History!E32)-Career_History!D32+1),0))/365.2425</f>
        <v>0.68447675174712685</v>
      </c>
      <c r="AI183" s="9">
        <f>SUM(IF(Career_History!G33=TRUE,IF(A183&lt;Career_History!D33,0,MIN(A183,Career_History!E33)-Career_History!D33+1),0),IF(Career_History!G34=TRUE,IF(A183&lt;Career_History!D34,0,MIN(A183,Career_History!E34)-Career_History!D34+1),0),IF(Career_History!G35=TRUE,IF(A183&lt;Career_History!D35,0,MIN(A183,Career_History!E35)-Career_History!D35+1),0),IF(Career_History!G36=TRUE,IF(A183&lt;Career_History!D36,0,MIN(A183,Career_History!E36)-Career_History!D36+1),0),IF(Career_History!G37=TRUE,IF(A183&lt;Career_History!D37,0,MIN(A183,Career_History!E37)-Career_History!D37+1),0),IF(Career_History!G38=TRUE,IF(A183&lt;Career_History!D38,0,MIN(A183,Career_History!E38)-Career_History!D38+1),0))/365.2425</f>
        <v>29.5885610245248</v>
      </c>
      <c r="AJ183" s="9">
        <f>SUM(IF(Career_History!I33=TRUE,IF(A183&lt;Career_History!D33,0,MIN(A183,Career_History!E33)-Career_History!D33+1),0),IF(Career_History!I34=TRUE,IF(A183&lt;Career_History!D34,0,MIN(A183,Career_History!E34)-Career_History!D34+1),0),IF(Career_History!I35=TRUE,IF(A183&lt;Career_History!D35,0,MIN(A183,Career_History!E35)-Career_History!D35+1),0),IF(Career_History!I36=TRUE,IF(A183&lt;Career_History!D36,0,MIN(A183,Career_History!E36)-Career_History!D36+1),0),IF(Career_History!I37=TRUE,IF(A183&lt;Career_History!D37,0,MIN(A183,Career_History!E37)-Career_History!D37+1),0),IF(Career_History!I38=TRUE,IF(A183&lt;Career_History!D38,0,MIN(A183,Career_History!E38)-Career_History!D38+1),0))/365.2425</f>
        <v>5.664729597459222</v>
      </c>
      <c r="AK183" s="9">
        <f>SUM(IF(Career_History!H33=TRUE,IF(A183&lt;Career_History!D33,0,MIN(A183,Career_History!E33)-Career_History!D33+1),0),IF(Career_History!H34=TRUE,IF(A183&lt;Career_History!D34,0,MIN(A183,Career_History!E34)-Career_History!D34+1),0),IF(Career_History!H35=TRUE,IF(A183&lt;Career_History!D35,0,MIN(A183,Career_History!E35)-Career_History!D35+1),0),IF(Career_History!H36=TRUE,IF(A183&lt;Career_History!D36,0,MIN(A183,Career_History!E36)-Career_History!D36+1),0),IF(Career_History!H37=TRUE,IF(A183&lt;Career_History!D37,0,MIN(A183,Career_History!E37)-Career_History!D37+1),0),IF(Career_History!H38=TRUE,IF(A183&lt;Career_History!D38,0,MIN(A183,Career_History!E38)-Career_History!D38+1),0))/365.2425</f>
        <v>23.923831427065579</v>
      </c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</row>
    <row r="184" spans="1:67">
      <c r="A184" s="8">
        <v>40237</v>
      </c>
      <c r="B184" s="9">
        <f t="shared" si="6"/>
        <v>33.866266932243647</v>
      </c>
      <c r="C184" s="9">
        <f t="shared" si="7"/>
        <v>5.4341978274707898</v>
      </c>
      <c r="D184" s="9">
        <f t="shared" si="8"/>
        <v>19.750713567013698</v>
      </c>
      <c r="E184" s="9"/>
      <c r="F184" s="9"/>
      <c r="G184" s="9"/>
      <c r="H184" s="9"/>
      <c r="I184" s="9"/>
      <c r="J184" s="9"/>
      <c r="K184" s="9"/>
      <c r="L184" s="9"/>
      <c r="M184" s="9"/>
      <c r="N184" s="9">
        <f>SUM(IF(Career_History!G12=TRUE,IF(A184&lt;Career_History!D12,0,MIN(A184,Career_History!E12)-Career_History!D12+1),0),IF(Career_History!G13=TRUE,IF(A184&lt;Career_History!D13,0,MIN(A184,Career_History!E13)-Career_History!D13+1),0))/365.2425</f>
        <v>38.667460659698691</v>
      </c>
      <c r="O184" s="9">
        <f>SUM(IF(Career_History!I12=TRUE,IF(A184&lt;Career_History!D12,0,MIN(A184,Career_History!E12)-Career_History!D12+1),0),IF(Career_History!I13=TRUE,IF(A184&lt;Career_History!D13,0,MIN(A184,Career_History!E13)-Career_History!D13+1),0))/365.2425</f>
        <v>0</v>
      </c>
      <c r="P184" s="9">
        <f>SUM(IF(Career_History!H12=TRUE,IF(A184&lt;Career_History!D12,0,MIN(A184,Career_History!E12)-Career_History!D12+1),0),IF(Career_History!H13=TRUE,IF(A184&lt;Career_History!D13,0,MIN(A184,Career_History!E13)-Career_History!D13+1),0))/365.2425</f>
        <v>15.162529004702355</v>
      </c>
      <c r="Q184" s="9"/>
      <c r="R184" s="9"/>
      <c r="S184" s="9"/>
      <c r="T184" s="9">
        <f>SUM(IF(Career_History!G16=TRUE,IF(A184&lt;Career_History!D16,0,MIN(A184,Career_History!E16)-Career_History!D16+1),0),IF(Career_History!G17=TRUE,IF(A184&lt;Career_History!D17,0,MIN(A184,Career_History!E17)-Career_History!D17+1),0))/365.2425</f>
        <v>34.667378522488484</v>
      </c>
      <c r="U184" s="9">
        <f>SUM(IF(Career_History!I16=TRUE,IF(A184&lt;Career_History!D16,0,MIN(A184,Career_History!E16)-Career_History!D16+1),0),IF(Career_History!I17=TRUE,IF(A184&lt;Career_History!D17,0,MIN(A184,Career_History!E17)-Career_History!D17+1),0))/365.2425</f>
        <v>21.506259539894728</v>
      </c>
      <c r="V184" s="9">
        <f>SUM(IF(Career_History!H16=TRUE,IF(A184&lt;Career_History!D16,0,MIN(A184,Career_History!E16)-Career_History!D16+1),0),IF(Career_History!H17=TRUE,IF(A184&lt;Career_History!D17,0,MIN(A184,Career_History!E17)-Career_History!D17+1),0))/365.2425</f>
        <v>34.667378522488484</v>
      </c>
      <c r="W184" s="9"/>
      <c r="X184" s="9"/>
      <c r="Y184" s="9"/>
      <c r="Z184" s="9"/>
      <c r="AA184" s="9"/>
      <c r="AB184" s="9"/>
      <c r="AC184" s="9">
        <f>SUM(IF(Career_History!G25=TRUE,IF(A184&lt;Career_History!D25,0,MIN(A184,Career_History!E25)-Career_History!D25+1),0),IF(Career_History!G26=TRUE,IF(A184&lt;Career_History!D26,0,MIN(A184,Career_History!E26)-Career_History!D26+1),0),IF(Career_History!G27=TRUE,IF(A184&lt;Career_History!D27,0,MIN(A184,Career_History!E27)-Career_History!D27+1),0),IF(Career_History!G28=TRUE,IF(A184&lt;Career_History!D28,0,MIN(A184,Career_History!E28)-Career_History!D28+1),0),IF(Career_History!G29=TRUE,IF(A184&lt;Career_History!D29,0,MIN(A184,Career_History!E29)-Career_History!D29+1),0))/365.2425</f>
        <v>36.666050637590097</v>
      </c>
      <c r="AD184" s="9">
        <f>SUM(IF(Career_History!I25=TRUE,IF(A184&lt;Career_History!D25,0,MIN(A184,Career_History!E25)-Career_History!D25+1),0),IF(Career_History!I26=TRUE,IF(A184&lt;Career_History!D26,0,MIN(A184,Career_History!E26)-Career_History!D26+1),0),IF(Career_History!I27=TRUE,IF(A184&lt;Career_History!D27,0,MIN(A184,Career_History!E27)-Career_History!D27+1),0),IF(Career_History!I28=TRUE,IF(A184&lt;Career_History!D28,0,MIN(A184,Career_History!E28)-Career_History!D28+1),0),IF(Career_History!I29=TRUE,IF(A184&lt;Career_History!D29,0,MIN(A184,Career_History!E29)-Career_History!D29+1),0))/365.2425</f>
        <v>0</v>
      </c>
      <c r="AE184" s="9">
        <f>SUM(IF(Career_History!H25=TRUE,IF(A184&lt;Career_History!D25,0,MIN(A184,Career_History!E25)-Career_History!D25+1),0),IF(Career_History!H26=TRUE,IF(A184&lt;Career_History!D26,0,MIN(A184,Career_History!E26)-Career_History!D26+1),0),IF(Career_History!H27=TRUE,IF(A184&lt;Career_History!D27,0,MIN(A184,Career_History!E27)-Career_History!D27+1),0),IF(Career_History!H28=TRUE,IF(A184&lt;Career_History!D28,0,MIN(A184,Career_History!E28)-Career_History!D28+1),0),IF(Career_History!H29=TRUE,IF(A184&lt;Career_History!D29,0,MIN(A184,Career_History!E29)-Career_History!D29+1),0))/365.2425</f>
        <v>24.16202933667358</v>
      </c>
      <c r="AF184" s="9">
        <f>SUM(IF(Career_History!G30=TRUE,IF(A184&lt;Career_History!D30,0,MIN(A184,Career_History!E30)-Career_History!D30+1),0),IF(Career_History!G31=TRUE,IF(A184&lt;Career_History!D31,0,MIN(A184,Career_History!E31)-Career_History!D31+1),0),IF(Career_History!G32=TRUE,IF(A184&lt;Career_History!D32,0,MIN(A184,Career_History!E32)-Career_History!D32+1),0))/365.2425</f>
        <v>29.665222420720479</v>
      </c>
      <c r="AG184" s="9">
        <f>SUM(IF(Career_History!I30=TRUE,IF(A184&lt;Career_History!D30,0,MIN(A184,Career_History!E30)-Career_History!D30+1),0),IF(Career_History!I31=TRUE,IF(A184&lt;Career_History!D31,0,MIN(A184,Career_History!E31)-Career_History!D31+1),0),IF(Career_History!I32=TRUE,IF(A184&lt;Career_History!D32,0,MIN(A184,Career_History!E32)-Career_History!D32+1),0))/365.2425</f>
        <v>0</v>
      </c>
      <c r="AH184" s="9">
        <f>SUM(IF(Career_History!H30=TRUE,IF(A184&lt;Career_History!D30,0,MIN(A184,Career_History!E30)-Career_History!D30+1),0),IF(Career_History!H31=TRUE,IF(A184&lt;Career_History!D31,0,MIN(A184,Career_History!E31)-Career_History!D31+1),0),IF(Career_History!H32=TRUE,IF(A184&lt;Career_History!D32,0,MIN(A184,Career_History!E32)-Career_History!D32+1),0))/365.2425</f>
        <v>0.7611381479428051</v>
      </c>
      <c r="AI184" s="9">
        <f>SUM(IF(Career_History!G33=TRUE,IF(A184&lt;Career_History!D33,0,MIN(A184,Career_History!E33)-Career_History!D33+1),0),IF(Career_History!G34=TRUE,IF(A184&lt;Career_History!D34,0,MIN(A184,Career_History!E34)-Career_History!D34+1),0),IF(Career_History!G35=TRUE,IF(A184&lt;Career_History!D35,0,MIN(A184,Career_History!E35)-Career_History!D35+1),0),IF(Career_History!G36=TRUE,IF(A184&lt;Career_History!D36,0,MIN(A184,Career_History!E36)-Career_History!D36+1),0),IF(Career_History!G37=TRUE,IF(A184&lt;Career_History!D37,0,MIN(A184,Career_History!E37)-Career_History!D37+1),0),IF(Career_History!G38=TRUE,IF(A184&lt;Career_History!D38,0,MIN(A184,Career_History!E38)-Career_History!D38+1),0))/365.2425</f>
        <v>29.665222420720479</v>
      </c>
      <c r="AJ184" s="9">
        <f>SUM(IF(Career_History!I33=TRUE,IF(A184&lt;Career_History!D33,0,MIN(A184,Career_History!E33)-Career_History!D33+1),0),IF(Career_History!I34=TRUE,IF(A184&lt;Career_History!D34,0,MIN(A184,Career_History!E34)-Career_History!D34+1),0),IF(Career_History!I35=TRUE,IF(A184&lt;Career_History!D35,0,MIN(A184,Career_History!E35)-Career_History!D35+1),0),IF(Career_History!I36=TRUE,IF(A184&lt;Career_History!D36,0,MIN(A184,Career_History!E36)-Career_History!D36+1),0),IF(Career_History!I37=TRUE,IF(A184&lt;Career_History!D37,0,MIN(A184,Career_History!E37)-Career_History!D37+1),0),IF(Career_History!I38=TRUE,IF(A184&lt;Career_History!D38,0,MIN(A184,Career_History!E38)-Career_History!D38+1),0))/365.2425</f>
        <v>5.664729597459222</v>
      </c>
      <c r="AK184" s="9">
        <f>SUM(IF(Career_History!H33=TRUE,IF(A184&lt;Career_History!D33,0,MIN(A184,Career_History!E33)-Career_History!D33+1),0),IF(Career_History!H34=TRUE,IF(A184&lt;Career_History!D34,0,MIN(A184,Career_History!E34)-Career_History!D34+1),0),IF(Career_History!H35=TRUE,IF(A184&lt;Career_History!D35,0,MIN(A184,Career_History!E35)-Career_History!D35+1),0),IF(Career_History!H36=TRUE,IF(A184&lt;Career_History!D36,0,MIN(A184,Career_History!E36)-Career_History!D36+1),0),IF(Career_History!H37=TRUE,IF(A184&lt;Career_History!D37,0,MIN(A184,Career_History!E37)-Career_History!D37+1),0),IF(Career_History!H38=TRUE,IF(A184&lt;Career_History!D38,0,MIN(A184,Career_History!E38)-Career_History!D38+1),0))/365.2425</f>
        <v>24.000492823261258</v>
      </c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</row>
    <row r="185" spans="1:67">
      <c r="A185" s="8">
        <v>40268</v>
      </c>
      <c r="B185" s="9">
        <f t="shared" si="6"/>
        <v>33.95114204946028</v>
      </c>
      <c r="C185" s="9">
        <f t="shared" si="7"/>
        <v>5.4341978274707898</v>
      </c>
      <c r="D185" s="9">
        <f t="shared" si="8"/>
        <v>19.835588684230338</v>
      </c>
      <c r="E185" s="9"/>
      <c r="F185" s="9"/>
      <c r="G185" s="9"/>
      <c r="H185" s="9"/>
      <c r="I185" s="9"/>
      <c r="J185" s="9"/>
      <c r="K185" s="9"/>
      <c r="L185" s="9"/>
      <c r="M185" s="9"/>
      <c r="N185" s="9">
        <f>SUM(IF(Career_History!G12=TRUE,IF(A185&lt;Career_History!D12,0,MIN(A185,Career_History!E12)-Career_History!D12+1),0),IF(Career_History!G13=TRUE,IF(A185&lt;Career_History!D13,0,MIN(A185,Career_History!E13)-Career_History!D13+1),0))/365.2425</f>
        <v>38.752335776915338</v>
      </c>
      <c r="O185" s="9">
        <f>SUM(IF(Career_History!I12=TRUE,IF(A185&lt;Career_History!D12,0,MIN(A185,Career_History!E12)-Career_History!D12+1),0),IF(Career_History!I13=TRUE,IF(A185&lt;Career_History!D13,0,MIN(A185,Career_History!E13)-Career_History!D13+1),0))/365.2425</f>
        <v>0</v>
      </c>
      <c r="P185" s="9">
        <f>SUM(IF(Career_History!H12=TRUE,IF(A185&lt;Career_History!D12,0,MIN(A185,Career_History!E12)-Career_History!D12+1),0),IF(Career_History!H13=TRUE,IF(A185&lt;Career_History!D13,0,MIN(A185,Career_History!E13)-Career_History!D13+1),0))/365.2425</f>
        <v>15.247404121918999</v>
      </c>
      <c r="Q185" s="9"/>
      <c r="R185" s="9"/>
      <c r="S185" s="9"/>
      <c r="T185" s="9">
        <f>SUM(IF(Career_History!G16=TRUE,IF(A185&lt;Career_History!D16,0,MIN(A185,Career_History!E16)-Career_History!D16+1),0),IF(Career_History!G17=TRUE,IF(A185&lt;Career_History!D17,0,MIN(A185,Career_History!E17)-Career_History!D17+1),0))/365.2425</f>
        <v>34.752253639705124</v>
      </c>
      <c r="U185" s="9">
        <f>SUM(IF(Career_History!I16=TRUE,IF(A185&lt;Career_History!D16,0,MIN(A185,Career_History!E16)-Career_History!D16+1),0),IF(Career_History!I17=TRUE,IF(A185&lt;Career_History!D17,0,MIN(A185,Career_History!E17)-Career_History!D17+1),0))/365.2425</f>
        <v>21.506259539894728</v>
      </c>
      <c r="V185" s="9">
        <f>SUM(IF(Career_History!H16=TRUE,IF(A185&lt;Career_History!D16,0,MIN(A185,Career_History!E16)-Career_History!D16+1),0),IF(Career_History!H17=TRUE,IF(A185&lt;Career_History!D17,0,MIN(A185,Career_History!E17)-Career_History!D17+1),0))/365.2425</f>
        <v>34.752253639705124</v>
      </c>
      <c r="W185" s="9"/>
      <c r="X185" s="9"/>
      <c r="Y185" s="9"/>
      <c r="Z185" s="9"/>
      <c r="AA185" s="9"/>
      <c r="AB185" s="9"/>
      <c r="AC185" s="9">
        <f>SUM(IF(Career_History!G25=TRUE,IF(A185&lt;Career_History!D25,0,MIN(A185,Career_History!E25)-Career_History!D25+1),0),IF(Career_History!G26=TRUE,IF(A185&lt;Career_History!D26,0,MIN(A185,Career_History!E26)-Career_History!D26+1),0),IF(Career_History!G27=TRUE,IF(A185&lt;Career_History!D27,0,MIN(A185,Career_History!E27)-Career_History!D27+1),0),IF(Career_History!G28=TRUE,IF(A185&lt;Career_History!D28,0,MIN(A185,Career_History!E28)-Career_History!D28+1),0),IF(Career_History!G29=TRUE,IF(A185&lt;Career_History!D29,0,MIN(A185,Career_History!E29)-Career_History!D29+1),0))/365.2425</f>
        <v>36.750925754806737</v>
      </c>
      <c r="AD185" s="9">
        <f>SUM(IF(Career_History!I25=TRUE,IF(A185&lt;Career_History!D25,0,MIN(A185,Career_History!E25)-Career_History!D25+1),0),IF(Career_History!I26=TRUE,IF(A185&lt;Career_History!D26,0,MIN(A185,Career_History!E26)-Career_History!D26+1),0),IF(Career_History!I27=TRUE,IF(A185&lt;Career_History!D27,0,MIN(A185,Career_History!E27)-Career_History!D27+1),0),IF(Career_History!I28=TRUE,IF(A185&lt;Career_History!D28,0,MIN(A185,Career_History!E28)-Career_History!D28+1),0),IF(Career_History!I29=TRUE,IF(A185&lt;Career_History!D29,0,MIN(A185,Career_History!E29)-Career_History!D29+1),0))/365.2425</f>
        <v>0</v>
      </c>
      <c r="AE185" s="9">
        <f>SUM(IF(Career_History!H25=TRUE,IF(A185&lt;Career_History!D25,0,MIN(A185,Career_History!E25)-Career_History!D25+1),0),IF(Career_History!H26=TRUE,IF(A185&lt;Career_History!D26,0,MIN(A185,Career_History!E26)-Career_History!D26+1),0),IF(Career_History!H27=TRUE,IF(A185&lt;Career_History!D27,0,MIN(A185,Career_History!E27)-Career_History!D27+1),0),IF(Career_History!H28=TRUE,IF(A185&lt;Career_History!D28,0,MIN(A185,Career_History!E28)-Career_History!D28+1),0),IF(Career_History!H29=TRUE,IF(A185&lt;Career_History!D29,0,MIN(A185,Career_History!E29)-Career_History!D29+1),0))/365.2425</f>
        <v>24.246904453890224</v>
      </c>
      <c r="AF185" s="9">
        <f>SUM(IF(Career_History!G30=TRUE,IF(A185&lt;Career_History!D30,0,MIN(A185,Career_History!E30)-Career_History!D30+1),0),IF(Career_History!G31=TRUE,IF(A185&lt;Career_History!D31,0,MIN(A185,Career_History!E31)-Career_History!D31+1),0),IF(Career_History!G32=TRUE,IF(A185&lt;Career_History!D32,0,MIN(A185,Career_History!E32)-Career_History!D32+1),0))/365.2425</f>
        <v>29.750097537937123</v>
      </c>
      <c r="AG185" s="9">
        <f>SUM(IF(Career_History!I30=TRUE,IF(A185&lt;Career_History!D30,0,MIN(A185,Career_History!E30)-Career_History!D30+1),0),IF(Career_History!I31=TRUE,IF(A185&lt;Career_History!D31,0,MIN(A185,Career_History!E31)-Career_History!D31+1),0),IF(Career_History!I32=TRUE,IF(A185&lt;Career_History!D32,0,MIN(A185,Career_History!E32)-Career_History!D32+1),0))/365.2425</f>
        <v>0</v>
      </c>
      <c r="AH185" s="9">
        <f>SUM(IF(Career_History!H30=TRUE,IF(A185&lt;Career_History!D30,0,MIN(A185,Career_History!E30)-Career_History!D30+1),0),IF(Career_History!H31=TRUE,IF(A185&lt;Career_History!D31,0,MIN(A185,Career_History!E31)-Career_History!D31+1),0),IF(Career_History!H32=TRUE,IF(A185&lt;Career_History!D32,0,MIN(A185,Career_History!E32)-Career_History!D32+1),0))/365.2425</f>
        <v>0.84601326515944886</v>
      </c>
      <c r="AI185" s="9">
        <f>SUM(IF(Career_History!G33=TRUE,IF(A185&lt;Career_History!D33,0,MIN(A185,Career_History!E33)-Career_History!D33+1),0),IF(Career_History!G34=TRUE,IF(A185&lt;Career_History!D34,0,MIN(A185,Career_History!E34)-Career_History!D34+1),0),IF(Career_History!G35=TRUE,IF(A185&lt;Career_History!D35,0,MIN(A185,Career_History!E35)-Career_History!D35+1),0),IF(Career_History!G36=TRUE,IF(A185&lt;Career_History!D36,0,MIN(A185,Career_History!E36)-Career_History!D36+1),0),IF(Career_History!G37=TRUE,IF(A185&lt;Career_History!D37,0,MIN(A185,Career_History!E37)-Career_History!D37+1),0),IF(Career_History!G38=TRUE,IF(A185&lt;Career_History!D38,0,MIN(A185,Career_History!E38)-Career_History!D38+1),0))/365.2425</f>
        <v>29.750097537937123</v>
      </c>
      <c r="AJ185" s="9">
        <f>SUM(IF(Career_History!I33=TRUE,IF(A185&lt;Career_History!D33,0,MIN(A185,Career_History!E33)-Career_History!D33+1),0),IF(Career_History!I34=TRUE,IF(A185&lt;Career_History!D34,0,MIN(A185,Career_History!E34)-Career_History!D34+1),0),IF(Career_History!I35=TRUE,IF(A185&lt;Career_History!D35,0,MIN(A185,Career_History!E35)-Career_History!D35+1),0),IF(Career_History!I36=TRUE,IF(A185&lt;Career_History!D36,0,MIN(A185,Career_History!E36)-Career_History!D36+1),0),IF(Career_History!I37=TRUE,IF(A185&lt;Career_History!D37,0,MIN(A185,Career_History!E37)-Career_History!D37+1),0),IF(Career_History!I38=TRUE,IF(A185&lt;Career_History!D38,0,MIN(A185,Career_History!E38)-Career_History!D38+1),0))/365.2425</f>
        <v>5.664729597459222</v>
      </c>
      <c r="AK185" s="9">
        <f>SUM(IF(Career_History!H33=TRUE,IF(A185&lt;Career_History!D33,0,MIN(A185,Career_History!E33)-Career_History!D33+1),0),IF(Career_History!H34=TRUE,IF(A185&lt;Career_History!D34,0,MIN(A185,Career_History!E34)-Career_History!D34+1),0),IF(Career_History!H35=TRUE,IF(A185&lt;Career_History!D35,0,MIN(A185,Career_History!E35)-Career_History!D35+1),0),IF(Career_History!H36=TRUE,IF(A185&lt;Career_History!D36,0,MIN(A185,Career_History!E36)-Career_History!D36+1),0),IF(Career_History!H37=TRUE,IF(A185&lt;Career_History!D37,0,MIN(A185,Career_History!E37)-Career_History!D37+1),0),IF(Career_History!H38=TRUE,IF(A185&lt;Career_History!D38,0,MIN(A185,Career_History!E38)-Career_History!D38+1),0))/365.2425</f>
        <v>24.085367940477902</v>
      </c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</row>
    <row r="186" spans="1:67">
      <c r="A186" s="8">
        <v>40298</v>
      </c>
      <c r="B186" s="9">
        <f t="shared" si="6"/>
        <v>34.033279259669946</v>
      </c>
      <c r="C186" s="9">
        <f t="shared" si="7"/>
        <v>5.4341978274707898</v>
      </c>
      <c r="D186" s="9">
        <f t="shared" si="8"/>
        <v>19.917725894439997</v>
      </c>
      <c r="E186" s="9"/>
      <c r="F186" s="9"/>
      <c r="G186" s="9"/>
      <c r="H186" s="9"/>
      <c r="I186" s="9"/>
      <c r="J186" s="9"/>
      <c r="K186" s="9"/>
      <c r="L186" s="9"/>
      <c r="M186" s="9"/>
      <c r="N186" s="9">
        <f>SUM(IF(Career_History!G12=TRUE,IF(A186&lt;Career_History!D12,0,MIN(A186,Career_History!E12)-Career_History!D12+1),0),IF(Career_History!G13=TRUE,IF(A186&lt;Career_History!D13,0,MIN(A186,Career_History!E13)-Career_History!D13+1),0))/365.2425</f>
        <v>38.83447298712499</v>
      </c>
      <c r="O186" s="9">
        <f>SUM(IF(Career_History!I12=TRUE,IF(A186&lt;Career_History!D12,0,MIN(A186,Career_History!E12)-Career_History!D12+1),0),IF(Career_History!I13=TRUE,IF(A186&lt;Career_History!D13,0,MIN(A186,Career_History!E13)-Career_History!D13+1),0))/365.2425</f>
        <v>0</v>
      </c>
      <c r="P186" s="9">
        <f>SUM(IF(Career_History!H12=TRUE,IF(A186&lt;Career_History!D12,0,MIN(A186,Career_History!E12)-Career_History!D12+1),0),IF(Career_History!H13=TRUE,IF(A186&lt;Career_History!D13,0,MIN(A186,Career_History!E13)-Career_History!D13+1),0))/365.2425</f>
        <v>15.329541332128654</v>
      </c>
      <c r="Q186" s="9"/>
      <c r="R186" s="9"/>
      <c r="S186" s="9"/>
      <c r="T186" s="9">
        <f>SUM(IF(Career_History!G16=TRUE,IF(A186&lt;Career_History!D16,0,MIN(A186,Career_History!E16)-Career_History!D16+1),0),IF(Career_History!G17=TRUE,IF(A186&lt;Career_History!D17,0,MIN(A186,Career_History!E17)-Career_History!D17+1),0))/365.2425</f>
        <v>34.834390849914783</v>
      </c>
      <c r="U186" s="9">
        <f>SUM(IF(Career_History!I16=TRUE,IF(A186&lt;Career_History!D16,0,MIN(A186,Career_History!E16)-Career_History!D16+1),0),IF(Career_History!I17=TRUE,IF(A186&lt;Career_History!D17,0,MIN(A186,Career_History!E17)-Career_History!D17+1),0))/365.2425</f>
        <v>21.506259539894728</v>
      </c>
      <c r="V186" s="9">
        <f>SUM(IF(Career_History!H16=TRUE,IF(A186&lt;Career_History!D16,0,MIN(A186,Career_History!E16)-Career_History!D16+1),0),IF(Career_History!H17=TRUE,IF(A186&lt;Career_History!D17,0,MIN(A186,Career_History!E17)-Career_History!D17+1),0))/365.2425</f>
        <v>34.834390849914783</v>
      </c>
      <c r="W186" s="9"/>
      <c r="X186" s="9"/>
      <c r="Y186" s="9"/>
      <c r="Z186" s="9"/>
      <c r="AA186" s="9"/>
      <c r="AB186" s="9"/>
      <c r="AC186" s="9">
        <f>SUM(IF(Career_History!G25=TRUE,IF(A186&lt;Career_History!D25,0,MIN(A186,Career_History!E25)-Career_History!D25+1),0),IF(Career_History!G26=TRUE,IF(A186&lt;Career_History!D26,0,MIN(A186,Career_History!E26)-Career_History!D26+1),0),IF(Career_History!G27=TRUE,IF(A186&lt;Career_History!D27,0,MIN(A186,Career_History!E27)-Career_History!D27+1),0),IF(Career_History!G28=TRUE,IF(A186&lt;Career_History!D28,0,MIN(A186,Career_History!E28)-Career_History!D28+1),0),IF(Career_History!G29=TRUE,IF(A186&lt;Career_History!D29,0,MIN(A186,Career_History!E29)-Career_History!D29+1),0))/365.2425</f>
        <v>36.833062965016396</v>
      </c>
      <c r="AD186" s="9">
        <f>SUM(IF(Career_History!I25=TRUE,IF(A186&lt;Career_History!D25,0,MIN(A186,Career_History!E25)-Career_History!D25+1),0),IF(Career_History!I26=TRUE,IF(A186&lt;Career_History!D26,0,MIN(A186,Career_History!E26)-Career_History!D26+1),0),IF(Career_History!I27=TRUE,IF(A186&lt;Career_History!D27,0,MIN(A186,Career_History!E27)-Career_History!D27+1),0),IF(Career_History!I28=TRUE,IF(A186&lt;Career_History!D28,0,MIN(A186,Career_History!E28)-Career_History!D28+1),0),IF(Career_History!I29=TRUE,IF(A186&lt;Career_History!D29,0,MIN(A186,Career_History!E29)-Career_History!D29+1),0))/365.2425</f>
        <v>0</v>
      </c>
      <c r="AE186" s="9">
        <f>SUM(IF(Career_History!H25=TRUE,IF(A186&lt;Career_History!D25,0,MIN(A186,Career_History!E25)-Career_History!D25+1),0),IF(Career_History!H26=TRUE,IF(A186&lt;Career_History!D26,0,MIN(A186,Career_History!E26)-Career_History!D26+1),0),IF(Career_History!H27=TRUE,IF(A186&lt;Career_History!D27,0,MIN(A186,Career_History!E27)-Career_History!D27+1),0),IF(Career_History!H28=TRUE,IF(A186&lt;Career_History!D28,0,MIN(A186,Career_History!E28)-Career_History!D28+1),0),IF(Career_History!H29=TRUE,IF(A186&lt;Career_History!D29,0,MIN(A186,Career_History!E29)-Career_History!D29+1),0))/365.2425</f>
        <v>24.329041664099879</v>
      </c>
      <c r="AF186" s="9">
        <f>SUM(IF(Career_History!G30=TRUE,IF(A186&lt;Career_History!D30,0,MIN(A186,Career_History!E30)-Career_History!D30+1),0),IF(Career_History!G31=TRUE,IF(A186&lt;Career_History!D31,0,MIN(A186,Career_History!E31)-Career_History!D31+1),0),IF(Career_History!G32=TRUE,IF(A186&lt;Career_History!D32,0,MIN(A186,Career_History!E32)-Career_History!D32+1),0))/365.2425</f>
        <v>29.832234748146778</v>
      </c>
      <c r="AG186" s="9">
        <f>SUM(IF(Career_History!I30=TRUE,IF(A186&lt;Career_History!D30,0,MIN(A186,Career_History!E30)-Career_History!D30+1),0),IF(Career_History!I31=TRUE,IF(A186&lt;Career_History!D31,0,MIN(A186,Career_History!E31)-Career_History!D31+1),0),IF(Career_History!I32=TRUE,IF(A186&lt;Career_History!D32,0,MIN(A186,Career_History!E32)-Career_History!D32+1),0))/365.2425</f>
        <v>0</v>
      </c>
      <c r="AH186" s="9">
        <f>SUM(IF(Career_History!H30=TRUE,IF(A186&lt;Career_History!D30,0,MIN(A186,Career_History!E30)-Career_History!D30+1),0),IF(Career_History!H31=TRUE,IF(A186&lt;Career_History!D31,0,MIN(A186,Career_History!E31)-Career_History!D31+1),0),IF(Career_History!H32=TRUE,IF(A186&lt;Career_History!D32,0,MIN(A186,Career_History!E32)-Career_History!D32+1),0))/365.2425</f>
        <v>0.92815047536910411</v>
      </c>
      <c r="AI186" s="9">
        <f>SUM(IF(Career_History!G33=TRUE,IF(A186&lt;Career_History!D33,0,MIN(A186,Career_History!E33)-Career_History!D33+1),0),IF(Career_History!G34=TRUE,IF(A186&lt;Career_History!D34,0,MIN(A186,Career_History!E34)-Career_History!D34+1),0),IF(Career_History!G35=TRUE,IF(A186&lt;Career_History!D35,0,MIN(A186,Career_History!E35)-Career_History!D35+1),0),IF(Career_History!G36=TRUE,IF(A186&lt;Career_History!D36,0,MIN(A186,Career_History!E36)-Career_History!D36+1),0),IF(Career_History!G37=TRUE,IF(A186&lt;Career_History!D37,0,MIN(A186,Career_History!E37)-Career_History!D37+1),0),IF(Career_History!G38=TRUE,IF(A186&lt;Career_History!D38,0,MIN(A186,Career_History!E38)-Career_History!D38+1),0))/365.2425</f>
        <v>29.832234748146778</v>
      </c>
      <c r="AJ186" s="9">
        <f>SUM(IF(Career_History!I33=TRUE,IF(A186&lt;Career_History!D33,0,MIN(A186,Career_History!E33)-Career_History!D33+1),0),IF(Career_History!I34=TRUE,IF(A186&lt;Career_History!D34,0,MIN(A186,Career_History!E34)-Career_History!D34+1),0),IF(Career_History!I35=TRUE,IF(A186&lt;Career_History!D35,0,MIN(A186,Career_History!E35)-Career_History!D35+1),0),IF(Career_History!I36=TRUE,IF(A186&lt;Career_History!D36,0,MIN(A186,Career_History!E36)-Career_History!D36+1),0),IF(Career_History!I37=TRUE,IF(A186&lt;Career_History!D37,0,MIN(A186,Career_History!E37)-Career_History!D37+1),0),IF(Career_History!I38=TRUE,IF(A186&lt;Career_History!D38,0,MIN(A186,Career_History!E38)-Career_History!D38+1),0))/365.2425</f>
        <v>5.664729597459222</v>
      </c>
      <c r="AK186" s="9">
        <f>SUM(IF(Career_History!H33=TRUE,IF(A186&lt;Career_History!D33,0,MIN(A186,Career_History!E33)-Career_History!D33+1),0),IF(Career_History!H34=TRUE,IF(A186&lt;Career_History!D34,0,MIN(A186,Career_History!E34)-Career_History!D34+1),0),IF(Career_History!H35=TRUE,IF(A186&lt;Career_History!D35,0,MIN(A186,Career_History!E35)-Career_History!D35+1),0),IF(Career_History!H36=TRUE,IF(A186&lt;Career_History!D36,0,MIN(A186,Career_History!E36)-Career_History!D36+1),0),IF(Career_History!H37=TRUE,IF(A186&lt;Career_History!D37,0,MIN(A186,Career_History!E37)-Career_History!D37+1),0),IF(Career_History!H38=TRUE,IF(A186&lt;Career_History!D38,0,MIN(A186,Career_History!E38)-Career_History!D38+1),0))/365.2425</f>
        <v>24.167505150687557</v>
      </c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</row>
    <row r="187" spans="1:67">
      <c r="A187" s="8">
        <v>40329</v>
      </c>
      <c r="B187" s="9">
        <f t="shared" si="6"/>
        <v>34.118154376886586</v>
      </c>
      <c r="C187" s="9">
        <f t="shared" si="7"/>
        <v>5.4341978274707898</v>
      </c>
      <c r="D187" s="9">
        <f t="shared" si="8"/>
        <v>20.00260101165664</v>
      </c>
      <c r="E187" s="9"/>
      <c r="F187" s="9"/>
      <c r="G187" s="9"/>
      <c r="H187" s="9"/>
      <c r="I187" s="9"/>
      <c r="J187" s="9"/>
      <c r="K187" s="9"/>
      <c r="L187" s="9"/>
      <c r="M187" s="9"/>
      <c r="N187" s="9">
        <f>SUM(IF(Career_History!G12=TRUE,IF(A187&lt;Career_History!D12,0,MIN(A187,Career_History!E12)-Career_History!D12+1),0),IF(Career_History!G13=TRUE,IF(A187&lt;Career_History!D13,0,MIN(A187,Career_History!E13)-Career_History!D13+1),0))/365.2425</f>
        <v>38.919348104341637</v>
      </c>
      <c r="O187" s="9">
        <f>SUM(IF(Career_History!I12=TRUE,IF(A187&lt;Career_History!D12,0,MIN(A187,Career_History!E12)-Career_History!D12+1),0),IF(Career_History!I13=TRUE,IF(A187&lt;Career_History!D13,0,MIN(A187,Career_History!E13)-Career_History!D13+1),0))/365.2425</f>
        <v>0</v>
      </c>
      <c r="P187" s="9">
        <f>SUM(IF(Career_History!H12=TRUE,IF(A187&lt;Career_History!D12,0,MIN(A187,Career_History!E12)-Career_History!D12+1),0),IF(Career_History!H13=TRUE,IF(A187&lt;Career_History!D13,0,MIN(A187,Career_History!E13)-Career_History!D13+1),0))/365.2425</f>
        <v>15.414416449345298</v>
      </c>
      <c r="Q187" s="9"/>
      <c r="R187" s="9"/>
      <c r="S187" s="9"/>
      <c r="T187" s="9">
        <f>SUM(IF(Career_History!G16=TRUE,IF(A187&lt;Career_History!D16,0,MIN(A187,Career_History!E16)-Career_History!D16+1),0),IF(Career_History!G17=TRUE,IF(A187&lt;Career_History!D17,0,MIN(A187,Career_History!E17)-Career_History!D17+1),0))/365.2425</f>
        <v>34.919265967131423</v>
      </c>
      <c r="U187" s="9">
        <f>SUM(IF(Career_History!I16=TRUE,IF(A187&lt;Career_History!D16,0,MIN(A187,Career_History!E16)-Career_History!D16+1),0),IF(Career_History!I17=TRUE,IF(A187&lt;Career_History!D17,0,MIN(A187,Career_History!E17)-Career_History!D17+1),0))/365.2425</f>
        <v>21.506259539894728</v>
      </c>
      <c r="V187" s="9">
        <f>SUM(IF(Career_History!H16=TRUE,IF(A187&lt;Career_History!D16,0,MIN(A187,Career_History!E16)-Career_History!D16+1),0),IF(Career_History!H17=TRUE,IF(A187&lt;Career_History!D17,0,MIN(A187,Career_History!E17)-Career_History!D17+1),0))/365.2425</f>
        <v>34.919265967131423</v>
      </c>
      <c r="W187" s="9"/>
      <c r="X187" s="9"/>
      <c r="Y187" s="9"/>
      <c r="Z187" s="9"/>
      <c r="AA187" s="9"/>
      <c r="AB187" s="9"/>
      <c r="AC187" s="9">
        <f>SUM(IF(Career_History!G25=TRUE,IF(A187&lt;Career_History!D25,0,MIN(A187,Career_History!E25)-Career_History!D25+1),0),IF(Career_History!G26=TRUE,IF(A187&lt;Career_History!D26,0,MIN(A187,Career_History!E26)-Career_History!D26+1),0),IF(Career_History!G27=TRUE,IF(A187&lt;Career_History!D27,0,MIN(A187,Career_History!E27)-Career_History!D27+1),0),IF(Career_History!G28=TRUE,IF(A187&lt;Career_History!D28,0,MIN(A187,Career_History!E28)-Career_History!D28+1),0),IF(Career_History!G29=TRUE,IF(A187&lt;Career_History!D29,0,MIN(A187,Career_History!E29)-Career_History!D29+1),0))/365.2425</f>
        <v>36.917938082233036</v>
      </c>
      <c r="AD187" s="9">
        <f>SUM(IF(Career_History!I25=TRUE,IF(A187&lt;Career_History!D25,0,MIN(A187,Career_History!E25)-Career_History!D25+1),0),IF(Career_History!I26=TRUE,IF(A187&lt;Career_History!D26,0,MIN(A187,Career_History!E26)-Career_History!D26+1),0),IF(Career_History!I27=TRUE,IF(A187&lt;Career_History!D27,0,MIN(A187,Career_History!E27)-Career_History!D27+1),0),IF(Career_History!I28=TRUE,IF(A187&lt;Career_History!D28,0,MIN(A187,Career_History!E28)-Career_History!D28+1),0),IF(Career_History!I29=TRUE,IF(A187&lt;Career_History!D29,0,MIN(A187,Career_History!E29)-Career_History!D29+1),0))/365.2425</f>
        <v>0</v>
      </c>
      <c r="AE187" s="9">
        <f>SUM(IF(Career_History!H25=TRUE,IF(A187&lt;Career_History!D25,0,MIN(A187,Career_History!E25)-Career_History!D25+1),0),IF(Career_History!H26=TRUE,IF(A187&lt;Career_History!D26,0,MIN(A187,Career_History!E26)-Career_History!D26+1),0),IF(Career_History!H27=TRUE,IF(A187&lt;Career_History!D27,0,MIN(A187,Career_History!E27)-Career_History!D27+1),0),IF(Career_History!H28=TRUE,IF(A187&lt;Career_History!D28,0,MIN(A187,Career_History!E28)-Career_History!D28+1),0),IF(Career_History!H29=TRUE,IF(A187&lt;Career_History!D29,0,MIN(A187,Career_History!E29)-Career_History!D29+1),0))/365.2425</f>
        <v>24.413916781316523</v>
      </c>
      <c r="AF187" s="9">
        <f>SUM(IF(Career_History!G30=TRUE,IF(A187&lt;Career_History!D30,0,MIN(A187,Career_History!E30)-Career_History!D30+1),0),IF(Career_History!G31=TRUE,IF(A187&lt;Career_History!D31,0,MIN(A187,Career_History!E31)-Career_History!D31+1),0),IF(Career_History!G32=TRUE,IF(A187&lt;Career_History!D32,0,MIN(A187,Career_History!E32)-Career_History!D32+1),0))/365.2425</f>
        <v>29.917109865363422</v>
      </c>
      <c r="AG187" s="9">
        <f>SUM(IF(Career_History!I30=TRUE,IF(A187&lt;Career_History!D30,0,MIN(A187,Career_History!E30)-Career_History!D30+1),0),IF(Career_History!I31=TRUE,IF(A187&lt;Career_History!D31,0,MIN(A187,Career_History!E31)-Career_History!D31+1),0),IF(Career_History!I32=TRUE,IF(A187&lt;Career_History!D32,0,MIN(A187,Career_History!E32)-Career_History!D32+1),0))/365.2425</f>
        <v>0</v>
      </c>
      <c r="AH187" s="9">
        <f>SUM(IF(Career_History!H30=TRUE,IF(A187&lt;Career_History!D30,0,MIN(A187,Career_History!E30)-Career_History!D30+1),0),IF(Career_History!H31=TRUE,IF(A187&lt;Career_History!D31,0,MIN(A187,Career_History!E31)-Career_History!D31+1),0),IF(Career_History!H32=TRUE,IF(A187&lt;Career_History!D32,0,MIN(A187,Career_History!E32)-Career_History!D32+1),0))/365.2425</f>
        <v>1.0130255925857479</v>
      </c>
      <c r="AI187" s="9">
        <f>SUM(IF(Career_History!G33=TRUE,IF(A187&lt;Career_History!D33,0,MIN(A187,Career_History!E33)-Career_History!D33+1),0),IF(Career_History!G34=TRUE,IF(A187&lt;Career_History!D34,0,MIN(A187,Career_History!E34)-Career_History!D34+1),0),IF(Career_History!G35=TRUE,IF(A187&lt;Career_History!D35,0,MIN(A187,Career_History!E35)-Career_History!D35+1),0),IF(Career_History!G36=TRUE,IF(A187&lt;Career_History!D36,0,MIN(A187,Career_History!E36)-Career_History!D36+1),0),IF(Career_History!G37=TRUE,IF(A187&lt;Career_History!D37,0,MIN(A187,Career_History!E37)-Career_History!D37+1),0),IF(Career_History!G38=TRUE,IF(A187&lt;Career_History!D38,0,MIN(A187,Career_History!E38)-Career_History!D38+1),0))/365.2425</f>
        <v>29.917109865363422</v>
      </c>
      <c r="AJ187" s="9">
        <f>SUM(IF(Career_History!I33=TRUE,IF(A187&lt;Career_History!D33,0,MIN(A187,Career_History!E33)-Career_History!D33+1),0),IF(Career_History!I34=TRUE,IF(A187&lt;Career_History!D34,0,MIN(A187,Career_History!E34)-Career_History!D34+1),0),IF(Career_History!I35=TRUE,IF(A187&lt;Career_History!D35,0,MIN(A187,Career_History!E35)-Career_History!D35+1),0),IF(Career_History!I36=TRUE,IF(A187&lt;Career_History!D36,0,MIN(A187,Career_History!E36)-Career_History!D36+1),0),IF(Career_History!I37=TRUE,IF(A187&lt;Career_History!D37,0,MIN(A187,Career_History!E37)-Career_History!D37+1),0),IF(Career_History!I38=TRUE,IF(A187&lt;Career_History!D38,0,MIN(A187,Career_History!E38)-Career_History!D38+1),0))/365.2425</f>
        <v>5.664729597459222</v>
      </c>
      <c r="AK187" s="9">
        <f>SUM(IF(Career_History!H33=TRUE,IF(A187&lt;Career_History!D33,0,MIN(A187,Career_History!E33)-Career_History!D33+1),0),IF(Career_History!H34=TRUE,IF(A187&lt;Career_History!D34,0,MIN(A187,Career_History!E34)-Career_History!D34+1),0),IF(Career_History!H35=TRUE,IF(A187&lt;Career_History!D35,0,MIN(A187,Career_History!E35)-Career_History!D35+1),0),IF(Career_History!H36=TRUE,IF(A187&lt;Career_History!D36,0,MIN(A187,Career_History!E36)-Career_History!D36+1),0),IF(Career_History!H37=TRUE,IF(A187&lt;Career_History!D37,0,MIN(A187,Career_History!E37)-Career_History!D37+1),0),IF(Career_History!H38=TRUE,IF(A187&lt;Career_History!D38,0,MIN(A187,Career_History!E38)-Career_History!D38+1),0))/365.2425</f>
        <v>24.252380267904201</v>
      </c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</row>
    <row r="188" spans="1:67">
      <c r="A188" s="8">
        <v>40359</v>
      </c>
      <c r="B188" s="9">
        <f t="shared" si="6"/>
        <v>34.200291587096238</v>
      </c>
      <c r="C188" s="9">
        <f t="shared" si="7"/>
        <v>5.4341978274707898</v>
      </c>
      <c r="D188" s="9">
        <f t="shared" si="8"/>
        <v>20.084738221866296</v>
      </c>
      <c r="E188" s="9"/>
      <c r="F188" s="9"/>
      <c r="G188" s="9"/>
      <c r="H188" s="9"/>
      <c r="I188" s="9"/>
      <c r="J188" s="9"/>
      <c r="K188" s="9"/>
      <c r="L188" s="9"/>
      <c r="M188" s="9"/>
      <c r="N188" s="9">
        <f>SUM(IF(Career_History!G12=TRUE,IF(A188&lt;Career_History!D12,0,MIN(A188,Career_History!E12)-Career_History!D12+1),0),IF(Career_History!G13=TRUE,IF(A188&lt;Career_History!D13,0,MIN(A188,Career_History!E13)-Career_History!D13+1),0))/365.2425</f>
        <v>39.001485314551289</v>
      </c>
      <c r="O188" s="9">
        <f>SUM(IF(Career_History!I12=TRUE,IF(A188&lt;Career_History!D12,0,MIN(A188,Career_History!E12)-Career_History!D12+1),0),IF(Career_History!I13=TRUE,IF(A188&lt;Career_History!D13,0,MIN(A188,Career_History!E13)-Career_History!D13+1),0))/365.2425</f>
        <v>0</v>
      </c>
      <c r="P188" s="9">
        <f>SUM(IF(Career_History!H12=TRUE,IF(A188&lt;Career_History!D12,0,MIN(A188,Career_History!E12)-Career_History!D12+1),0),IF(Career_History!H13=TRUE,IF(A188&lt;Career_History!D13,0,MIN(A188,Career_History!E13)-Career_History!D13+1),0))/365.2425</f>
        <v>15.496553659554953</v>
      </c>
      <c r="Q188" s="9"/>
      <c r="R188" s="9"/>
      <c r="S188" s="9"/>
      <c r="T188" s="9">
        <f>SUM(IF(Career_History!G16=TRUE,IF(A188&lt;Career_History!D16,0,MIN(A188,Career_History!E16)-Career_History!D16+1),0),IF(Career_History!G17=TRUE,IF(A188&lt;Career_History!D17,0,MIN(A188,Career_History!E17)-Career_History!D17+1),0))/365.2425</f>
        <v>35.001403177341082</v>
      </c>
      <c r="U188" s="9">
        <f>SUM(IF(Career_History!I16=TRUE,IF(A188&lt;Career_History!D16,0,MIN(A188,Career_History!E16)-Career_History!D16+1),0),IF(Career_History!I17=TRUE,IF(A188&lt;Career_History!D17,0,MIN(A188,Career_History!E17)-Career_History!D17+1),0))/365.2425</f>
        <v>21.506259539894728</v>
      </c>
      <c r="V188" s="9">
        <f>SUM(IF(Career_History!H16=TRUE,IF(A188&lt;Career_History!D16,0,MIN(A188,Career_History!E16)-Career_History!D16+1),0),IF(Career_History!H17=TRUE,IF(A188&lt;Career_History!D17,0,MIN(A188,Career_History!E17)-Career_History!D17+1),0))/365.2425</f>
        <v>35.001403177341082</v>
      </c>
      <c r="W188" s="9"/>
      <c r="X188" s="9"/>
      <c r="Y188" s="9"/>
      <c r="Z188" s="9"/>
      <c r="AA188" s="9"/>
      <c r="AB188" s="9"/>
      <c r="AC188" s="9">
        <f>SUM(IF(Career_History!G25=TRUE,IF(A188&lt;Career_History!D25,0,MIN(A188,Career_History!E25)-Career_History!D25+1),0),IF(Career_History!G26=TRUE,IF(A188&lt;Career_History!D26,0,MIN(A188,Career_History!E26)-Career_History!D26+1),0),IF(Career_History!G27=TRUE,IF(A188&lt;Career_History!D27,0,MIN(A188,Career_History!E27)-Career_History!D27+1),0),IF(Career_History!G28=TRUE,IF(A188&lt;Career_History!D28,0,MIN(A188,Career_History!E28)-Career_History!D28+1),0),IF(Career_History!G29=TRUE,IF(A188&lt;Career_History!D29,0,MIN(A188,Career_History!E29)-Career_History!D29+1),0))/365.2425</f>
        <v>37.000075292442695</v>
      </c>
      <c r="AD188" s="9">
        <f>SUM(IF(Career_History!I25=TRUE,IF(A188&lt;Career_History!D25,0,MIN(A188,Career_History!E25)-Career_History!D25+1),0),IF(Career_History!I26=TRUE,IF(A188&lt;Career_History!D26,0,MIN(A188,Career_History!E26)-Career_History!D26+1),0),IF(Career_History!I27=TRUE,IF(A188&lt;Career_History!D27,0,MIN(A188,Career_History!E27)-Career_History!D27+1),0),IF(Career_History!I28=TRUE,IF(A188&lt;Career_History!D28,0,MIN(A188,Career_History!E28)-Career_History!D28+1),0),IF(Career_History!I29=TRUE,IF(A188&lt;Career_History!D29,0,MIN(A188,Career_History!E29)-Career_History!D29+1),0))/365.2425</f>
        <v>0</v>
      </c>
      <c r="AE188" s="9">
        <f>SUM(IF(Career_History!H25=TRUE,IF(A188&lt;Career_History!D25,0,MIN(A188,Career_History!E25)-Career_History!D25+1),0),IF(Career_History!H26=TRUE,IF(A188&lt;Career_History!D26,0,MIN(A188,Career_History!E26)-Career_History!D26+1),0),IF(Career_History!H27=TRUE,IF(A188&lt;Career_History!D27,0,MIN(A188,Career_History!E27)-Career_History!D27+1),0),IF(Career_History!H28=TRUE,IF(A188&lt;Career_History!D28,0,MIN(A188,Career_History!E28)-Career_History!D28+1),0),IF(Career_History!H29=TRUE,IF(A188&lt;Career_History!D29,0,MIN(A188,Career_History!E29)-Career_History!D29+1),0))/365.2425</f>
        <v>24.496053991526178</v>
      </c>
      <c r="AF188" s="9">
        <f>SUM(IF(Career_History!G30=TRUE,IF(A188&lt;Career_History!D30,0,MIN(A188,Career_History!E30)-Career_History!D30+1),0),IF(Career_History!G31=TRUE,IF(A188&lt;Career_History!D31,0,MIN(A188,Career_History!E31)-Career_History!D31+1),0),IF(Career_History!G32=TRUE,IF(A188&lt;Career_History!D32,0,MIN(A188,Career_History!E32)-Career_History!D32+1),0))/365.2425</f>
        <v>29.999247075573077</v>
      </c>
      <c r="AG188" s="9">
        <f>SUM(IF(Career_History!I30=TRUE,IF(A188&lt;Career_History!D30,0,MIN(A188,Career_History!E30)-Career_History!D30+1),0),IF(Career_History!I31=TRUE,IF(A188&lt;Career_History!D31,0,MIN(A188,Career_History!E31)-Career_History!D31+1),0),IF(Career_History!I32=TRUE,IF(A188&lt;Career_History!D32,0,MIN(A188,Career_History!E32)-Career_History!D32+1),0))/365.2425</f>
        <v>0</v>
      </c>
      <c r="AH188" s="9">
        <f>SUM(IF(Career_History!H30=TRUE,IF(A188&lt;Career_History!D30,0,MIN(A188,Career_History!E30)-Career_History!D30+1),0),IF(Career_History!H31=TRUE,IF(A188&lt;Career_History!D31,0,MIN(A188,Career_History!E31)-Career_History!D31+1),0),IF(Career_History!H32=TRUE,IF(A188&lt;Career_History!D32,0,MIN(A188,Career_History!E32)-Career_History!D32+1),0))/365.2425</f>
        <v>1.095162802795403</v>
      </c>
      <c r="AI188" s="9">
        <f>SUM(IF(Career_History!G33=TRUE,IF(A188&lt;Career_History!D33,0,MIN(A188,Career_History!E33)-Career_History!D33+1),0),IF(Career_History!G34=TRUE,IF(A188&lt;Career_History!D34,0,MIN(A188,Career_History!E34)-Career_History!D34+1),0),IF(Career_History!G35=TRUE,IF(A188&lt;Career_History!D35,0,MIN(A188,Career_History!E35)-Career_History!D35+1),0),IF(Career_History!G36=TRUE,IF(A188&lt;Career_History!D36,0,MIN(A188,Career_History!E36)-Career_History!D36+1),0),IF(Career_History!G37=TRUE,IF(A188&lt;Career_History!D37,0,MIN(A188,Career_History!E37)-Career_History!D37+1),0),IF(Career_History!G38=TRUE,IF(A188&lt;Career_History!D38,0,MIN(A188,Career_History!E38)-Career_History!D38+1),0))/365.2425</f>
        <v>29.999247075573077</v>
      </c>
      <c r="AJ188" s="9">
        <f>SUM(IF(Career_History!I33=TRUE,IF(A188&lt;Career_History!D33,0,MIN(A188,Career_History!E33)-Career_History!D33+1),0),IF(Career_History!I34=TRUE,IF(A188&lt;Career_History!D34,0,MIN(A188,Career_History!E34)-Career_History!D34+1),0),IF(Career_History!I35=TRUE,IF(A188&lt;Career_History!D35,0,MIN(A188,Career_History!E35)-Career_History!D35+1),0),IF(Career_History!I36=TRUE,IF(A188&lt;Career_History!D36,0,MIN(A188,Career_History!E36)-Career_History!D36+1),0),IF(Career_History!I37=TRUE,IF(A188&lt;Career_History!D37,0,MIN(A188,Career_History!E37)-Career_History!D37+1),0),IF(Career_History!I38=TRUE,IF(A188&lt;Career_History!D38,0,MIN(A188,Career_History!E38)-Career_History!D38+1),0))/365.2425</f>
        <v>5.664729597459222</v>
      </c>
      <c r="AK188" s="9">
        <f>SUM(IF(Career_History!H33=TRUE,IF(A188&lt;Career_History!D33,0,MIN(A188,Career_History!E33)-Career_History!D33+1),0),IF(Career_History!H34=TRUE,IF(A188&lt;Career_History!D34,0,MIN(A188,Career_History!E34)-Career_History!D34+1),0),IF(Career_History!H35=TRUE,IF(A188&lt;Career_History!D35,0,MIN(A188,Career_History!E35)-Career_History!D35+1),0),IF(Career_History!H36=TRUE,IF(A188&lt;Career_History!D36,0,MIN(A188,Career_History!E36)-Career_History!D36+1),0),IF(Career_History!H37=TRUE,IF(A188&lt;Career_History!D37,0,MIN(A188,Career_History!E37)-Career_History!D37+1),0),IF(Career_History!H38=TRUE,IF(A188&lt;Career_History!D38,0,MIN(A188,Career_History!E38)-Career_History!D38+1),0))/365.2425</f>
        <v>24.334517478113856</v>
      </c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</row>
    <row r="189" spans="1:67">
      <c r="A189" s="8">
        <v>40390</v>
      </c>
      <c r="B189" s="9">
        <f t="shared" si="6"/>
        <v>34.285166704312886</v>
      </c>
      <c r="C189" s="9">
        <f t="shared" si="7"/>
        <v>5.4341978274707898</v>
      </c>
      <c r="D189" s="9">
        <f t="shared" si="8"/>
        <v>20.169613339082936</v>
      </c>
      <c r="E189" s="9"/>
      <c r="F189" s="9"/>
      <c r="G189" s="9"/>
      <c r="H189" s="9"/>
      <c r="I189" s="9"/>
      <c r="J189" s="9"/>
      <c r="K189" s="9"/>
      <c r="L189" s="9"/>
      <c r="M189" s="9"/>
      <c r="N189" s="9">
        <f>SUM(IF(Career_History!G12=TRUE,IF(A189&lt;Career_History!D12,0,MIN(A189,Career_History!E12)-Career_History!D12+1),0),IF(Career_History!G13=TRUE,IF(A189&lt;Career_History!D13,0,MIN(A189,Career_History!E13)-Career_History!D13+1),0))/365.2425</f>
        <v>39.086360431767936</v>
      </c>
      <c r="O189" s="9">
        <f>SUM(IF(Career_History!I12=TRUE,IF(A189&lt;Career_History!D12,0,MIN(A189,Career_History!E12)-Career_History!D12+1),0),IF(Career_History!I13=TRUE,IF(A189&lt;Career_History!D13,0,MIN(A189,Career_History!E13)-Career_History!D13+1),0))/365.2425</f>
        <v>0</v>
      </c>
      <c r="P189" s="9">
        <f>SUM(IF(Career_History!H12=TRUE,IF(A189&lt;Career_History!D12,0,MIN(A189,Career_History!E12)-Career_History!D12+1),0),IF(Career_History!H13=TRUE,IF(A189&lt;Career_History!D13,0,MIN(A189,Career_History!E13)-Career_History!D13+1),0))/365.2425</f>
        <v>15.581428776771597</v>
      </c>
      <c r="Q189" s="9"/>
      <c r="R189" s="9"/>
      <c r="S189" s="9"/>
      <c r="T189" s="9">
        <f>SUM(IF(Career_History!G16=TRUE,IF(A189&lt;Career_History!D16,0,MIN(A189,Career_History!E16)-Career_History!D16+1),0),IF(Career_History!G17=TRUE,IF(A189&lt;Career_History!D17,0,MIN(A189,Career_History!E17)-Career_History!D17+1),0))/365.2425</f>
        <v>35.086278294557722</v>
      </c>
      <c r="U189" s="9">
        <f>SUM(IF(Career_History!I16=TRUE,IF(A189&lt;Career_History!D16,0,MIN(A189,Career_History!E16)-Career_History!D16+1),0),IF(Career_History!I17=TRUE,IF(A189&lt;Career_History!D17,0,MIN(A189,Career_History!E17)-Career_History!D17+1),0))/365.2425</f>
        <v>21.506259539894728</v>
      </c>
      <c r="V189" s="9">
        <f>SUM(IF(Career_History!H16=TRUE,IF(A189&lt;Career_History!D16,0,MIN(A189,Career_History!E16)-Career_History!D16+1),0),IF(Career_History!H17=TRUE,IF(A189&lt;Career_History!D17,0,MIN(A189,Career_History!E17)-Career_History!D17+1),0))/365.2425</f>
        <v>35.086278294557722</v>
      </c>
      <c r="W189" s="9"/>
      <c r="X189" s="9"/>
      <c r="Y189" s="9"/>
      <c r="Z189" s="9"/>
      <c r="AA189" s="9"/>
      <c r="AB189" s="9"/>
      <c r="AC189" s="9">
        <f>SUM(IF(Career_History!G25=TRUE,IF(A189&lt;Career_History!D25,0,MIN(A189,Career_History!E25)-Career_History!D25+1),0),IF(Career_History!G26=TRUE,IF(A189&lt;Career_History!D26,0,MIN(A189,Career_History!E26)-Career_History!D26+1),0),IF(Career_History!G27=TRUE,IF(A189&lt;Career_History!D27,0,MIN(A189,Career_History!E27)-Career_History!D27+1),0),IF(Career_History!G28=TRUE,IF(A189&lt;Career_History!D28,0,MIN(A189,Career_History!E28)-Career_History!D28+1),0),IF(Career_History!G29=TRUE,IF(A189&lt;Career_History!D29,0,MIN(A189,Career_History!E29)-Career_History!D29+1),0))/365.2425</f>
        <v>37.084950409659335</v>
      </c>
      <c r="AD189" s="9">
        <f>SUM(IF(Career_History!I25=TRUE,IF(A189&lt;Career_History!D25,0,MIN(A189,Career_History!E25)-Career_History!D25+1),0),IF(Career_History!I26=TRUE,IF(A189&lt;Career_History!D26,0,MIN(A189,Career_History!E26)-Career_History!D26+1),0),IF(Career_History!I27=TRUE,IF(A189&lt;Career_History!D27,0,MIN(A189,Career_History!E27)-Career_History!D27+1),0),IF(Career_History!I28=TRUE,IF(A189&lt;Career_History!D28,0,MIN(A189,Career_History!E28)-Career_History!D28+1),0),IF(Career_History!I29=TRUE,IF(A189&lt;Career_History!D29,0,MIN(A189,Career_History!E29)-Career_History!D29+1),0))/365.2425</f>
        <v>0</v>
      </c>
      <c r="AE189" s="9">
        <f>SUM(IF(Career_History!H25=TRUE,IF(A189&lt;Career_History!D25,0,MIN(A189,Career_History!E25)-Career_History!D25+1),0),IF(Career_History!H26=TRUE,IF(A189&lt;Career_History!D26,0,MIN(A189,Career_History!E26)-Career_History!D26+1),0),IF(Career_History!H27=TRUE,IF(A189&lt;Career_History!D27,0,MIN(A189,Career_History!E27)-Career_History!D27+1),0),IF(Career_History!H28=TRUE,IF(A189&lt;Career_History!D28,0,MIN(A189,Career_History!E28)-Career_History!D28+1),0),IF(Career_History!H29=TRUE,IF(A189&lt;Career_History!D29,0,MIN(A189,Career_History!E29)-Career_History!D29+1),0))/365.2425</f>
        <v>24.580929108742822</v>
      </c>
      <c r="AF189" s="9">
        <f>SUM(IF(Career_History!G30=TRUE,IF(A189&lt;Career_History!D30,0,MIN(A189,Career_History!E30)-Career_History!D30+1),0),IF(Career_History!G31=TRUE,IF(A189&lt;Career_History!D31,0,MIN(A189,Career_History!E31)-Career_History!D31+1),0),IF(Career_History!G32=TRUE,IF(A189&lt;Career_History!D32,0,MIN(A189,Career_History!E32)-Career_History!D32+1),0))/365.2425</f>
        <v>30.084122192789721</v>
      </c>
      <c r="AG189" s="9">
        <f>SUM(IF(Career_History!I30=TRUE,IF(A189&lt;Career_History!D30,0,MIN(A189,Career_History!E30)-Career_History!D30+1),0),IF(Career_History!I31=TRUE,IF(A189&lt;Career_History!D31,0,MIN(A189,Career_History!E31)-Career_History!D31+1),0),IF(Career_History!I32=TRUE,IF(A189&lt;Career_History!D32,0,MIN(A189,Career_History!E32)-Career_History!D32+1),0))/365.2425</f>
        <v>0</v>
      </c>
      <c r="AH189" s="9">
        <f>SUM(IF(Career_History!H30=TRUE,IF(A189&lt;Career_History!D30,0,MIN(A189,Career_History!E30)-Career_History!D30+1),0),IF(Career_History!H31=TRUE,IF(A189&lt;Career_History!D31,0,MIN(A189,Career_History!E31)-Career_History!D31+1),0),IF(Career_History!H32=TRUE,IF(A189&lt;Career_History!D32,0,MIN(A189,Career_History!E32)-Career_History!D32+1),0))/365.2425</f>
        <v>1.1800379200120468</v>
      </c>
      <c r="AI189" s="9">
        <f>SUM(IF(Career_History!G33=TRUE,IF(A189&lt;Career_History!D33,0,MIN(A189,Career_History!E33)-Career_History!D33+1),0),IF(Career_History!G34=TRUE,IF(A189&lt;Career_History!D34,0,MIN(A189,Career_History!E34)-Career_History!D34+1),0),IF(Career_History!G35=TRUE,IF(A189&lt;Career_History!D35,0,MIN(A189,Career_History!E35)-Career_History!D35+1),0),IF(Career_History!G36=TRUE,IF(A189&lt;Career_History!D36,0,MIN(A189,Career_History!E36)-Career_History!D36+1),0),IF(Career_History!G37=TRUE,IF(A189&lt;Career_History!D37,0,MIN(A189,Career_History!E37)-Career_History!D37+1),0),IF(Career_History!G38=TRUE,IF(A189&lt;Career_History!D38,0,MIN(A189,Career_History!E38)-Career_History!D38+1),0))/365.2425</f>
        <v>30.084122192789721</v>
      </c>
      <c r="AJ189" s="9">
        <f>SUM(IF(Career_History!I33=TRUE,IF(A189&lt;Career_History!D33,0,MIN(A189,Career_History!E33)-Career_History!D33+1),0),IF(Career_History!I34=TRUE,IF(A189&lt;Career_History!D34,0,MIN(A189,Career_History!E34)-Career_History!D34+1),0),IF(Career_History!I35=TRUE,IF(A189&lt;Career_History!D35,0,MIN(A189,Career_History!E35)-Career_History!D35+1),0),IF(Career_History!I36=TRUE,IF(A189&lt;Career_History!D36,0,MIN(A189,Career_History!E36)-Career_History!D36+1),0),IF(Career_History!I37=TRUE,IF(A189&lt;Career_History!D37,0,MIN(A189,Career_History!E37)-Career_History!D37+1),0),IF(Career_History!I38=TRUE,IF(A189&lt;Career_History!D38,0,MIN(A189,Career_History!E38)-Career_History!D38+1),0))/365.2425</f>
        <v>5.664729597459222</v>
      </c>
      <c r="AK189" s="9">
        <f>SUM(IF(Career_History!H33=TRUE,IF(A189&lt;Career_History!D33,0,MIN(A189,Career_History!E33)-Career_History!D33+1),0),IF(Career_History!H34=TRUE,IF(A189&lt;Career_History!D34,0,MIN(A189,Career_History!E34)-Career_History!D34+1),0),IF(Career_History!H35=TRUE,IF(A189&lt;Career_History!D35,0,MIN(A189,Career_History!E35)-Career_History!D35+1),0),IF(Career_History!H36=TRUE,IF(A189&lt;Career_History!D36,0,MIN(A189,Career_History!E36)-Career_History!D36+1),0),IF(Career_History!H37=TRUE,IF(A189&lt;Career_History!D37,0,MIN(A189,Career_History!E37)-Career_History!D37+1),0),IF(Career_History!H38=TRUE,IF(A189&lt;Career_History!D38,0,MIN(A189,Career_History!E38)-Career_History!D38+1),0))/365.2425</f>
        <v>24.4193925953305</v>
      </c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</row>
    <row r="190" spans="1:67">
      <c r="A190" s="8">
        <v>40421</v>
      </c>
      <c r="B190" s="9">
        <f t="shared" si="6"/>
        <v>34.370041821529533</v>
      </c>
      <c r="C190" s="9">
        <f t="shared" si="7"/>
        <v>5.4341978274707898</v>
      </c>
      <c r="D190" s="9">
        <f t="shared" si="8"/>
        <v>20.254488456299583</v>
      </c>
      <c r="E190" s="9"/>
      <c r="F190" s="9"/>
      <c r="G190" s="9"/>
      <c r="H190" s="9"/>
      <c r="I190" s="9"/>
      <c r="J190" s="9"/>
      <c r="K190" s="9"/>
      <c r="L190" s="9"/>
      <c r="M190" s="9"/>
      <c r="N190" s="9">
        <f>SUM(IF(Career_History!G12=TRUE,IF(A190&lt;Career_History!D12,0,MIN(A190,Career_History!E12)-Career_History!D12+1),0),IF(Career_History!G13=TRUE,IF(A190&lt;Career_History!D13,0,MIN(A190,Career_History!E13)-Career_History!D13+1),0))/365.2425</f>
        <v>39.171235548984576</v>
      </c>
      <c r="O190" s="9">
        <f>SUM(IF(Career_History!I12=TRUE,IF(A190&lt;Career_History!D12,0,MIN(A190,Career_History!E12)-Career_History!D12+1),0),IF(Career_History!I13=TRUE,IF(A190&lt;Career_History!D13,0,MIN(A190,Career_History!E13)-Career_History!D13+1),0))/365.2425</f>
        <v>0</v>
      </c>
      <c r="P190" s="9">
        <f>SUM(IF(Career_History!H12=TRUE,IF(A190&lt;Career_History!D12,0,MIN(A190,Career_History!E12)-Career_History!D12+1),0),IF(Career_History!H13=TRUE,IF(A190&lt;Career_History!D13,0,MIN(A190,Career_History!E13)-Career_History!D13+1),0))/365.2425</f>
        <v>15.666303893988241</v>
      </c>
      <c r="Q190" s="9"/>
      <c r="R190" s="9"/>
      <c r="S190" s="9"/>
      <c r="T190" s="9">
        <f>SUM(IF(Career_History!G16=TRUE,IF(A190&lt;Career_History!D16,0,MIN(A190,Career_History!E16)-Career_History!D16+1),0),IF(Career_History!G17=TRUE,IF(A190&lt;Career_History!D17,0,MIN(A190,Career_History!E17)-Career_History!D17+1),0))/365.2425</f>
        <v>35.17115341177437</v>
      </c>
      <c r="U190" s="9">
        <f>SUM(IF(Career_History!I16=TRUE,IF(A190&lt;Career_History!D16,0,MIN(A190,Career_History!E16)-Career_History!D16+1),0),IF(Career_History!I17=TRUE,IF(A190&lt;Career_History!D17,0,MIN(A190,Career_History!E17)-Career_History!D17+1),0))/365.2425</f>
        <v>21.506259539894728</v>
      </c>
      <c r="V190" s="9">
        <f>SUM(IF(Career_History!H16=TRUE,IF(A190&lt;Career_History!D16,0,MIN(A190,Career_History!E16)-Career_History!D16+1),0),IF(Career_History!H17=TRUE,IF(A190&lt;Career_History!D17,0,MIN(A190,Career_History!E17)-Career_History!D17+1),0))/365.2425</f>
        <v>35.17115341177437</v>
      </c>
      <c r="W190" s="9"/>
      <c r="X190" s="9"/>
      <c r="Y190" s="9"/>
      <c r="Z190" s="9"/>
      <c r="AA190" s="9"/>
      <c r="AB190" s="9"/>
      <c r="AC190" s="9">
        <f>SUM(IF(Career_History!G25=TRUE,IF(A190&lt;Career_History!D25,0,MIN(A190,Career_History!E25)-Career_History!D25+1),0),IF(Career_History!G26=TRUE,IF(A190&lt;Career_History!D26,0,MIN(A190,Career_History!E26)-Career_History!D26+1),0),IF(Career_History!G27=TRUE,IF(A190&lt;Career_History!D27,0,MIN(A190,Career_History!E27)-Career_History!D27+1),0),IF(Career_History!G28=TRUE,IF(A190&lt;Career_History!D28,0,MIN(A190,Career_History!E28)-Career_History!D28+1),0),IF(Career_History!G29=TRUE,IF(A190&lt;Career_History!D29,0,MIN(A190,Career_History!E29)-Career_History!D29+1),0))/365.2425</f>
        <v>37.169825526875982</v>
      </c>
      <c r="AD190" s="9">
        <f>SUM(IF(Career_History!I25=TRUE,IF(A190&lt;Career_History!D25,0,MIN(A190,Career_History!E25)-Career_History!D25+1),0),IF(Career_History!I26=TRUE,IF(A190&lt;Career_History!D26,0,MIN(A190,Career_History!E26)-Career_History!D26+1),0),IF(Career_History!I27=TRUE,IF(A190&lt;Career_History!D27,0,MIN(A190,Career_History!E27)-Career_History!D27+1),0),IF(Career_History!I28=TRUE,IF(A190&lt;Career_History!D28,0,MIN(A190,Career_History!E28)-Career_History!D28+1),0),IF(Career_History!I29=TRUE,IF(A190&lt;Career_History!D29,0,MIN(A190,Career_History!E29)-Career_History!D29+1),0))/365.2425</f>
        <v>0</v>
      </c>
      <c r="AE190" s="9">
        <f>SUM(IF(Career_History!H25=TRUE,IF(A190&lt;Career_History!D25,0,MIN(A190,Career_History!E25)-Career_History!D25+1),0),IF(Career_History!H26=TRUE,IF(A190&lt;Career_History!D26,0,MIN(A190,Career_History!E26)-Career_History!D26+1),0),IF(Career_History!H27=TRUE,IF(A190&lt;Career_History!D27,0,MIN(A190,Career_History!E27)-Career_History!D27+1),0),IF(Career_History!H28=TRUE,IF(A190&lt;Career_History!D28,0,MIN(A190,Career_History!E28)-Career_History!D28+1),0),IF(Career_History!H29=TRUE,IF(A190&lt;Career_History!D29,0,MIN(A190,Career_History!E29)-Career_History!D29+1),0))/365.2425</f>
        <v>24.665804225959466</v>
      </c>
      <c r="AF190" s="9">
        <f>SUM(IF(Career_History!G30=TRUE,IF(A190&lt;Career_History!D30,0,MIN(A190,Career_History!E30)-Career_History!D30+1),0),IF(Career_History!G31=TRUE,IF(A190&lt;Career_History!D31,0,MIN(A190,Career_History!E31)-Career_History!D31+1),0),IF(Career_History!G32=TRUE,IF(A190&lt;Career_History!D32,0,MIN(A190,Career_History!E32)-Career_History!D32+1),0))/365.2425</f>
        <v>30.168997310006365</v>
      </c>
      <c r="AG190" s="9">
        <f>SUM(IF(Career_History!I30=TRUE,IF(A190&lt;Career_History!D30,0,MIN(A190,Career_History!E30)-Career_History!D30+1),0),IF(Career_History!I31=TRUE,IF(A190&lt;Career_History!D31,0,MIN(A190,Career_History!E31)-Career_History!D31+1),0),IF(Career_History!I32=TRUE,IF(A190&lt;Career_History!D32,0,MIN(A190,Career_History!E32)-Career_History!D32+1),0))/365.2425</f>
        <v>0</v>
      </c>
      <c r="AH190" s="9">
        <f>SUM(IF(Career_History!H30=TRUE,IF(A190&lt;Career_History!D30,0,MIN(A190,Career_History!E30)-Career_History!D30+1),0),IF(Career_History!H31=TRUE,IF(A190&lt;Career_History!D31,0,MIN(A190,Career_History!E31)-Career_History!D31+1),0),IF(Career_History!H32=TRUE,IF(A190&lt;Career_History!D32,0,MIN(A190,Career_History!E32)-Career_History!D32+1),0))/365.2425</f>
        <v>1.2649130372286905</v>
      </c>
      <c r="AI190" s="9">
        <f>SUM(IF(Career_History!G33=TRUE,IF(A190&lt;Career_History!D33,0,MIN(A190,Career_History!E33)-Career_History!D33+1),0),IF(Career_History!G34=TRUE,IF(A190&lt;Career_History!D34,0,MIN(A190,Career_History!E34)-Career_History!D34+1),0),IF(Career_History!G35=TRUE,IF(A190&lt;Career_History!D35,0,MIN(A190,Career_History!E35)-Career_History!D35+1),0),IF(Career_History!G36=TRUE,IF(A190&lt;Career_History!D36,0,MIN(A190,Career_History!E36)-Career_History!D36+1),0),IF(Career_History!G37=TRUE,IF(A190&lt;Career_History!D37,0,MIN(A190,Career_History!E37)-Career_History!D37+1),0),IF(Career_History!G38=TRUE,IF(A190&lt;Career_History!D38,0,MIN(A190,Career_History!E38)-Career_History!D38+1),0))/365.2425</f>
        <v>30.168997310006365</v>
      </c>
      <c r="AJ190" s="9">
        <f>SUM(IF(Career_History!I33=TRUE,IF(A190&lt;Career_History!D33,0,MIN(A190,Career_History!E33)-Career_History!D33+1),0),IF(Career_History!I34=TRUE,IF(A190&lt;Career_History!D34,0,MIN(A190,Career_History!E34)-Career_History!D34+1),0),IF(Career_History!I35=TRUE,IF(A190&lt;Career_History!D35,0,MIN(A190,Career_History!E35)-Career_History!D35+1),0),IF(Career_History!I36=TRUE,IF(A190&lt;Career_History!D36,0,MIN(A190,Career_History!E36)-Career_History!D36+1),0),IF(Career_History!I37=TRUE,IF(A190&lt;Career_History!D37,0,MIN(A190,Career_History!E37)-Career_History!D37+1),0),IF(Career_History!I38=TRUE,IF(A190&lt;Career_History!D38,0,MIN(A190,Career_History!E38)-Career_History!D38+1),0))/365.2425</f>
        <v>5.664729597459222</v>
      </c>
      <c r="AK190" s="9">
        <f>SUM(IF(Career_History!H33=TRUE,IF(A190&lt;Career_History!D33,0,MIN(A190,Career_History!E33)-Career_History!D33+1),0),IF(Career_History!H34=TRUE,IF(A190&lt;Career_History!D34,0,MIN(A190,Career_History!E34)-Career_History!D34+1),0),IF(Career_History!H35=TRUE,IF(A190&lt;Career_History!D35,0,MIN(A190,Career_History!E35)-Career_History!D35+1),0),IF(Career_History!H36=TRUE,IF(A190&lt;Career_History!D36,0,MIN(A190,Career_History!E36)-Career_History!D36+1),0),IF(Career_History!H37=TRUE,IF(A190&lt;Career_History!D37,0,MIN(A190,Career_History!E37)-Career_History!D37+1),0),IF(Career_History!H38=TRUE,IF(A190&lt;Career_History!D38,0,MIN(A190,Career_History!E38)-Career_History!D38+1),0))/365.2425</f>
        <v>24.504267712547144</v>
      </c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</row>
    <row r="191" spans="1:67">
      <c r="A191" s="8">
        <v>40451</v>
      </c>
      <c r="B191" s="9">
        <f t="shared" si="6"/>
        <v>34.452179031739192</v>
      </c>
      <c r="C191" s="9">
        <f t="shared" si="7"/>
        <v>5.4341978274707898</v>
      </c>
      <c r="D191" s="9">
        <f t="shared" si="8"/>
        <v>20.336625666509235</v>
      </c>
      <c r="E191" s="9"/>
      <c r="F191" s="9"/>
      <c r="G191" s="9"/>
      <c r="H191" s="9"/>
      <c r="I191" s="9"/>
      <c r="J191" s="9"/>
      <c r="K191" s="9"/>
      <c r="L191" s="9"/>
      <c r="M191" s="9"/>
      <c r="N191" s="9">
        <f>SUM(IF(Career_History!G12=TRUE,IF(A191&lt;Career_History!D12,0,MIN(A191,Career_History!E12)-Career_History!D12+1),0),IF(Career_History!G13=TRUE,IF(A191&lt;Career_History!D13,0,MIN(A191,Career_History!E13)-Career_History!D13+1),0))/365.2425</f>
        <v>39.253372759194235</v>
      </c>
      <c r="O191" s="9">
        <f>SUM(IF(Career_History!I12=TRUE,IF(A191&lt;Career_History!D12,0,MIN(A191,Career_History!E12)-Career_History!D12+1),0),IF(Career_History!I13=TRUE,IF(A191&lt;Career_History!D13,0,MIN(A191,Career_History!E13)-Career_History!D13+1),0))/365.2425</f>
        <v>0</v>
      </c>
      <c r="P191" s="9">
        <f>SUM(IF(Career_History!H12=TRUE,IF(A191&lt;Career_History!D12,0,MIN(A191,Career_History!E12)-Career_History!D12+1),0),IF(Career_History!H13=TRUE,IF(A191&lt;Career_History!D13,0,MIN(A191,Career_History!E13)-Career_History!D13+1),0))/365.2425</f>
        <v>15.748441104197896</v>
      </c>
      <c r="Q191" s="9"/>
      <c r="R191" s="9"/>
      <c r="S191" s="9"/>
      <c r="T191" s="9">
        <f>SUM(IF(Career_History!G16=TRUE,IF(A191&lt;Career_History!D16,0,MIN(A191,Career_History!E16)-Career_History!D16+1),0),IF(Career_History!G17=TRUE,IF(A191&lt;Career_History!D17,0,MIN(A191,Career_History!E17)-Career_History!D17+1),0))/365.2425</f>
        <v>35.253290621984021</v>
      </c>
      <c r="U191" s="9">
        <f>SUM(IF(Career_History!I16=TRUE,IF(A191&lt;Career_History!D16,0,MIN(A191,Career_History!E16)-Career_History!D16+1),0),IF(Career_History!I17=TRUE,IF(A191&lt;Career_History!D17,0,MIN(A191,Career_History!E17)-Career_History!D17+1),0))/365.2425</f>
        <v>21.506259539894728</v>
      </c>
      <c r="V191" s="9">
        <f>SUM(IF(Career_History!H16=TRUE,IF(A191&lt;Career_History!D16,0,MIN(A191,Career_History!E16)-Career_History!D16+1),0),IF(Career_History!H17=TRUE,IF(A191&lt;Career_History!D17,0,MIN(A191,Career_History!E17)-Career_History!D17+1),0))/365.2425</f>
        <v>35.253290621984021</v>
      </c>
      <c r="W191" s="9"/>
      <c r="X191" s="9"/>
      <c r="Y191" s="9"/>
      <c r="Z191" s="9"/>
      <c r="AA191" s="9"/>
      <c r="AB191" s="9"/>
      <c r="AC191" s="9">
        <f>SUM(IF(Career_History!G25=TRUE,IF(A191&lt;Career_History!D25,0,MIN(A191,Career_History!E25)-Career_History!D25+1),0),IF(Career_History!G26=TRUE,IF(A191&lt;Career_History!D26,0,MIN(A191,Career_History!E26)-Career_History!D26+1),0),IF(Career_History!G27=TRUE,IF(A191&lt;Career_History!D27,0,MIN(A191,Career_History!E27)-Career_History!D27+1),0),IF(Career_History!G28=TRUE,IF(A191&lt;Career_History!D28,0,MIN(A191,Career_History!E28)-Career_History!D28+1),0),IF(Career_History!G29=TRUE,IF(A191&lt;Career_History!D29,0,MIN(A191,Career_History!E29)-Career_History!D29+1),0))/365.2425</f>
        <v>37.251962737085634</v>
      </c>
      <c r="AD191" s="9">
        <f>SUM(IF(Career_History!I25=TRUE,IF(A191&lt;Career_History!D25,0,MIN(A191,Career_History!E25)-Career_History!D25+1),0),IF(Career_History!I26=TRUE,IF(A191&lt;Career_History!D26,0,MIN(A191,Career_History!E26)-Career_History!D26+1),0),IF(Career_History!I27=TRUE,IF(A191&lt;Career_History!D27,0,MIN(A191,Career_History!E27)-Career_History!D27+1),0),IF(Career_History!I28=TRUE,IF(A191&lt;Career_History!D28,0,MIN(A191,Career_History!E28)-Career_History!D28+1),0),IF(Career_History!I29=TRUE,IF(A191&lt;Career_History!D29,0,MIN(A191,Career_History!E29)-Career_History!D29+1),0))/365.2425</f>
        <v>0</v>
      </c>
      <c r="AE191" s="9">
        <f>SUM(IF(Career_History!H25=TRUE,IF(A191&lt;Career_History!D25,0,MIN(A191,Career_History!E25)-Career_History!D25+1),0),IF(Career_History!H26=TRUE,IF(A191&lt;Career_History!D26,0,MIN(A191,Career_History!E26)-Career_History!D26+1),0),IF(Career_History!H27=TRUE,IF(A191&lt;Career_History!D27,0,MIN(A191,Career_History!E27)-Career_History!D27+1),0),IF(Career_History!H28=TRUE,IF(A191&lt;Career_History!D28,0,MIN(A191,Career_History!E28)-Career_History!D28+1),0),IF(Career_History!H29=TRUE,IF(A191&lt;Career_History!D29,0,MIN(A191,Career_History!E29)-Career_History!D29+1),0))/365.2425</f>
        <v>24.747941436169121</v>
      </c>
      <c r="AF191" s="9">
        <f>SUM(IF(Career_History!G30=TRUE,IF(A191&lt;Career_History!D30,0,MIN(A191,Career_History!E30)-Career_History!D30+1),0),IF(Career_History!G31=TRUE,IF(A191&lt;Career_History!D31,0,MIN(A191,Career_History!E31)-Career_History!D31+1),0),IF(Career_History!G32=TRUE,IF(A191&lt;Career_History!D32,0,MIN(A191,Career_History!E32)-Career_History!D32+1),0))/365.2425</f>
        <v>30.25113452021602</v>
      </c>
      <c r="AG191" s="9">
        <f>SUM(IF(Career_History!I30=TRUE,IF(A191&lt;Career_History!D30,0,MIN(A191,Career_History!E30)-Career_History!D30+1),0),IF(Career_History!I31=TRUE,IF(A191&lt;Career_History!D31,0,MIN(A191,Career_History!E31)-Career_History!D31+1),0),IF(Career_History!I32=TRUE,IF(A191&lt;Career_History!D32,0,MIN(A191,Career_History!E32)-Career_History!D32+1),0))/365.2425</f>
        <v>0</v>
      </c>
      <c r="AH191" s="9">
        <f>SUM(IF(Career_History!H30=TRUE,IF(A191&lt;Career_History!D30,0,MIN(A191,Career_History!E30)-Career_History!D30+1),0),IF(Career_History!H31=TRUE,IF(A191&lt;Career_History!D31,0,MIN(A191,Career_History!E31)-Career_History!D31+1),0),IF(Career_History!H32=TRUE,IF(A191&lt;Career_History!D32,0,MIN(A191,Career_History!E32)-Career_History!D32+1),0))/365.2425</f>
        <v>1.3470502474383457</v>
      </c>
      <c r="AI191" s="9">
        <f>SUM(IF(Career_History!G33=TRUE,IF(A191&lt;Career_History!D33,0,MIN(A191,Career_History!E33)-Career_History!D33+1),0),IF(Career_History!G34=TRUE,IF(A191&lt;Career_History!D34,0,MIN(A191,Career_History!E34)-Career_History!D34+1),0),IF(Career_History!G35=TRUE,IF(A191&lt;Career_History!D35,0,MIN(A191,Career_History!E35)-Career_History!D35+1),0),IF(Career_History!G36=TRUE,IF(A191&lt;Career_History!D36,0,MIN(A191,Career_History!E36)-Career_History!D36+1),0),IF(Career_History!G37=TRUE,IF(A191&lt;Career_History!D37,0,MIN(A191,Career_History!E37)-Career_History!D37+1),0),IF(Career_History!G38=TRUE,IF(A191&lt;Career_History!D38,0,MIN(A191,Career_History!E38)-Career_History!D38+1),0))/365.2425</f>
        <v>30.25113452021602</v>
      </c>
      <c r="AJ191" s="9">
        <f>SUM(IF(Career_History!I33=TRUE,IF(A191&lt;Career_History!D33,0,MIN(A191,Career_History!E33)-Career_History!D33+1),0),IF(Career_History!I34=TRUE,IF(A191&lt;Career_History!D34,0,MIN(A191,Career_History!E34)-Career_History!D34+1),0),IF(Career_History!I35=TRUE,IF(A191&lt;Career_History!D35,0,MIN(A191,Career_History!E35)-Career_History!D35+1),0),IF(Career_History!I36=TRUE,IF(A191&lt;Career_History!D36,0,MIN(A191,Career_History!E36)-Career_History!D36+1),0),IF(Career_History!I37=TRUE,IF(A191&lt;Career_History!D37,0,MIN(A191,Career_History!E37)-Career_History!D37+1),0),IF(Career_History!I38=TRUE,IF(A191&lt;Career_History!D38,0,MIN(A191,Career_History!E38)-Career_History!D38+1),0))/365.2425</f>
        <v>5.664729597459222</v>
      </c>
      <c r="AK191" s="9">
        <f>SUM(IF(Career_History!H33=TRUE,IF(A191&lt;Career_History!D33,0,MIN(A191,Career_History!E33)-Career_History!D33+1),0),IF(Career_History!H34=TRUE,IF(A191&lt;Career_History!D34,0,MIN(A191,Career_History!E34)-Career_History!D34+1),0),IF(Career_History!H35=TRUE,IF(A191&lt;Career_History!D35,0,MIN(A191,Career_History!E35)-Career_History!D35+1),0),IF(Career_History!H36=TRUE,IF(A191&lt;Career_History!D36,0,MIN(A191,Career_History!E36)-Career_History!D36+1),0),IF(Career_History!H37=TRUE,IF(A191&lt;Career_History!D37,0,MIN(A191,Career_History!E37)-Career_History!D37+1),0),IF(Career_History!H38=TRUE,IF(A191&lt;Career_History!D38,0,MIN(A191,Career_History!E38)-Career_History!D38+1),0))/365.2425</f>
        <v>24.586404922756799</v>
      </c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</row>
    <row r="192" spans="1:67">
      <c r="A192" s="8">
        <v>40482</v>
      </c>
      <c r="B192" s="9">
        <f t="shared" si="6"/>
        <v>34.537054148955825</v>
      </c>
      <c r="C192" s="9">
        <f t="shared" si="7"/>
        <v>5.4341978274707898</v>
      </c>
      <c r="D192" s="9">
        <f t="shared" si="8"/>
        <v>20.421500783725882</v>
      </c>
      <c r="E192" s="9"/>
      <c r="F192" s="9"/>
      <c r="G192" s="9"/>
      <c r="H192" s="9"/>
      <c r="I192" s="9"/>
      <c r="J192" s="9"/>
      <c r="K192" s="9"/>
      <c r="L192" s="9"/>
      <c r="M192" s="9"/>
      <c r="N192" s="9">
        <f>SUM(IF(Career_History!G12=TRUE,IF(A192&lt;Career_History!D12,0,MIN(A192,Career_History!E12)-Career_History!D12+1),0),IF(Career_History!G13=TRUE,IF(A192&lt;Career_History!D13,0,MIN(A192,Career_History!E13)-Career_History!D13+1),0))/365.2425</f>
        <v>39.338247876410875</v>
      </c>
      <c r="O192" s="9">
        <f>SUM(IF(Career_History!I12=TRUE,IF(A192&lt;Career_History!D12,0,MIN(A192,Career_History!E12)-Career_History!D12+1),0),IF(Career_History!I13=TRUE,IF(A192&lt;Career_History!D13,0,MIN(A192,Career_History!E13)-Career_History!D13+1),0))/365.2425</f>
        <v>0</v>
      </c>
      <c r="P192" s="9">
        <f>SUM(IF(Career_History!H12=TRUE,IF(A192&lt;Career_History!D12,0,MIN(A192,Career_History!E12)-Career_History!D12+1),0),IF(Career_History!H13=TRUE,IF(A192&lt;Career_History!D13,0,MIN(A192,Career_History!E13)-Career_History!D13+1),0))/365.2425</f>
        <v>15.83331622141454</v>
      </c>
      <c r="Q192" s="9"/>
      <c r="R192" s="9"/>
      <c r="S192" s="9"/>
      <c r="T192" s="9">
        <f>SUM(IF(Career_History!G16=TRUE,IF(A192&lt;Career_History!D16,0,MIN(A192,Career_History!E16)-Career_History!D16+1),0),IF(Career_History!G17=TRUE,IF(A192&lt;Career_History!D17,0,MIN(A192,Career_History!E17)-Career_History!D17+1),0))/365.2425</f>
        <v>35.338165739200669</v>
      </c>
      <c r="U192" s="9">
        <f>SUM(IF(Career_History!I16=TRUE,IF(A192&lt;Career_History!D16,0,MIN(A192,Career_History!E16)-Career_History!D16+1),0),IF(Career_History!I17=TRUE,IF(A192&lt;Career_History!D17,0,MIN(A192,Career_History!E17)-Career_History!D17+1),0))/365.2425</f>
        <v>21.506259539894728</v>
      </c>
      <c r="V192" s="9">
        <f>SUM(IF(Career_History!H16=TRUE,IF(A192&lt;Career_History!D16,0,MIN(A192,Career_History!E16)-Career_History!D16+1),0),IF(Career_History!H17=TRUE,IF(A192&lt;Career_History!D17,0,MIN(A192,Career_History!E17)-Career_History!D17+1),0))/365.2425</f>
        <v>35.338165739200669</v>
      </c>
      <c r="W192" s="9"/>
      <c r="X192" s="9"/>
      <c r="Y192" s="9"/>
      <c r="Z192" s="9"/>
      <c r="AA192" s="9"/>
      <c r="AB192" s="9"/>
      <c r="AC192" s="9">
        <f>SUM(IF(Career_History!G25=TRUE,IF(A192&lt;Career_History!D25,0,MIN(A192,Career_History!E25)-Career_History!D25+1),0),IF(Career_History!G26=TRUE,IF(A192&lt;Career_History!D26,0,MIN(A192,Career_History!E26)-Career_History!D26+1),0),IF(Career_History!G27=TRUE,IF(A192&lt;Career_History!D27,0,MIN(A192,Career_History!E27)-Career_History!D27+1),0),IF(Career_History!G28=TRUE,IF(A192&lt;Career_History!D28,0,MIN(A192,Career_History!E28)-Career_History!D28+1),0),IF(Career_History!G29=TRUE,IF(A192&lt;Career_History!D29,0,MIN(A192,Career_History!E29)-Career_History!D29+1),0))/365.2425</f>
        <v>37.336837854302281</v>
      </c>
      <c r="AD192" s="9">
        <f>SUM(IF(Career_History!I25=TRUE,IF(A192&lt;Career_History!D25,0,MIN(A192,Career_History!E25)-Career_History!D25+1),0),IF(Career_History!I26=TRUE,IF(A192&lt;Career_History!D26,0,MIN(A192,Career_History!E26)-Career_History!D26+1),0),IF(Career_History!I27=TRUE,IF(A192&lt;Career_History!D27,0,MIN(A192,Career_History!E27)-Career_History!D27+1),0),IF(Career_History!I28=TRUE,IF(A192&lt;Career_History!D28,0,MIN(A192,Career_History!E28)-Career_History!D28+1),0),IF(Career_History!I29=TRUE,IF(A192&lt;Career_History!D29,0,MIN(A192,Career_History!E29)-Career_History!D29+1),0))/365.2425</f>
        <v>0</v>
      </c>
      <c r="AE192" s="9">
        <f>SUM(IF(Career_History!H25=TRUE,IF(A192&lt;Career_History!D25,0,MIN(A192,Career_History!E25)-Career_History!D25+1),0),IF(Career_History!H26=TRUE,IF(A192&lt;Career_History!D26,0,MIN(A192,Career_History!E26)-Career_History!D26+1),0),IF(Career_History!H27=TRUE,IF(A192&lt;Career_History!D27,0,MIN(A192,Career_History!E27)-Career_History!D27+1),0),IF(Career_History!H28=TRUE,IF(A192&lt;Career_History!D28,0,MIN(A192,Career_History!E28)-Career_History!D28+1),0),IF(Career_History!H29=TRUE,IF(A192&lt;Career_History!D29,0,MIN(A192,Career_History!E29)-Career_History!D29+1),0))/365.2425</f>
        <v>24.832816553385765</v>
      </c>
      <c r="AF192" s="9">
        <f>SUM(IF(Career_History!G30=TRUE,IF(A192&lt;Career_History!D30,0,MIN(A192,Career_History!E30)-Career_History!D30+1),0),IF(Career_History!G31=TRUE,IF(A192&lt;Career_History!D31,0,MIN(A192,Career_History!E31)-Career_History!D31+1),0),IF(Career_History!G32=TRUE,IF(A192&lt;Career_History!D32,0,MIN(A192,Career_History!E32)-Career_History!D32+1),0))/365.2425</f>
        <v>30.336009637432664</v>
      </c>
      <c r="AG192" s="9">
        <f>SUM(IF(Career_History!I30=TRUE,IF(A192&lt;Career_History!D30,0,MIN(A192,Career_History!E30)-Career_History!D30+1),0),IF(Career_History!I31=TRUE,IF(A192&lt;Career_History!D31,0,MIN(A192,Career_History!E31)-Career_History!D31+1),0),IF(Career_History!I32=TRUE,IF(A192&lt;Career_History!D32,0,MIN(A192,Career_History!E32)-Career_History!D32+1),0))/365.2425</f>
        <v>0</v>
      </c>
      <c r="AH192" s="9">
        <f>SUM(IF(Career_History!H30=TRUE,IF(A192&lt;Career_History!D30,0,MIN(A192,Career_History!E30)-Career_History!D30+1),0),IF(Career_History!H31=TRUE,IF(A192&lt;Career_History!D31,0,MIN(A192,Career_History!E31)-Career_History!D31+1),0),IF(Career_History!H32=TRUE,IF(A192&lt;Career_History!D32,0,MIN(A192,Career_History!E32)-Career_History!D32+1),0))/365.2425</f>
        <v>1.4319253646549894</v>
      </c>
      <c r="AI192" s="9">
        <f>SUM(IF(Career_History!G33=TRUE,IF(A192&lt;Career_History!D33,0,MIN(A192,Career_History!E33)-Career_History!D33+1),0),IF(Career_History!G34=TRUE,IF(A192&lt;Career_History!D34,0,MIN(A192,Career_History!E34)-Career_History!D34+1),0),IF(Career_History!G35=TRUE,IF(A192&lt;Career_History!D35,0,MIN(A192,Career_History!E35)-Career_History!D35+1),0),IF(Career_History!G36=TRUE,IF(A192&lt;Career_History!D36,0,MIN(A192,Career_History!E36)-Career_History!D36+1),0),IF(Career_History!G37=TRUE,IF(A192&lt;Career_History!D37,0,MIN(A192,Career_History!E37)-Career_History!D37+1),0),IF(Career_History!G38=TRUE,IF(A192&lt;Career_History!D38,0,MIN(A192,Career_History!E38)-Career_History!D38+1),0))/365.2425</f>
        <v>30.336009637432664</v>
      </c>
      <c r="AJ192" s="9">
        <f>SUM(IF(Career_History!I33=TRUE,IF(A192&lt;Career_History!D33,0,MIN(A192,Career_History!E33)-Career_History!D33+1),0),IF(Career_History!I34=TRUE,IF(A192&lt;Career_History!D34,0,MIN(A192,Career_History!E34)-Career_History!D34+1),0),IF(Career_History!I35=TRUE,IF(A192&lt;Career_History!D35,0,MIN(A192,Career_History!E35)-Career_History!D35+1),0),IF(Career_History!I36=TRUE,IF(A192&lt;Career_History!D36,0,MIN(A192,Career_History!E36)-Career_History!D36+1),0),IF(Career_History!I37=TRUE,IF(A192&lt;Career_History!D37,0,MIN(A192,Career_History!E37)-Career_History!D37+1),0),IF(Career_History!I38=TRUE,IF(A192&lt;Career_History!D38,0,MIN(A192,Career_History!E38)-Career_History!D38+1),0))/365.2425</f>
        <v>5.664729597459222</v>
      </c>
      <c r="AK192" s="9">
        <f>SUM(IF(Career_History!H33=TRUE,IF(A192&lt;Career_History!D33,0,MIN(A192,Career_History!E33)-Career_History!D33+1),0),IF(Career_History!H34=TRUE,IF(A192&lt;Career_History!D34,0,MIN(A192,Career_History!E34)-Career_History!D34+1),0),IF(Career_History!H35=TRUE,IF(A192&lt;Career_History!D35,0,MIN(A192,Career_History!E35)-Career_History!D35+1),0),IF(Career_History!H36=TRUE,IF(A192&lt;Career_History!D36,0,MIN(A192,Career_History!E36)-Career_History!D36+1),0),IF(Career_History!H37=TRUE,IF(A192&lt;Career_History!D37,0,MIN(A192,Career_History!E37)-Career_History!D37+1),0),IF(Career_History!H38=TRUE,IF(A192&lt;Career_History!D38,0,MIN(A192,Career_History!E38)-Career_History!D38+1),0))/365.2425</f>
        <v>24.671280039973443</v>
      </c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</row>
    <row r="193" spans="1:67">
      <c r="A193" s="8">
        <v>40512</v>
      </c>
      <c r="B193" s="9">
        <f t="shared" si="6"/>
        <v>34.619191359165484</v>
      </c>
      <c r="C193" s="9">
        <f t="shared" si="7"/>
        <v>5.4341978274707898</v>
      </c>
      <c r="D193" s="9">
        <f t="shared" si="8"/>
        <v>20.503637993935534</v>
      </c>
      <c r="E193" s="9"/>
      <c r="F193" s="9"/>
      <c r="G193" s="9"/>
      <c r="H193" s="9"/>
      <c r="I193" s="9"/>
      <c r="J193" s="9"/>
      <c r="K193" s="9"/>
      <c r="L193" s="9"/>
      <c r="M193" s="9"/>
      <c r="N193" s="9">
        <f>SUM(IF(Career_History!G12=TRUE,IF(A193&lt;Career_History!D12,0,MIN(A193,Career_History!E12)-Career_History!D12+1),0),IF(Career_History!G13=TRUE,IF(A193&lt;Career_History!D13,0,MIN(A193,Career_History!E13)-Career_History!D13+1),0))/365.2425</f>
        <v>39.420385086620534</v>
      </c>
      <c r="O193" s="9">
        <f>SUM(IF(Career_History!I12=TRUE,IF(A193&lt;Career_History!D12,0,MIN(A193,Career_History!E12)-Career_History!D12+1),0),IF(Career_History!I13=TRUE,IF(A193&lt;Career_History!D13,0,MIN(A193,Career_History!E13)-Career_History!D13+1),0))/365.2425</f>
        <v>0</v>
      </c>
      <c r="P193" s="9">
        <f>SUM(IF(Career_History!H12=TRUE,IF(A193&lt;Career_History!D12,0,MIN(A193,Career_History!E12)-Career_History!D12+1),0),IF(Career_History!H13=TRUE,IF(A193&lt;Career_History!D13,0,MIN(A193,Career_History!E13)-Career_History!D13+1),0))/365.2425</f>
        <v>15.915453431624195</v>
      </c>
      <c r="Q193" s="9"/>
      <c r="R193" s="9"/>
      <c r="S193" s="9"/>
      <c r="T193" s="9">
        <f>SUM(IF(Career_History!G16=TRUE,IF(A193&lt;Career_History!D16,0,MIN(A193,Career_History!E16)-Career_History!D16+1),0),IF(Career_History!G17=TRUE,IF(A193&lt;Career_History!D17,0,MIN(A193,Career_History!E17)-Career_History!D17+1),0))/365.2425</f>
        <v>35.420302949410321</v>
      </c>
      <c r="U193" s="9">
        <f>SUM(IF(Career_History!I16=TRUE,IF(A193&lt;Career_History!D16,0,MIN(A193,Career_History!E16)-Career_History!D16+1),0),IF(Career_History!I17=TRUE,IF(A193&lt;Career_History!D17,0,MIN(A193,Career_History!E17)-Career_History!D17+1),0))/365.2425</f>
        <v>21.506259539894728</v>
      </c>
      <c r="V193" s="9">
        <f>SUM(IF(Career_History!H16=TRUE,IF(A193&lt;Career_History!D16,0,MIN(A193,Career_History!E16)-Career_History!D16+1),0),IF(Career_History!H17=TRUE,IF(A193&lt;Career_History!D17,0,MIN(A193,Career_History!E17)-Career_History!D17+1),0))/365.2425</f>
        <v>35.420302949410321</v>
      </c>
      <c r="W193" s="9"/>
      <c r="X193" s="9"/>
      <c r="Y193" s="9"/>
      <c r="Z193" s="9"/>
      <c r="AA193" s="9"/>
      <c r="AB193" s="9"/>
      <c r="AC193" s="9">
        <f>SUM(IF(Career_History!G25=TRUE,IF(A193&lt;Career_History!D25,0,MIN(A193,Career_History!E25)-Career_History!D25+1),0),IF(Career_History!G26=TRUE,IF(A193&lt;Career_History!D26,0,MIN(A193,Career_History!E26)-Career_History!D26+1),0),IF(Career_History!G27=TRUE,IF(A193&lt;Career_History!D27,0,MIN(A193,Career_History!E27)-Career_History!D27+1),0),IF(Career_History!G28=TRUE,IF(A193&lt;Career_History!D28,0,MIN(A193,Career_History!E28)-Career_History!D28+1),0),IF(Career_History!G29=TRUE,IF(A193&lt;Career_History!D29,0,MIN(A193,Career_History!E29)-Career_History!D29+1),0))/365.2425</f>
        <v>37.418975064511933</v>
      </c>
      <c r="AD193" s="9">
        <f>SUM(IF(Career_History!I25=TRUE,IF(A193&lt;Career_History!D25,0,MIN(A193,Career_History!E25)-Career_History!D25+1),0),IF(Career_History!I26=TRUE,IF(A193&lt;Career_History!D26,0,MIN(A193,Career_History!E26)-Career_History!D26+1),0),IF(Career_History!I27=TRUE,IF(A193&lt;Career_History!D27,0,MIN(A193,Career_History!E27)-Career_History!D27+1),0),IF(Career_History!I28=TRUE,IF(A193&lt;Career_History!D28,0,MIN(A193,Career_History!E28)-Career_History!D28+1),0),IF(Career_History!I29=TRUE,IF(A193&lt;Career_History!D29,0,MIN(A193,Career_History!E29)-Career_History!D29+1),0))/365.2425</f>
        <v>0</v>
      </c>
      <c r="AE193" s="9">
        <f>SUM(IF(Career_History!H25=TRUE,IF(A193&lt;Career_History!D25,0,MIN(A193,Career_History!E25)-Career_History!D25+1),0),IF(Career_History!H26=TRUE,IF(A193&lt;Career_History!D26,0,MIN(A193,Career_History!E26)-Career_History!D26+1),0),IF(Career_History!H27=TRUE,IF(A193&lt;Career_History!D27,0,MIN(A193,Career_History!E27)-Career_History!D27+1),0),IF(Career_History!H28=TRUE,IF(A193&lt;Career_History!D28,0,MIN(A193,Career_History!E28)-Career_History!D28+1),0),IF(Career_History!H29=TRUE,IF(A193&lt;Career_History!D29,0,MIN(A193,Career_History!E29)-Career_History!D29+1),0))/365.2425</f>
        <v>24.91495376359542</v>
      </c>
      <c r="AF193" s="9">
        <f>SUM(IF(Career_History!G30=TRUE,IF(A193&lt;Career_History!D30,0,MIN(A193,Career_History!E30)-Career_History!D30+1),0),IF(Career_History!G31=TRUE,IF(A193&lt;Career_History!D31,0,MIN(A193,Career_History!E31)-Career_History!D31+1),0),IF(Career_History!G32=TRUE,IF(A193&lt;Career_History!D32,0,MIN(A193,Career_History!E32)-Career_History!D32+1),0))/365.2425</f>
        <v>30.418146847642319</v>
      </c>
      <c r="AG193" s="9">
        <f>SUM(IF(Career_History!I30=TRUE,IF(A193&lt;Career_History!D30,0,MIN(A193,Career_History!E30)-Career_History!D30+1),0),IF(Career_History!I31=TRUE,IF(A193&lt;Career_History!D31,0,MIN(A193,Career_History!E31)-Career_History!D31+1),0),IF(Career_History!I32=TRUE,IF(A193&lt;Career_History!D32,0,MIN(A193,Career_History!E32)-Career_History!D32+1),0))/365.2425</f>
        <v>0</v>
      </c>
      <c r="AH193" s="9">
        <f>SUM(IF(Career_History!H30=TRUE,IF(A193&lt;Career_History!D30,0,MIN(A193,Career_History!E30)-Career_History!D30+1),0),IF(Career_History!H31=TRUE,IF(A193&lt;Career_History!D31,0,MIN(A193,Career_History!E31)-Career_History!D31+1),0),IF(Career_History!H32=TRUE,IF(A193&lt;Career_History!D32,0,MIN(A193,Career_History!E32)-Career_History!D32+1),0))/365.2425</f>
        <v>1.5140625748646448</v>
      </c>
      <c r="AI193" s="9">
        <f>SUM(IF(Career_History!G33=TRUE,IF(A193&lt;Career_History!D33,0,MIN(A193,Career_History!E33)-Career_History!D33+1),0),IF(Career_History!G34=TRUE,IF(A193&lt;Career_History!D34,0,MIN(A193,Career_History!E34)-Career_History!D34+1),0),IF(Career_History!G35=TRUE,IF(A193&lt;Career_History!D35,0,MIN(A193,Career_History!E35)-Career_History!D35+1),0),IF(Career_History!G36=TRUE,IF(A193&lt;Career_History!D36,0,MIN(A193,Career_History!E36)-Career_History!D36+1),0),IF(Career_History!G37=TRUE,IF(A193&lt;Career_History!D37,0,MIN(A193,Career_History!E37)-Career_History!D37+1),0),IF(Career_History!G38=TRUE,IF(A193&lt;Career_History!D38,0,MIN(A193,Career_History!E38)-Career_History!D38+1),0))/365.2425</f>
        <v>30.418146847642319</v>
      </c>
      <c r="AJ193" s="9">
        <f>SUM(IF(Career_History!I33=TRUE,IF(A193&lt;Career_History!D33,0,MIN(A193,Career_History!E33)-Career_History!D33+1),0),IF(Career_History!I34=TRUE,IF(A193&lt;Career_History!D34,0,MIN(A193,Career_History!E34)-Career_History!D34+1),0),IF(Career_History!I35=TRUE,IF(A193&lt;Career_History!D35,0,MIN(A193,Career_History!E35)-Career_History!D35+1),0),IF(Career_History!I36=TRUE,IF(A193&lt;Career_History!D36,0,MIN(A193,Career_History!E36)-Career_History!D36+1),0),IF(Career_History!I37=TRUE,IF(A193&lt;Career_History!D37,0,MIN(A193,Career_History!E37)-Career_History!D37+1),0),IF(Career_History!I38=TRUE,IF(A193&lt;Career_History!D38,0,MIN(A193,Career_History!E38)-Career_History!D38+1),0))/365.2425</f>
        <v>5.664729597459222</v>
      </c>
      <c r="AK193" s="9">
        <f>SUM(IF(Career_History!H33=TRUE,IF(A193&lt;Career_History!D33,0,MIN(A193,Career_History!E33)-Career_History!D33+1),0),IF(Career_History!H34=TRUE,IF(A193&lt;Career_History!D34,0,MIN(A193,Career_History!E34)-Career_History!D34+1),0),IF(Career_History!H35=TRUE,IF(A193&lt;Career_History!D35,0,MIN(A193,Career_History!E35)-Career_History!D35+1),0),IF(Career_History!H36=TRUE,IF(A193&lt;Career_History!D36,0,MIN(A193,Career_History!E36)-Career_History!D36+1),0),IF(Career_History!H37=TRUE,IF(A193&lt;Career_History!D37,0,MIN(A193,Career_History!E37)-Career_History!D37+1),0),IF(Career_History!H38=TRUE,IF(A193&lt;Career_History!D38,0,MIN(A193,Career_History!E38)-Career_History!D38+1),0))/365.2425</f>
        <v>24.753417250183098</v>
      </c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</row>
    <row r="194" spans="1:67">
      <c r="A194" s="8">
        <v>40543</v>
      </c>
      <c r="B194" s="9">
        <f t="shared" si="6"/>
        <v>34.704066476382124</v>
      </c>
      <c r="C194" s="9">
        <f t="shared" si="7"/>
        <v>5.4341978274707898</v>
      </c>
      <c r="D194" s="9">
        <f t="shared" si="8"/>
        <v>20.588513111152182</v>
      </c>
      <c r="E194" s="9"/>
      <c r="F194" s="9"/>
      <c r="G194" s="9"/>
      <c r="H194" s="9"/>
      <c r="I194" s="9"/>
      <c r="J194" s="9"/>
      <c r="K194" s="9"/>
      <c r="L194" s="9"/>
      <c r="M194" s="9"/>
      <c r="N194" s="9">
        <f>SUM(IF(Career_History!G12=TRUE,IF(A194&lt;Career_History!D12,0,MIN(A194,Career_History!E12)-Career_History!D12+1),0),IF(Career_History!G13=TRUE,IF(A194&lt;Career_History!D13,0,MIN(A194,Career_History!E13)-Career_History!D13+1),0))/365.2425</f>
        <v>39.505260203837175</v>
      </c>
      <c r="O194" s="9">
        <f>SUM(IF(Career_History!I12=TRUE,IF(A194&lt;Career_History!D12,0,MIN(A194,Career_History!E12)-Career_History!D12+1),0),IF(Career_History!I13=TRUE,IF(A194&lt;Career_History!D13,0,MIN(A194,Career_History!E13)-Career_History!D13+1),0))/365.2425</f>
        <v>0</v>
      </c>
      <c r="P194" s="9">
        <f>SUM(IF(Career_History!H12=TRUE,IF(A194&lt;Career_History!D12,0,MIN(A194,Career_History!E12)-Career_History!D12+1),0),IF(Career_History!H13=TRUE,IF(A194&lt;Career_History!D13,0,MIN(A194,Career_History!E13)-Career_History!D13+1),0))/365.2425</f>
        <v>16.000328548840837</v>
      </c>
      <c r="Q194" s="9"/>
      <c r="R194" s="9"/>
      <c r="S194" s="9"/>
      <c r="T194" s="9">
        <f>SUM(IF(Career_History!G16=TRUE,IF(A194&lt;Career_History!D16,0,MIN(A194,Career_History!E16)-Career_History!D16+1),0),IF(Career_History!G17=TRUE,IF(A194&lt;Career_History!D17,0,MIN(A194,Career_History!E17)-Career_History!D17+1),0))/365.2425</f>
        <v>35.505178066626968</v>
      </c>
      <c r="U194" s="9">
        <f>SUM(IF(Career_History!I16=TRUE,IF(A194&lt;Career_History!D16,0,MIN(A194,Career_History!E16)-Career_History!D16+1),0),IF(Career_History!I17=TRUE,IF(A194&lt;Career_History!D17,0,MIN(A194,Career_History!E17)-Career_History!D17+1),0))/365.2425</f>
        <v>21.506259539894728</v>
      </c>
      <c r="V194" s="9">
        <f>SUM(IF(Career_History!H16=TRUE,IF(A194&lt;Career_History!D16,0,MIN(A194,Career_History!E16)-Career_History!D16+1),0),IF(Career_History!H17=TRUE,IF(A194&lt;Career_History!D17,0,MIN(A194,Career_History!E17)-Career_History!D17+1),0))/365.2425</f>
        <v>35.505178066626968</v>
      </c>
      <c r="W194" s="9"/>
      <c r="X194" s="9"/>
      <c r="Y194" s="9"/>
      <c r="Z194" s="9"/>
      <c r="AA194" s="9"/>
      <c r="AB194" s="9"/>
      <c r="AC194" s="9">
        <f>SUM(IF(Career_History!G25=TRUE,IF(A194&lt;Career_History!D25,0,MIN(A194,Career_History!E25)-Career_History!D25+1),0),IF(Career_History!G26=TRUE,IF(A194&lt;Career_History!D26,0,MIN(A194,Career_History!E26)-Career_History!D26+1),0),IF(Career_History!G27=TRUE,IF(A194&lt;Career_History!D27,0,MIN(A194,Career_History!E27)-Career_History!D27+1),0),IF(Career_History!G28=TRUE,IF(A194&lt;Career_History!D28,0,MIN(A194,Career_History!E28)-Career_History!D28+1),0),IF(Career_History!G29=TRUE,IF(A194&lt;Career_History!D29,0,MIN(A194,Career_History!E29)-Career_History!D29+1),0))/365.2425</f>
        <v>37.503850181728573</v>
      </c>
      <c r="AD194" s="9">
        <f>SUM(IF(Career_History!I25=TRUE,IF(A194&lt;Career_History!D25,0,MIN(A194,Career_History!E25)-Career_History!D25+1),0),IF(Career_History!I26=TRUE,IF(A194&lt;Career_History!D26,0,MIN(A194,Career_History!E26)-Career_History!D26+1),0),IF(Career_History!I27=TRUE,IF(A194&lt;Career_History!D27,0,MIN(A194,Career_History!E27)-Career_History!D27+1),0),IF(Career_History!I28=TRUE,IF(A194&lt;Career_History!D28,0,MIN(A194,Career_History!E28)-Career_History!D28+1),0),IF(Career_History!I29=TRUE,IF(A194&lt;Career_History!D29,0,MIN(A194,Career_History!E29)-Career_History!D29+1),0))/365.2425</f>
        <v>0</v>
      </c>
      <c r="AE194" s="9">
        <f>SUM(IF(Career_History!H25=TRUE,IF(A194&lt;Career_History!D25,0,MIN(A194,Career_History!E25)-Career_History!D25+1),0),IF(Career_History!H26=TRUE,IF(A194&lt;Career_History!D26,0,MIN(A194,Career_History!E26)-Career_History!D26+1),0),IF(Career_History!H27=TRUE,IF(A194&lt;Career_History!D27,0,MIN(A194,Career_History!E27)-Career_History!D27+1),0),IF(Career_History!H28=TRUE,IF(A194&lt;Career_History!D28,0,MIN(A194,Career_History!E28)-Career_History!D28+1),0),IF(Career_History!H29=TRUE,IF(A194&lt;Career_History!D29,0,MIN(A194,Career_History!E29)-Career_History!D29+1),0))/365.2425</f>
        <v>24.999828880812064</v>
      </c>
      <c r="AF194" s="9">
        <f>SUM(IF(Career_History!G30=TRUE,IF(A194&lt;Career_History!D30,0,MIN(A194,Career_History!E30)-Career_History!D30+1),0),IF(Career_History!G31=TRUE,IF(A194&lt;Career_History!D31,0,MIN(A194,Career_History!E31)-Career_History!D31+1),0),IF(Career_History!G32=TRUE,IF(A194&lt;Career_History!D32,0,MIN(A194,Career_History!E32)-Career_History!D32+1),0))/365.2425</f>
        <v>30.503021964858963</v>
      </c>
      <c r="AG194" s="9">
        <f>SUM(IF(Career_History!I30=TRUE,IF(A194&lt;Career_History!D30,0,MIN(A194,Career_History!E30)-Career_History!D30+1),0),IF(Career_History!I31=TRUE,IF(A194&lt;Career_History!D31,0,MIN(A194,Career_History!E31)-Career_History!D31+1),0),IF(Career_History!I32=TRUE,IF(A194&lt;Career_History!D32,0,MIN(A194,Career_History!E32)-Career_History!D32+1),0))/365.2425</f>
        <v>0</v>
      </c>
      <c r="AH194" s="9">
        <f>SUM(IF(Career_History!H30=TRUE,IF(A194&lt;Career_History!D30,0,MIN(A194,Career_History!E30)-Career_History!D30+1),0),IF(Career_History!H31=TRUE,IF(A194&lt;Career_History!D31,0,MIN(A194,Career_History!E31)-Career_History!D31+1),0),IF(Career_History!H32=TRUE,IF(A194&lt;Career_History!D32,0,MIN(A194,Career_History!E32)-Career_History!D32+1),0))/365.2425</f>
        <v>1.5989376920812883</v>
      </c>
      <c r="AI194" s="9">
        <f>SUM(IF(Career_History!G33=TRUE,IF(A194&lt;Career_History!D33,0,MIN(A194,Career_History!E33)-Career_History!D33+1),0),IF(Career_History!G34=TRUE,IF(A194&lt;Career_History!D34,0,MIN(A194,Career_History!E34)-Career_History!D34+1),0),IF(Career_History!G35=TRUE,IF(A194&lt;Career_History!D35,0,MIN(A194,Career_History!E35)-Career_History!D35+1),0),IF(Career_History!G36=TRUE,IF(A194&lt;Career_History!D36,0,MIN(A194,Career_History!E36)-Career_History!D36+1),0),IF(Career_History!G37=TRUE,IF(A194&lt;Career_History!D37,0,MIN(A194,Career_History!E37)-Career_History!D37+1),0),IF(Career_History!G38=TRUE,IF(A194&lt;Career_History!D38,0,MIN(A194,Career_History!E38)-Career_History!D38+1),0))/365.2425</f>
        <v>30.503021964858963</v>
      </c>
      <c r="AJ194" s="9">
        <f>SUM(IF(Career_History!I33=TRUE,IF(A194&lt;Career_History!D33,0,MIN(A194,Career_History!E33)-Career_History!D33+1),0),IF(Career_History!I34=TRUE,IF(A194&lt;Career_History!D34,0,MIN(A194,Career_History!E34)-Career_History!D34+1),0),IF(Career_History!I35=TRUE,IF(A194&lt;Career_History!D35,0,MIN(A194,Career_History!E35)-Career_History!D35+1),0),IF(Career_History!I36=TRUE,IF(A194&lt;Career_History!D36,0,MIN(A194,Career_History!E36)-Career_History!D36+1),0),IF(Career_History!I37=TRUE,IF(A194&lt;Career_History!D37,0,MIN(A194,Career_History!E37)-Career_History!D37+1),0),IF(Career_History!I38=TRUE,IF(A194&lt;Career_History!D38,0,MIN(A194,Career_History!E38)-Career_History!D38+1),0))/365.2425</f>
        <v>5.664729597459222</v>
      </c>
      <c r="AK194" s="9">
        <f>SUM(IF(Career_History!H33=TRUE,IF(A194&lt;Career_History!D33,0,MIN(A194,Career_History!E33)-Career_History!D33+1),0),IF(Career_History!H34=TRUE,IF(A194&lt;Career_History!D34,0,MIN(A194,Career_History!E34)-Career_History!D34+1),0),IF(Career_History!H35=TRUE,IF(A194&lt;Career_History!D35,0,MIN(A194,Career_History!E35)-Career_History!D35+1),0),IF(Career_History!H36=TRUE,IF(A194&lt;Career_History!D36,0,MIN(A194,Career_History!E36)-Career_History!D36+1),0),IF(Career_History!H37=TRUE,IF(A194&lt;Career_History!D37,0,MIN(A194,Career_History!E37)-Career_History!D37+1),0),IF(Career_History!H38=TRUE,IF(A194&lt;Career_History!D38,0,MIN(A194,Career_History!E38)-Career_History!D38+1),0))/365.2425</f>
        <v>24.838292367399742</v>
      </c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</row>
    <row r="195" spans="1:67">
      <c r="A195" s="8">
        <v>40574</v>
      </c>
      <c r="B195" s="9">
        <f t="shared" ref="B195:B258" si="9">IFERROR(AVERAGE(E195,H195,K195,N195,Q195,T195,W195,Z195,AC195,AF195,AI195,AL195,AO195,AR195,AU195,AX195,BA195,BD195,BG195,BJ195,BM195),"")</f>
        <v>30.388577451966846</v>
      </c>
      <c r="C195" s="9">
        <f t="shared" ref="C195:C258" si="10">IFERROR(AVERAGE(F195,I195,L195,O195,R195,U195,X195,AA195,AD195,AG195,AJ195,AM195,AP195,AS195,AV195,AY195,BB195,BE195,BH195,BK195,BN195),"")</f>
        <v>5.4341978274707898</v>
      </c>
      <c r="D195" s="9">
        <f t="shared" ref="D195:D258" si="11">IFERROR(AVERAGE(G195,J195,M195,P195,S195,V195,Y195,AB195,AE195,AH195,AK195,AN195,AQ195,AT195,AW195,AZ195,BC195,BF195,BI195,BL195,BO195),"")</f>
        <v>20.97401041773616</v>
      </c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>
        <f>SUM(IF(Career_History!G16=TRUE,IF(A195&lt;Career_History!D16,0,MIN(A195,Career_History!E16)-Career_History!D16+1),0),IF(Career_History!G17=TRUE,IF(A195&lt;Career_History!D17,0,MIN(A195,Career_History!E17)-Career_History!D17+1),0))/365.2425</f>
        <v>35.590053183843608</v>
      </c>
      <c r="U195" s="9">
        <f>SUM(IF(Career_History!I16=TRUE,IF(A195&lt;Career_History!D16,0,MIN(A195,Career_History!E16)-Career_History!D16+1),0),IF(Career_History!I17=TRUE,IF(A195&lt;Career_History!D17,0,MIN(A195,Career_History!E17)-Career_History!D17+1),0))/365.2425</f>
        <v>21.506259539894728</v>
      </c>
      <c r="V195" s="9">
        <f>SUM(IF(Career_History!H16=TRUE,IF(A195&lt;Career_History!D16,0,MIN(A195,Career_History!E16)-Career_History!D16+1),0),IF(Career_History!H17=TRUE,IF(A195&lt;Career_History!D17,0,MIN(A195,Career_History!E17)-Career_History!D17+1),0))/365.2425</f>
        <v>35.590053183843608</v>
      </c>
      <c r="W195" s="9"/>
      <c r="X195" s="9"/>
      <c r="Y195" s="9"/>
      <c r="Z195" s="9"/>
      <c r="AA195" s="9"/>
      <c r="AB195" s="9"/>
      <c r="AC195" s="9">
        <f>SUM(IF(Career_History!G25=TRUE,IF(A195&lt;Career_History!D25,0,MIN(A195,Career_History!E25)-Career_History!D25+1),0),IF(Career_History!G26=TRUE,IF(A195&lt;Career_History!D26,0,MIN(A195,Career_History!E26)-Career_History!D26+1),0),IF(Career_History!G27=TRUE,IF(A195&lt;Career_History!D27,0,MIN(A195,Career_History!E27)-Career_History!D27+1),0),IF(Career_History!G28=TRUE,IF(A195&lt;Career_History!D28,0,MIN(A195,Career_History!E28)-Career_History!D28+1),0),IF(Career_History!G29=TRUE,IF(A195&lt;Career_History!D29,0,MIN(A195,Career_History!E29)-Career_History!D29+1),0))/365.2425</f>
        <v>37.588725298945221</v>
      </c>
      <c r="AD195" s="9">
        <f>SUM(IF(Career_History!I25=TRUE,IF(A195&lt;Career_History!D25,0,MIN(A195,Career_History!E25)-Career_History!D25+1),0),IF(Career_History!I26=TRUE,IF(A195&lt;Career_History!D26,0,MIN(A195,Career_History!E26)-Career_History!D26+1),0),IF(Career_History!I27=TRUE,IF(A195&lt;Career_History!D27,0,MIN(A195,Career_History!E27)-Career_History!D27+1),0),IF(Career_History!I28=TRUE,IF(A195&lt;Career_History!D28,0,MIN(A195,Career_History!E28)-Career_History!D28+1),0),IF(Career_History!I29=TRUE,IF(A195&lt;Career_History!D29,0,MIN(A195,Career_History!E29)-Career_History!D29+1),0))/365.2425</f>
        <v>0</v>
      </c>
      <c r="AE195" s="9">
        <f>SUM(IF(Career_History!H25=TRUE,IF(A195&lt;Career_History!D25,0,MIN(A195,Career_History!E25)-Career_History!D25+1),0),IF(Career_History!H26=TRUE,IF(A195&lt;Career_History!D26,0,MIN(A195,Career_History!E26)-Career_History!D26+1),0),IF(Career_History!H27=TRUE,IF(A195&lt;Career_History!D27,0,MIN(A195,Career_History!E27)-Career_History!D27+1),0),IF(Career_History!H28=TRUE,IF(A195&lt;Career_History!D28,0,MIN(A195,Career_History!E28)-Career_History!D28+1),0),IF(Career_History!H29=TRUE,IF(A195&lt;Career_History!D29,0,MIN(A195,Career_History!E29)-Career_History!D29+1),0))/365.2425</f>
        <v>25.084703998028708</v>
      </c>
      <c r="AF195" s="9">
        <f>SUM(IF(Career_History!G30=TRUE,IF(A195&lt;Career_History!D30,0,MIN(A195,Career_History!E30)-Career_History!D30+1),0),IF(Career_History!G31=TRUE,IF(A195&lt;Career_History!D31,0,MIN(A195,Career_History!E31)-Career_History!D31+1),0),IF(Career_History!G32=TRUE,IF(A195&lt;Career_History!D32,0,MIN(A195,Career_History!E32)-Career_History!D32+1),0))/365.2425</f>
        <v>30.587897082075607</v>
      </c>
      <c r="AG195" s="9">
        <f>SUM(IF(Career_History!I30=TRUE,IF(A195&lt;Career_History!D30,0,MIN(A195,Career_History!E30)-Career_History!D30+1),0),IF(Career_History!I31=TRUE,IF(A195&lt;Career_History!D31,0,MIN(A195,Career_History!E31)-Career_History!D31+1),0),IF(Career_History!I32=TRUE,IF(A195&lt;Career_History!D32,0,MIN(A195,Career_History!E32)-Career_History!D32+1),0))/365.2425</f>
        <v>0</v>
      </c>
      <c r="AH195" s="9">
        <f>SUM(IF(Career_History!H30=TRUE,IF(A195&lt;Career_History!D30,0,MIN(A195,Career_History!E30)-Career_History!D30+1),0),IF(Career_History!H31=TRUE,IF(A195&lt;Career_History!D31,0,MIN(A195,Career_History!E31)-Career_History!D31+1),0),IF(Career_History!H32=TRUE,IF(A195&lt;Career_History!D32,0,MIN(A195,Career_History!E32)-Career_History!D32+1),0))/365.2425</f>
        <v>1.6838128092979321</v>
      </c>
      <c r="AI195" s="9">
        <f>SUM(IF(Career_History!G33=TRUE,IF(A195&lt;Career_History!D33,0,MIN(A195,Career_History!E33)-Career_History!D33+1),0),IF(Career_History!G34=TRUE,IF(A195&lt;Career_History!D34,0,MIN(A195,Career_History!E34)-Career_History!D34+1),0),IF(Career_History!G35=TRUE,IF(A195&lt;Career_History!D35,0,MIN(A195,Career_History!E35)-Career_History!D35+1),0),IF(Career_History!G36=TRUE,IF(A195&lt;Career_History!D36,0,MIN(A195,Career_History!E36)-Career_History!D36+1),0),IF(Career_History!G37=TRUE,IF(A195&lt;Career_History!D37,0,MIN(A195,Career_History!E37)-Career_History!D37+1),0),IF(Career_History!G38=TRUE,IF(A195&lt;Career_History!D38,0,MIN(A195,Career_History!E38)-Career_History!D38+1),0))/365.2425</f>
        <v>30.587897082075607</v>
      </c>
      <c r="AJ195" s="9">
        <f>SUM(IF(Career_History!I33=TRUE,IF(A195&lt;Career_History!D33,0,MIN(A195,Career_History!E33)-Career_History!D33+1),0),IF(Career_History!I34=TRUE,IF(A195&lt;Career_History!D34,0,MIN(A195,Career_History!E34)-Career_History!D34+1),0),IF(Career_History!I35=TRUE,IF(A195&lt;Career_History!D35,0,MIN(A195,Career_History!E35)-Career_History!D35+1),0),IF(Career_History!I36=TRUE,IF(A195&lt;Career_History!D36,0,MIN(A195,Career_History!E36)-Career_History!D36+1),0),IF(Career_History!I37=TRUE,IF(A195&lt;Career_History!D37,0,MIN(A195,Career_History!E37)-Career_History!D37+1),0),IF(Career_History!I38=TRUE,IF(A195&lt;Career_History!D38,0,MIN(A195,Career_History!E38)-Career_History!D38+1),0))/365.2425</f>
        <v>5.664729597459222</v>
      </c>
      <c r="AK195" s="9">
        <f>SUM(IF(Career_History!H33=TRUE,IF(A195&lt;Career_History!D33,0,MIN(A195,Career_History!E33)-Career_History!D33+1),0),IF(Career_History!H34=TRUE,IF(A195&lt;Career_History!D34,0,MIN(A195,Career_History!E34)-Career_History!D34+1),0),IF(Career_History!H35=TRUE,IF(A195&lt;Career_History!D35,0,MIN(A195,Career_History!E35)-Career_History!D35+1),0),IF(Career_History!H36=TRUE,IF(A195&lt;Career_History!D36,0,MIN(A195,Career_History!E36)-Career_History!D36+1),0),IF(Career_History!H37=TRUE,IF(A195&lt;Career_History!D37,0,MIN(A195,Career_History!E37)-Career_History!D37+1),0),IF(Career_History!H38=TRUE,IF(A195&lt;Career_History!D38,0,MIN(A195,Career_History!E38)-Career_History!D38+1),0))/365.2425</f>
        <v>24.923167484616386</v>
      </c>
      <c r="AL195" s="9">
        <f>SUM(IF(Career_History!G39=TRUE,IF(A195&lt;Career_History!D39,0,MIN(A195,Career_History!E39)-Career_History!D39+1),0),IF(Career_History!G40=TRUE,IF(A195&lt;Career_History!D40,0,MIN(A195,Career_History!E40)-Career_History!D40+1),0))/365.2425</f>
        <v>17.588314612894173</v>
      </c>
      <c r="AM195" s="9">
        <f>SUM(IF(Career_History!I39=TRUE,IF(A195&lt;Career_History!D39,0,MIN(A195,Career_History!E39)-Career_History!D39+1),0),IF(Career_History!I40=TRUE,IF(A195&lt;Career_History!D40,0,MIN(A195,Career_History!E40)-Career_History!D40+1),0))/365.2425</f>
        <v>0</v>
      </c>
      <c r="AN195" s="9">
        <f>SUM(IF(Career_History!H39=TRUE,IF(A195&lt;Career_History!D39,0,MIN(A195,Career_History!E39)-Career_History!D39+1),0),IF(Career_History!H40=TRUE,IF(A195&lt;Career_History!D40,0,MIN(A195,Career_History!E40)-Career_History!D40+1),0))/365.2425</f>
        <v>17.588314612894173</v>
      </c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</row>
    <row r="196" spans="1:67">
      <c r="A196" s="8">
        <v>40602</v>
      </c>
      <c r="B196" s="9">
        <f t="shared" si="9"/>
        <v>30.465238848162521</v>
      </c>
      <c r="C196" s="9">
        <f t="shared" si="10"/>
        <v>5.4341978274707898</v>
      </c>
      <c r="D196" s="9">
        <f t="shared" si="11"/>
        <v>21.050671813931839</v>
      </c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>
        <f>SUM(IF(Career_History!G16=TRUE,IF(A196&lt;Career_History!D16,0,MIN(A196,Career_History!E16)-Career_History!D16+1),0),IF(Career_History!G17=TRUE,IF(A196&lt;Career_History!D17,0,MIN(A196,Career_History!E17)-Career_History!D17+1),0))/365.2425</f>
        <v>35.66671458003929</v>
      </c>
      <c r="U196" s="9">
        <f>SUM(IF(Career_History!I16=TRUE,IF(A196&lt;Career_History!D16,0,MIN(A196,Career_History!E16)-Career_History!D16+1),0),IF(Career_History!I17=TRUE,IF(A196&lt;Career_History!D17,0,MIN(A196,Career_History!E17)-Career_History!D17+1),0))/365.2425</f>
        <v>21.506259539894728</v>
      </c>
      <c r="V196" s="9">
        <f>SUM(IF(Career_History!H16=TRUE,IF(A196&lt;Career_History!D16,0,MIN(A196,Career_History!E16)-Career_History!D16+1),0),IF(Career_History!H17=TRUE,IF(A196&lt;Career_History!D17,0,MIN(A196,Career_History!E17)-Career_History!D17+1),0))/365.2425</f>
        <v>35.66671458003929</v>
      </c>
      <c r="W196" s="9"/>
      <c r="X196" s="9"/>
      <c r="Y196" s="9"/>
      <c r="Z196" s="9"/>
      <c r="AA196" s="9"/>
      <c r="AB196" s="9"/>
      <c r="AC196" s="9">
        <f>SUM(IF(Career_History!G25=TRUE,IF(A196&lt;Career_History!D25,0,MIN(A196,Career_History!E25)-Career_History!D25+1),0),IF(Career_History!G26=TRUE,IF(A196&lt;Career_History!D26,0,MIN(A196,Career_History!E26)-Career_History!D26+1),0),IF(Career_History!G27=TRUE,IF(A196&lt;Career_History!D27,0,MIN(A196,Career_History!E27)-Career_History!D27+1),0),IF(Career_History!G28=TRUE,IF(A196&lt;Career_History!D28,0,MIN(A196,Career_History!E28)-Career_History!D28+1),0),IF(Career_History!G29=TRUE,IF(A196&lt;Career_History!D29,0,MIN(A196,Career_History!E29)-Career_History!D29+1),0))/365.2425</f>
        <v>37.665386695140896</v>
      </c>
      <c r="AD196" s="9">
        <f>SUM(IF(Career_History!I25=TRUE,IF(A196&lt;Career_History!D25,0,MIN(A196,Career_History!E25)-Career_History!D25+1),0),IF(Career_History!I26=TRUE,IF(A196&lt;Career_History!D26,0,MIN(A196,Career_History!E26)-Career_History!D26+1),0),IF(Career_History!I27=TRUE,IF(A196&lt;Career_History!D27,0,MIN(A196,Career_History!E27)-Career_History!D27+1),0),IF(Career_History!I28=TRUE,IF(A196&lt;Career_History!D28,0,MIN(A196,Career_History!E28)-Career_History!D28+1),0),IF(Career_History!I29=TRUE,IF(A196&lt;Career_History!D29,0,MIN(A196,Career_History!E29)-Career_History!D29+1),0))/365.2425</f>
        <v>0</v>
      </c>
      <c r="AE196" s="9">
        <f>SUM(IF(Career_History!H25=TRUE,IF(A196&lt;Career_History!D25,0,MIN(A196,Career_History!E25)-Career_History!D25+1),0),IF(Career_History!H26=TRUE,IF(A196&lt;Career_History!D26,0,MIN(A196,Career_History!E26)-Career_History!D26+1),0),IF(Career_History!H27=TRUE,IF(A196&lt;Career_History!D27,0,MIN(A196,Career_History!E27)-Career_History!D27+1),0),IF(Career_History!H28=TRUE,IF(A196&lt;Career_History!D28,0,MIN(A196,Career_History!E28)-Career_History!D28+1),0),IF(Career_History!H29=TRUE,IF(A196&lt;Career_History!D29,0,MIN(A196,Career_History!E29)-Career_History!D29+1),0))/365.2425</f>
        <v>25.161365394224386</v>
      </c>
      <c r="AF196" s="9">
        <f>SUM(IF(Career_History!G30=TRUE,IF(A196&lt;Career_History!D30,0,MIN(A196,Career_History!E30)-Career_History!D30+1),0),IF(Career_History!G31=TRUE,IF(A196&lt;Career_History!D31,0,MIN(A196,Career_History!E31)-Career_History!D31+1),0),IF(Career_History!G32=TRUE,IF(A196&lt;Career_History!D32,0,MIN(A196,Career_History!E32)-Career_History!D32+1),0))/365.2425</f>
        <v>30.664558478271285</v>
      </c>
      <c r="AG196" s="9">
        <f>SUM(IF(Career_History!I30=TRUE,IF(A196&lt;Career_History!D30,0,MIN(A196,Career_History!E30)-Career_History!D30+1),0),IF(Career_History!I31=TRUE,IF(A196&lt;Career_History!D31,0,MIN(A196,Career_History!E31)-Career_History!D31+1),0),IF(Career_History!I32=TRUE,IF(A196&lt;Career_History!D32,0,MIN(A196,Career_History!E32)-Career_History!D32+1),0))/365.2425</f>
        <v>0</v>
      </c>
      <c r="AH196" s="9">
        <f>SUM(IF(Career_History!H30=TRUE,IF(A196&lt;Career_History!D30,0,MIN(A196,Career_History!E30)-Career_History!D30+1),0),IF(Career_History!H31=TRUE,IF(A196&lt;Career_History!D31,0,MIN(A196,Career_History!E31)-Career_History!D31+1),0),IF(Career_History!H32=TRUE,IF(A196&lt;Career_History!D32,0,MIN(A196,Career_History!E32)-Career_History!D32+1),0))/365.2425</f>
        <v>1.7604742054936104</v>
      </c>
      <c r="AI196" s="9">
        <f>SUM(IF(Career_History!G33=TRUE,IF(A196&lt;Career_History!D33,0,MIN(A196,Career_History!E33)-Career_History!D33+1),0),IF(Career_History!G34=TRUE,IF(A196&lt;Career_History!D34,0,MIN(A196,Career_History!E34)-Career_History!D34+1),0),IF(Career_History!G35=TRUE,IF(A196&lt;Career_History!D35,0,MIN(A196,Career_History!E35)-Career_History!D35+1),0),IF(Career_History!G36=TRUE,IF(A196&lt;Career_History!D36,0,MIN(A196,Career_History!E36)-Career_History!D36+1),0),IF(Career_History!G37=TRUE,IF(A196&lt;Career_History!D37,0,MIN(A196,Career_History!E37)-Career_History!D37+1),0),IF(Career_History!G38=TRUE,IF(A196&lt;Career_History!D38,0,MIN(A196,Career_History!E38)-Career_History!D38+1),0))/365.2425</f>
        <v>30.664558478271285</v>
      </c>
      <c r="AJ196" s="9">
        <f>SUM(IF(Career_History!I33=TRUE,IF(A196&lt;Career_History!D33,0,MIN(A196,Career_History!E33)-Career_History!D33+1),0),IF(Career_History!I34=TRUE,IF(A196&lt;Career_History!D34,0,MIN(A196,Career_History!E34)-Career_History!D34+1),0),IF(Career_History!I35=TRUE,IF(A196&lt;Career_History!D35,0,MIN(A196,Career_History!E35)-Career_History!D35+1),0),IF(Career_History!I36=TRUE,IF(A196&lt;Career_History!D36,0,MIN(A196,Career_History!E36)-Career_History!D36+1),0),IF(Career_History!I37=TRUE,IF(A196&lt;Career_History!D37,0,MIN(A196,Career_History!E37)-Career_History!D37+1),0),IF(Career_History!I38=TRUE,IF(A196&lt;Career_History!D38,0,MIN(A196,Career_History!E38)-Career_History!D38+1),0))/365.2425</f>
        <v>5.664729597459222</v>
      </c>
      <c r="AK196" s="9">
        <f>SUM(IF(Career_History!H33=TRUE,IF(A196&lt;Career_History!D33,0,MIN(A196,Career_History!E33)-Career_History!D33+1),0),IF(Career_History!H34=TRUE,IF(A196&lt;Career_History!D34,0,MIN(A196,Career_History!E34)-Career_History!D34+1),0),IF(Career_History!H35=TRUE,IF(A196&lt;Career_History!D35,0,MIN(A196,Career_History!E35)-Career_History!D35+1),0),IF(Career_History!H36=TRUE,IF(A196&lt;Career_History!D36,0,MIN(A196,Career_History!E36)-Career_History!D36+1),0),IF(Career_History!H37=TRUE,IF(A196&lt;Career_History!D37,0,MIN(A196,Career_History!E37)-Career_History!D37+1),0),IF(Career_History!H38=TRUE,IF(A196&lt;Career_History!D38,0,MIN(A196,Career_History!E38)-Career_History!D38+1),0))/365.2425</f>
        <v>24.999828880812064</v>
      </c>
      <c r="AL196" s="9">
        <f>SUM(IF(Career_History!G39=TRUE,IF(A196&lt;Career_History!D39,0,MIN(A196,Career_History!E39)-Career_History!D39+1),0),IF(Career_History!G40=TRUE,IF(A196&lt;Career_History!D40,0,MIN(A196,Career_History!E40)-Career_History!D40+1),0))/365.2425</f>
        <v>17.664976009089852</v>
      </c>
      <c r="AM196" s="9">
        <f>SUM(IF(Career_History!I39=TRUE,IF(A196&lt;Career_History!D39,0,MIN(A196,Career_History!E39)-Career_History!D39+1),0),IF(Career_History!I40=TRUE,IF(A196&lt;Career_History!D40,0,MIN(A196,Career_History!E40)-Career_History!D40+1),0))/365.2425</f>
        <v>0</v>
      </c>
      <c r="AN196" s="9">
        <f>SUM(IF(Career_History!H39=TRUE,IF(A196&lt;Career_History!D39,0,MIN(A196,Career_History!E39)-Career_History!D39+1),0),IF(Career_History!H40=TRUE,IF(A196&lt;Career_History!D40,0,MIN(A196,Career_History!E40)-Career_History!D40+1),0))/365.2425</f>
        <v>17.664976009089852</v>
      </c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</row>
    <row r="197" spans="1:67">
      <c r="A197" s="8">
        <v>40633</v>
      </c>
      <c r="B197" s="9">
        <f t="shared" si="9"/>
        <v>30.550113965379172</v>
      </c>
      <c r="C197" s="9">
        <f t="shared" si="10"/>
        <v>5.4341978274707898</v>
      </c>
      <c r="D197" s="9">
        <f t="shared" si="11"/>
        <v>21.135546931148482</v>
      </c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>
        <f>SUM(IF(Career_History!G16=TRUE,IF(A197&lt;Career_History!D16,0,MIN(A197,Career_History!E16)-Career_History!D16+1),0),IF(Career_History!G17=TRUE,IF(A197&lt;Career_History!D17,0,MIN(A197,Career_History!E17)-Career_History!D17+1),0))/365.2425</f>
        <v>35.75158969725593</v>
      </c>
      <c r="U197" s="9">
        <f>SUM(IF(Career_History!I16=TRUE,IF(A197&lt;Career_History!D16,0,MIN(A197,Career_History!E16)-Career_History!D16+1),0),IF(Career_History!I17=TRUE,IF(A197&lt;Career_History!D17,0,MIN(A197,Career_History!E17)-Career_History!D17+1),0))/365.2425</f>
        <v>21.506259539894728</v>
      </c>
      <c r="V197" s="9">
        <f>SUM(IF(Career_History!H16=TRUE,IF(A197&lt;Career_History!D16,0,MIN(A197,Career_History!E16)-Career_History!D16+1),0),IF(Career_History!H17=TRUE,IF(A197&lt;Career_History!D17,0,MIN(A197,Career_History!E17)-Career_History!D17+1),0))/365.2425</f>
        <v>35.75158969725593</v>
      </c>
      <c r="W197" s="9"/>
      <c r="X197" s="9"/>
      <c r="Y197" s="9"/>
      <c r="Z197" s="9"/>
      <c r="AA197" s="9"/>
      <c r="AB197" s="9"/>
      <c r="AC197" s="9">
        <f>SUM(IF(Career_History!G25=TRUE,IF(A197&lt;Career_History!D25,0,MIN(A197,Career_History!E25)-Career_History!D25+1),0),IF(Career_History!G26=TRUE,IF(A197&lt;Career_History!D26,0,MIN(A197,Career_History!E26)-Career_History!D26+1),0),IF(Career_History!G27=TRUE,IF(A197&lt;Career_History!D27,0,MIN(A197,Career_History!E27)-Career_History!D27+1),0),IF(Career_History!G28=TRUE,IF(A197&lt;Career_History!D28,0,MIN(A197,Career_History!E28)-Career_History!D28+1),0),IF(Career_History!G29=TRUE,IF(A197&lt;Career_History!D29,0,MIN(A197,Career_History!E29)-Career_History!D29+1),0))/365.2425</f>
        <v>37.750261812357543</v>
      </c>
      <c r="AD197" s="9">
        <f>SUM(IF(Career_History!I25=TRUE,IF(A197&lt;Career_History!D25,0,MIN(A197,Career_History!E25)-Career_History!D25+1),0),IF(Career_History!I26=TRUE,IF(A197&lt;Career_History!D26,0,MIN(A197,Career_History!E26)-Career_History!D26+1),0),IF(Career_History!I27=TRUE,IF(A197&lt;Career_History!D27,0,MIN(A197,Career_History!E27)-Career_History!D27+1),0),IF(Career_History!I28=TRUE,IF(A197&lt;Career_History!D28,0,MIN(A197,Career_History!E28)-Career_History!D28+1),0),IF(Career_History!I29=TRUE,IF(A197&lt;Career_History!D29,0,MIN(A197,Career_History!E29)-Career_History!D29+1),0))/365.2425</f>
        <v>0</v>
      </c>
      <c r="AE197" s="9">
        <f>SUM(IF(Career_History!H25=TRUE,IF(A197&lt;Career_History!D25,0,MIN(A197,Career_History!E25)-Career_History!D25+1),0),IF(Career_History!H26=TRUE,IF(A197&lt;Career_History!D26,0,MIN(A197,Career_History!E26)-Career_History!D26+1),0),IF(Career_History!H27=TRUE,IF(A197&lt;Career_History!D27,0,MIN(A197,Career_History!E27)-Career_History!D27+1),0),IF(Career_History!H28=TRUE,IF(A197&lt;Career_History!D28,0,MIN(A197,Career_History!E28)-Career_History!D28+1),0),IF(Career_History!H29=TRUE,IF(A197&lt;Career_History!D29,0,MIN(A197,Career_History!E29)-Career_History!D29+1),0))/365.2425</f>
        <v>25.24624051144103</v>
      </c>
      <c r="AF197" s="9">
        <f>SUM(IF(Career_History!G30=TRUE,IF(A197&lt;Career_History!D30,0,MIN(A197,Career_History!E30)-Career_History!D30+1),0),IF(Career_History!G31=TRUE,IF(A197&lt;Career_History!D31,0,MIN(A197,Career_History!E31)-Career_History!D31+1),0),IF(Career_History!G32=TRUE,IF(A197&lt;Career_History!D32,0,MIN(A197,Career_History!E32)-Career_History!D32+1),0))/365.2425</f>
        <v>30.749433595487929</v>
      </c>
      <c r="AG197" s="9">
        <f>SUM(IF(Career_History!I30=TRUE,IF(A197&lt;Career_History!D30,0,MIN(A197,Career_History!E30)-Career_History!D30+1),0),IF(Career_History!I31=TRUE,IF(A197&lt;Career_History!D31,0,MIN(A197,Career_History!E31)-Career_History!D31+1),0),IF(Career_History!I32=TRUE,IF(A197&lt;Career_History!D32,0,MIN(A197,Career_History!E32)-Career_History!D32+1),0))/365.2425</f>
        <v>0</v>
      </c>
      <c r="AH197" s="9">
        <f>SUM(IF(Career_History!H30=TRUE,IF(A197&lt;Career_History!D30,0,MIN(A197,Career_History!E30)-Career_History!D30+1),0),IF(Career_History!H31=TRUE,IF(A197&lt;Career_History!D31,0,MIN(A197,Career_History!E31)-Career_History!D31+1),0),IF(Career_History!H32=TRUE,IF(A197&lt;Career_History!D32,0,MIN(A197,Career_History!E32)-Career_History!D32+1),0))/365.2425</f>
        <v>1.8453493227102542</v>
      </c>
      <c r="AI197" s="9">
        <f>SUM(IF(Career_History!G33=TRUE,IF(A197&lt;Career_History!D33,0,MIN(A197,Career_History!E33)-Career_History!D33+1),0),IF(Career_History!G34=TRUE,IF(A197&lt;Career_History!D34,0,MIN(A197,Career_History!E34)-Career_History!D34+1),0),IF(Career_History!G35=TRUE,IF(A197&lt;Career_History!D35,0,MIN(A197,Career_History!E35)-Career_History!D35+1),0),IF(Career_History!G36=TRUE,IF(A197&lt;Career_History!D36,0,MIN(A197,Career_History!E36)-Career_History!D36+1),0),IF(Career_History!G37=TRUE,IF(A197&lt;Career_History!D37,0,MIN(A197,Career_History!E37)-Career_History!D37+1),0),IF(Career_History!G38=TRUE,IF(A197&lt;Career_History!D38,0,MIN(A197,Career_History!E38)-Career_History!D38+1),0))/365.2425</f>
        <v>30.749433595487929</v>
      </c>
      <c r="AJ197" s="9">
        <f>SUM(IF(Career_History!I33=TRUE,IF(A197&lt;Career_History!D33,0,MIN(A197,Career_History!E33)-Career_History!D33+1),0),IF(Career_History!I34=TRUE,IF(A197&lt;Career_History!D34,0,MIN(A197,Career_History!E34)-Career_History!D34+1),0),IF(Career_History!I35=TRUE,IF(A197&lt;Career_History!D35,0,MIN(A197,Career_History!E35)-Career_History!D35+1),0),IF(Career_History!I36=TRUE,IF(A197&lt;Career_History!D36,0,MIN(A197,Career_History!E36)-Career_History!D36+1),0),IF(Career_History!I37=TRUE,IF(A197&lt;Career_History!D37,0,MIN(A197,Career_History!E37)-Career_History!D37+1),0),IF(Career_History!I38=TRUE,IF(A197&lt;Career_History!D38,0,MIN(A197,Career_History!E38)-Career_History!D38+1),0))/365.2425</f>
        <v>5.664729597459222</v>
      </c>
      <c r="AK197" s="9">
        <f>SUM(IF(Career_History!H33=TRUE,IF(A197&lt;Career_History!D33,0,MIN(A197,Career_History!E33)-Career_History!D33+1),0),IF(Career_History!H34=TRUE,IF(A197&lt;Career_History!D34,0,MIN(A197,Career_History!E34)-Career_History!D34+1),0),IF(Career_History!H35=TRUE,IF(A197&lt;Career_History!D35,0,MIN(A197,Career_History!E35)-Career_History!D35+1),0),IF(Career_History!H36=TRUE,IF(A197&lt;Career_History!D36,0,MIN(A197,Career_History!E36)-Career_History!D36+1),0),IF(Career_History!H37=TRUE,IF(A197&lt;Career_History!D37,0,MIN(A197,Career_History!E37)-Career_History!D37+1),0),IF(Career_History!H38=TRUE,IF(A197&lt;Career_History!D38,0,MIN(A197,Career_History!E38)-Career_History!D38+1),0))/365.2425</f>
        <v>25.084703998028708</v>
      </c>
      <c r="AL197" s="9">
        <f>SUM(IF(Career_History!G39=TRUE,IF(A197&lt;Career_History!D39,0,MIN(A197,Career_History!E39)-Career_History!D39+1),0),IF(Career_History!G40=TRUE,IF(A197&lt;Career_History!D40,0,MIN(A197,Career_History!E40)-Career_History!D40+1),0))/365.2425</f>
        <v>17.749851126306496</v>
      </c>
      <c r="AM197" s="9">
        <f>SUM(IF(Career_History!I39=TRUE,IF(A197&lt;Career_History!D39,0,MIN(A197,Career_History!E39)-Career_History!D39+1),0),IF(Career_History!I40=TRUE,IF(A197&lt;Career_History!D40,0,MIN(A197,Career_History!E40)-Career_History!D40+1),0))/365.2425</f>
        <v>0</v>
      </c>
      <c r="AN197" s="9">
        <f>SUM(IF(Career_History!H39=TRUE,IF(A197&lt;Career_History!D39,0,MIN(A197,Career_History!E39)-Career_History!D39+1),0),IF(Career_History!H40=TRUE,IF(A197&lt;Career_History!D40,0,MIN(A197,Career_History!E40)-Career_History!D40+1),0))/365.2425</f>
        <v>17.749851126306496</v>
      </c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</row>
    <row r="198" spans="1:67">
      <c r="A198" s="8">
        <v>40663</v>
      </c>
      <c r="B198" s="9">
        <f t="shared" si="9"/>
        <v>30.632251175588824</v>
      </c>
      <c r="C198" s="9">
        <f t="shared" si="10"/>
        <v>5.4341978274707898</v>
      </c>
      <c r="D198" s="9">
        <f t="shared" si="11"/>
        <v>21.217684141358138</v>
      </c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>
        <f>SUM(IF(Career_History!G16=TRUE,IF(A198&lt;Career_History!D16,0,MIN(A198,Career_History!E16)-Career_History!D16+1),0),IF(Career_History!G17=TRUE,IF(A198&lt;Career_History!D17,0,MIN(A198,Career_History!E17)-Career_History!D17+1),0))/365.2425</f>
        <v>35.833726907465589</v>
      </c>
      <c r="U198" s="9">
        <f>SUM(IF(Career_History!I16=TRUE,IF(A198&lt;Career_History!D16,0,MIN(A198,Career_History!E16)-Career_History!D16+1),0),IF(Career_History!I17=TRUE,IF(A198&lt;Career_History!D17,0,MIN(A198,Career_History!E17)-Career_History!D17+1),0))/365.2425</f>
        <v>21.506259539894728</v>
      </c>
      <c r="V198" s="9">
        <f>SUM(IF(Career_History!H16=TRUE,IF(A198&lt;Career_History!D16,0,MIN(A198,Career_History!E16)-Career_History!D16+1),0),IF(Career_History!H17=TRUE,IF(A198&lt;Career_History!D17,0,MIN(A198,Career_History!E17)-Career_History!D17+1),0))/365.2425</f>
        <v>35.833726907465589</v>
      </c>
      <c r="W198" s="9"/>
      <c r="X198" s="9"/>
      <c r="Y198" s="9"/>
      <c r="Z198" s="9"/>
      <c r="AA198" s="9"/>
      <c r="AB198" s="9"/>
      <c r="AC198" s="9">
        <f>SUM(IF(Career_History!G25=TRUE,IF(A198&lt;Career_History!D25,0,MIN(A198,Career_History!E25)-Career_History!D25+1),0),IF(Career_History!G26=TRUE,IF(A198&lt;Career_History!D26,0,MIN(A198,Career_History!E26)-Career_History!D26+1),0),IF(Career_History!G27=TRUE,IF(A198&lt;Career_History!D27,0,MIN(A198,Career_History!E27)-Career_History!D27+1),0),IF(Career_History!G28=TRUE,IF(A198&lt;Career_History!D28,0,MIN(A198,Career_History!E28)-Career_History!D28+1),0),IF(Career_History!G29=TRUE,IF(A198&lt;Career_History!D29,0,MIN(A198,Career_History!E29)-Career_History!D29+1),0))/365.2425</f>
        <v>37.832399022567195</v>
      </c>
      <c r="AD198" s="9">
        <f>SUM(IF(Career_History!I25=TRUE,IF(A198&lt;Career_History!D25,0,MIN(A198,Career_History!E25)-Career_History!D25+1),0),IF(Career_History!I26=TRUE,IF(A198&lt;Career_History!D26,0,MIN(A198,Career_History!E26)-Career_History!D26+1),0),IF(Career_History!I27=TRUE,IF(A198&lt;Career_History!D27,0,MIN(A198,Career_History!E27)-Career_History!D27+1),0),IF(Career_History!I28=TRUE,IF(A198&lt;Career_History!D28,0,MIN(A198,Career_History!E28)-Career_History!D28+1),0),IF(Career_History!I29=TRUE,IF(A198&lt;Career_History!D29,0,MIN(A198,Career_History!E29)-Career_History!D29+1),0))/365.2425</f>
        <v>0</v>
      </c>
      <c r="AE198" s="9">
        <f>SUM(IF(Career_History!H25=TRUE,IF(A198&lt;Career_History!D25,0,MIN(A198,Career_History!E25)-Career_History!D25+1),0),IF(Career_History!H26=TRUE,IF(A198&lt;Career_History!D26,0,MIN(A198,Career_History!E26)-Career_History!D26+1),0),IF(Career_History!H27=TRUE,IF(A198&lt;Career_History!D27,0,MIN(A198,Career_History!E27)-Career_History!D27+1),0),IF(Career_History!H28=TRUE,IF(A198&lt;Career_History!D28,0,MIN(A198,Career_History!E28)-Career_History!D28+1),0),IF(Career_History!H29=TRUE,IF(A198&lt;Career_History!D29,0,MIN(A198,Career_History!E29)-Career_History!D29+1),0))/365.2425</f>
        <v>25.328377721650682</v>
      </c>
      <c r="AF198" s="9">
        <f>SUM(IF(Career_History!G30=TRUE,IF(A198&lt;Career_History!D30,0,MIN(A198,Career_History!E30)-Career_History!D30+1),0),IF(Career_History!G31=TRUE,IF(A198&lt;Career_History!D31,0,MIN(A198,Career_History!E31)-Career_History!D31+1),0),IF(Career_History!G32=TRUE,IF(A198&lt;Career_History!D32,0,MIN(A198,Career_History!E32)-Career_History!D32+1),0))/365.2425</f>
        <v>30.831570805697584</v>
      </c>
      <c r="AG198" s="9">
        <f>SUM(IF(Career_History!I30=TRUE,IF(A198&lt;Career_History!D30,0,MIN(A198,Career_History!E30)-Career_History!D30+1),0),IF(Career_History!I31=TRUE,IF(A198&lt;Career_History!D31,0,MIN(A198,Career_History!E31)-Career_History!D31+1),0),IF(Career_History!I32=TRUE,IF(A198&lt;Career_History!D32,0,MIN(A198,Career_History!E32)-Career_History!D32+1),0))/365.2425</f>
        <v>0</v>
      </c>
      <c r="AH198" s="9">
        <f>SUM(IF(Career_History!H30=TRUE,IF(A198&lt;Career_History!D30,0,MIN(A198,Career_History!E30)-Career_History!D30+1),0),IF(Career_History!H31=TRUE,IF(A198&lt;Career_History!D31,0,MIN(A198,Career_History!E31)-Career_History!D31+1),0),IF(Career_History!H32=TRUE,IF(A198&lt;Career_History!D32,0,MIN(A198,Career_History!E32)-Career_History!D32+1),0))/365.2425</f>
        <v>1.9274865329199093</v>
      </c>
      <c r="AI198" s="9">
        <f>SUM(IF(Career_History!G33=TRUE,IF(A198&lt;Career_History!D33,0,MIN(A198,Career_History!E33)-Career_History!D33+1),0),IF(Career_History!G34=TRUE,IF(A198&lt;Career_History!D34,0,MIN(A198,Career_History!E34)-Career_History!D34+1),0),IF(Career_History!G35=TRUE,IF(A198&lt;Career_History!D35,0,MIN(A198,Career_History!E35)-Career_History!D35+1),0),IF(Career_History!G36=TRUE,IF(A198&lt;Career_History!D36,0,MIN(A198,Career_History!E36)-Career_History!D36+1),0),IF(Career_History!G37=TRUE,IF(A198&lt;Career_History!D37,0,MIN(A198,Career_History!E37)-Career_History!D37+1),0),IF(Career_History!G38=TRUE,IF(A198&lt;Career_History!D38,0,MIN(A198,Career_History!E38)-Career_History!D38+1),0))/365.2425</f>
        <v>30.831570805697584</v>
      </c>
      <c r="AJ198" s="9">
        <f>SUM(IF(Career_History!I33=TRUE,IF(A198&lt;Career_History!D33,0,MIN(A198,Career_History!E33)-Career_History!D33+1),0),IF(Career_History!I34=TRUE,IF(A198&lt;Career_History!D34,0,MIN(A198,Career_History!E34)-Career_History!D34+1),0),IF(Career_History!I35=TRUE,IF(A198&lt;Career_History!D35,0,MIN(A198,Career_History!E35)-Career_History!D35+1),0),IF(Career_History!I36=TRUE,IF(A198&lt;Career_History!D36,0,MIN(A198,Career_History!E36)-Career_History!D36+1),0),IF(Career_History!I37=TRUE,IF(A198&lt;Career_History!D37,0,MIN(A198,Career_History!E37)-Career_History!D37+1),0),IF(Career_History!I38=TRUE,IF(A198&lt;Career_History!D38,0,MIN(A198,Career_History!E38)-Career_History!D38+1),0))/365.2425</f>
        <v>5.664729597459222</v>
      </c>
      <c r="AK198" s="9">
        <f>SUM(IF(Career_History!H33=TRUE,IF(A198&lt;Career_History!D33,0,MIN(A198,Career_History!E33)-Career_History!D33+1),0),IF(Career_History!H34=TRUE,IF(A198&lt;Career_History!D34,0,MIN(A198,Career_History!E34)-Career_History!D34+1),0),IF(Career_History!H35=TRUE,IF(A198&lt;Career_History!D35,0,MIN(A198,Career_History!E35)-Career_History!D35+1),0),IF(Career_History!H36=TRUE,IF(A198&lt;Career_History!D36,0,MIN(A198,Career_History!E36)-Career_History!D36+1),0),IF(Career_History!H37=TRUE,IF(A198&lt;Career_History!D37,0,MIN(A198,Career_History!E37)-Career_History!D37+1),0),IF(Career_History!H38=TRUE,IF(A198&lt;Career_History!D38,0,MIN(A198,Career_History!E38)-Career_History!D38+1),0))/365.2425</f>
        <v>25.166841208238363</v>
      </c>
      <c r="AL198" s="9">
        <f>SUM(IF(Career_History!G39=TRUE,IF(A198&lt;Career_History!D39,0,MIN(A198,Career_History!E39)-Career_History!D39+1),0),IF(Career_History!G40=TRUE,IF(A198&lt;Career_History!D40,0,MIN(A198,Career_History!E40)-Career_History!D40+1),0))/365.2425</f>
        <v>17.831988336516151</v>
      </c>
      <c r="AM198" s="9">
        <f>SUM(IF(Career_History!I39=TRUE,IF(A198&lt;Career_History!D39,0,MIN(A198,Career_History!E39)-Career_History!D39+1),0),IF(Career_History!I40=TRUE,IF(A198&lt;Career_History!D40,0,MIN(A198,Career_History!E40)-Career_History!D40+1),0))/365.2425</f>
        <v>0</v>
      </c>
      <c r="AN198" s="9">
        <f>SUM(IF(Career_History!H39=TRUE,IF(A198&lt;Career_History!D39,0,MIN(A198,Career_History!E39)-Career_History!D39+1),0),IF(Career_History!H40=TRUE,IF(A198&lt;Career_History!D40,0,MIN(A198,Career_History!E40)-Career_History!D40+1),0))/365.2425</f>
        <v>17.831988336516151</v>
      </c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</row>
    <row r="199" spans="1:67">
      <c r="A199" s="8">
        <v>40694</v>
      </c>
      <c r="B199" s="9">
        <f t="shared" si="9"/>
        <v>30.71712629280546</v>
      </c>
      <c r="C199" s="9">
        <f t="shared" si="10"/>
        <v>5.4341978274707898</v>
      </c>
      <c r="D199" s="9">
        <f t="shared" si="11"/>
        <v>21.302559258574782</v>
      </c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>
        <f>SUM(IF(Career_History!G16=TRUE,IF(A199&lt;Career_History!D16,0,MIN(A199,Career_History!E16)-Career_History!D16+1),0),IF(Career_History!G17=TRUE,IF(A199&lt;Career_History!D17,0,MIN(A199,Career_History!E17)-Career_History!D17+1),0))/365.2425</f>
        <v>35.91860202468223</v>
      </c>
      <c r="U199" s="9">
        <f>SUM(IF(Career_History!I16=TRUE,IF(A199&lt;Career_History!D16,0,MIN(A199,Career_History!E16)-Career_History!D16+1),0),IF(Career_History!I17=TRUE,IF(A199&lt;Career_History!D17,0,MIN(A199,Career_History!E17)-Career_History!D17+1),0))/365.2425</f>
        <v>21.506259539894728</v>
      </c>
      <c r="V199" s="9">
        <f>SUM(IF(Career_History!H16=TRUE,IF(A199&lt;Career_History!D16,0,MIN(A199,Career_History!E16)-Career_History!D16+1),0),IF(Career_History!H17=TRUE,IF(A199&lt;Career_History!D17,0,MIN(A199,Career_History!E17)-Career_History!D17+1),0))/365.2425</f>
        <v>35.91860202468223</v>
      </c>
      <c r="W199" s="9"/>
      <c r="X199" s="9"/>
      <c r="Y199" s="9"/>
      <c r="Z199" s="9"/>
      <c r="AA199" s="9"/>
      <c r="AB199" s="9"/>
      <c r="AC199" s="9">
        <f>SUM(IF(Career_History!G25=TRUE,IF(A199&lt;Career_History!D25,0,MIN(A199,Career_History!E25)-Career_History!D25+1),0),IF(Career_History!G26=TRUE,IF(A199&lt;Career_History!D26,0,MIN(A199,Career_History!E26)-Career_History!D26+1),0),IF(Career_History!G27=TRUE,IF(A199&lt;Career_History!D27,0,MIN(A199,Career_History!E27)-Career_History!D27+1),0),IF(Career_History!G28=TRUE,IF(A199&lt;Career_History!D28,0,MIN(A199,Career_History!E28)-Career_History!D28+1),0),IF(Career_History!G29=TRUE,IF(A199&lt;Career_History!D29,0,MIN(A199,Career_History!E29)-Career_History!D29+1),0))/365.2425</f>
        <v>37.917274139783842</v>
      </c>
      <c r="AD199" s="9">
        <f>SUM(IF(Career_History!I25=TRUE,IF(A199&lt;Career_History!D25,0,MIN(A199,Career_History!E25)-Career_History!D25+1),0),IF(Career_History!I26=TRUE,IF(A199&lt;Career_History!D26,0,MIN(A199,Career_History!E26)-Career_History!D26+1),0),IF(Career_History!I27=TRUE,IF(A199&lt;Career_History!D27,0,MIN(A199,Career_History!E27)-Career_History!D27+1),0),IF(Career_History!I28=TRUE,IF(A199&lt;Career_History!D28,0,MIN(A199,Career_History!E28)-Career_History!D28+1),0),IF(Career_History!I29=TRUE,IF(A199&lt;Career_History!D29,0,MIN(A199,Career_History!E29)-Career_History!D29+1),0))/365.2425</f>
        <v>0</v>
      </c>
      <c r="AE199" s="9">
        <f>SUM(IF(Career_History!H25=TRUE,IF(A199&lt;Career_History!D25,0,MIN(A199,Career_History!E25)-Career_History!D25+1),0),IF(Career_History!H26=TRUE,IF(A199&lt;Career_History!D26,0,MIN(A199,Career_History!E26)-Career_History!D26+1),0),IF(Career_History!H27=TRUE,IF(A199&lt;Career_History!D27,0,MIN(A199,Career_History!E27)-Career_History!D27+1),0),IF(Career_History!H28=TRUE,IF(A199&lt;Career_History!D28,0,MIN(A199,Career_History!E28)-Career_History!D28+1),0),IF(Career_History!H29=TRUE,IF(A199&lt;Career_History!D29,0,MIN(A199,Career_History!E29)-Career_History!D29+1),0))/365.2425</f>
        <v>25.413252838867326</v>
      </c>
      <c r="AF199" s="9">
        <f>SUM(IF(Career_History!G30=TRUE,IF(A199&lt;Career_History!D30,0,MIN(A199,Career_History!E30)-Career_History!D30+1),0),IF(Career_History!G31=TRUE,IF(A199&lt;Career_History!D31,0,MIN(A199,Career_History!E31)-Career_History!D31+1),0),IF(Career_History!G32=TRUE,IF(A199&lt;Career_History!D32,0,MIN(A199,Career_History!E32)-Career_History!D32+1),0))/365.2425</f>
        <v>30.916445922914228</v>
      </c>
      <c r="AG199" s="9">
        <f>SUM(IF(Career_History!I30=TRUE,IF(A199&lt;Career_History!D30,0,MIN(A199,Career_History!E30)-Career_History!D30+1),0),IF(Career_History!I31=TRUE,IF(A199&lt;Career_History!D31,0,MIN(A199,Career_History!E31)-Career_History!D31+1),0),IF(Career_History!I32=TRUE,IF(A199&lt;Career_History!D32,0,MIN(A199,Career_History!E32)-Career_History!D32+1),0))/365.2425</f>
        <v>0</v>
      </c>
      <c r="AH199" s="9">
        <f>SUM(IF(Career_History!H30=TRUE,IF(A199&lt;Career_History!D30,0,MIN(A199,Career_History!E30)-Career_History!D30+1),0),IF(Career_History!H31=TRUE,IF(A199&lt;Career_History!D31,0,MIN(A199,Career_History!E31)-Career_History!D31+1),0),IF(Career_History!H32=TRUE,IF(A199&lt;Career_History!D32,0,MIN(A199,Career_History!E32)-Career_History!D32+1),0))/365.2425</f>
        <v>2.0123616501365529</v>
      </c>
      <c r="AI199" s="9">
        <f>SUM(IF(Career_History!G33=TRUE,IF(A199&lt;Career_History!D33,0,MIN(A199,Career_History!E33)-Career_History!D33+1),0),IF(Career_History!G34=TRUE,IF(A199&lt;Career_History!D34,0,MIN(A199,Career_History!E34)-Career_History!D34+1),0),IF(Career_History!G35=TRUE,IF(A199&lt;Career_History!D35,0,MIN(A199,Career_History!E35)-Career_History!D35+1),0),IF(Career_History!G36=TRUE,IF(A199&lt;Career_History!D36,0,MIN(A199,Career_History!E36)-Career_History!D36+1),0),IF(Career_History!G37=TRUE,IF(A199&lt;Career_History!D37,0,MIN(A199,Career_History!E37)-Career_History!D37+1),0),IF(Career_History!G38=TRUE,IF(A199&lt;Career_History!D38,0,MIN(A199,Career_History!E38)-Career_History!D38+1),0))/365.2425</f>
        <v>30.916445922914228</v>
      </c>
      <c r="AJ199" s="9">
        <f>SUM(IF(Career_History!I33=TRUE,IF(A199&lt;Career_History!D33,0,MIN(A199,Career_History!E33)-Career_History!D33+1),0),IF(Career_History!I34=TRUE,IF(A199&lt;Career_History!D34,0,MIN(A199,Career_History!E34)-Career_History!D34+1),0),IF(Career_History!I35=TRUE,IF(A199&lt;Career_History!D35,0,MIN(A199,Career_History!E35)-Career_History!D35+1),0),IF(Career_History!I36=TRUE,IF(A199&lt;Career_History!D36,0,MIN(A199,Career_History!E36)-Career_History!D36+1),0),IF(Career_History!I37=TRUE,IF(A199&lt;Career_History!D37,0,MIN(A199,Career_History!E37)-Career_History!D37+1),0),IF(Career_History!I38=TRUE,IF(A199&lt;Career_History!D38,0,MIN(A199,Career_History!E38)-Career_History!D38+1),0))/365.2425</f>
        <v>5.664729597459222</v>
      </c>
      <c r="AK199" s="9">
        <f>SUM(IF(Career_History!H33=TRUE,IF(A199&lt;Career_History!D33,0,MIN(A199,Career_History!E33)-Career_History!D33+1),0),IF(Career_History!H34=TRUE,IF(A199&lt;Career_History!D34,0,MIN(A199,Career_History!E34)-Career_History!D34+1),0),IF(Career_History!H35=TRUE,IF(A199&lt;Career_History!D35,0,MIN(A199,Career_History!E35)-Career_History!D35+1),0),IF(Career_History!H36=TRUE,IF(A199&lt;Career_History!D36,0,MIN(A199,Career_History!E36)-Career_History!D36+1),0),IF(Career_History!H37=TRUE,IF(A199&lt;Career_History!D37,0,MIN(A199,Career_History!E37)-Career_History!D37+1),0),IF(Career_History!H38=TRUE,IF(A199&lt;Career_History!D38,0,MIN(A199,Career_History!E38)-Career_History!D38+1),0))/365.2425</f>
        <v>25.251716325455007</v>
      </c>
      <c r="AL199" s="9">
        <f>SUM(IF(Career_History!G39=TRUE,IF(A199&lt;Career_History!D39,0,MIN(A199,Career_History!E39)-Career_History!D39+1),0),IF(Career_History!G40=TRUE,IF(A199&lt;Career_History!D40,0,MIN(A199,Career_History!E40)-Career_History!D40+1),0))/365.2425</f>
        <v>17.916863453732795</v>
      </c>
      <c r="AM199" s="9">
        <f>SUM(IF(Career_History!I39=TRUE,IF(A199&lt;Career_History!D39,0,MIN(A199,Career_History!E39)-Career_History!D39+1),0),IF(Career_History!I40=TRUE,IF(A199&lt;Career_History!D40,0,MIN(A199,Career_History!E40)-Career_History!D40+1),0))/365.2425</f>
        <v>0</v>
      </c>
      <c r="AN199" s="9">
        <f>SUM(IF(Career_History!H39=TRUE,IF(A199&lt;Career_History!D39,0,MIN(A199,Career_History!E39)-Career_History!D39+1),0),IF(Career_History!H40=TRUE,IF(A199&lt;Career_History!D40,0,MIN(A199,Career_History!E40)-Career_History!D40+1),0))/365.2425</f>
        <v>17.916863453732795</v>
      </c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</row>
    <row r="200" spans="1:67">
      <c r="A200" s="8">
        <v>40724</v>
      </c>
      <c r="B200" s="9">
        <f t="shared" si="9"/>
        <v>30.799263503015119</v>
      </c>
      <c r="C200" s="9">
        <f t="shared" si="10"/>
        <v>5.4341978274707898</v>
      </c>
      <c r="D200" s="9">
        <f t="shared" si="11"/>
        <v>21.384696468784437</v>
      </c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>
        <f>SUM(IF(Career_History!G16=TRUE,IF(A200&lt;Career_History!D16,0,MIN(A200,Career_History!E16)-Career_History!D16+1),0),IF(Career_History!G17=TRUE,IF(A200&lt;Career_History!D17,0,MIN(A200,Career_History!E17)-Career_History!D17+1),0))/365.2425</f>
        <v>36.000739234891888</v>
      </c>
      <c r="U200" s="9">
        <f>SUM(IF(Career_History!I16=TRUE,IF(A200&lt;Career_History!D16,0,MIN(A200,Career_History!E16)-Career_History!D16+1),0),IF(Career_History!I17=TRUE,IF(A200&lt;Career_History!D17,0,MIN(A200,Career_History!E17)-Career_History!D17+1),0))/365.2425</f>
        <v>21.506259539894728</v>
      </c>
      <c r="V200" s="9">
        <f>SUM(IF(Career_History!H16=TRUE,IF(A200&lt;Career_History!D16,0,MIN(A200,Career_History!E16)-Career_History!D16+1),0),IF(Career_History!H17=TRUE,IF(A200&lt;Career_History!D17,0,MIN(A200,Career_History!E17)-Career_History!D17+1),0))/365.2425</f>
        <v>36.000739234891888</v>
      </c>
      <c r="W200" s="9"/>
      <c r="X200" s="9"/>
      <c r="Y200" s="9"/>
      <c r="Z200" s="9"/>
      <c r="AA200" s="9"/>
      <c r="AB200" s="9"/>
      <c r="AC200" s="9">
        <f>SUM(IF(Career_History!G25=TRUE,IF(A200&lt;Career_History!D25,0,MIN(A200,Career_History!E25)-Career_History!D25+1),0),IF(Career_History!G26=TRUE,IF(A200&lt;Career_History!D26,0,MIN(A200,Career_History!E26)-Career_History!D26+1),0),IF(Career_History!G27=TRUE,IF(A200&lt;Career_History!D27,0,MIN(A200,Career_History!E27)-Career_History!D27+1),0),IF(Career_History!G28=TRUE,IF(A200&lt;Career_History!D28,0,MIN(A200,Career_History!E28)-Career_History!D28+1),0),IF(Career_History!G29=TRUE,IF(A200&lt;Career_History!D29,0,MIN(A200,Career_History!E29)-Career_History!D29+1),0))/365.2425</f>
        <v>37.999411349993494</v>
      </c>
      <c r="AD200" s="9">
        <f>SUM(IF(Career_History!I25=TRUE,IF(A200&lt;Career_History!D25,0,MIN(A200,Career_History!E25)-Career_History!D25+1),0),IF(Career_History!I26=TRUE,IF(A200&lt;Career_History!D26,0,MIN(A200,Career_History!E26)-Career_History!D26+1),0),IF(Career_History!I27=TRUE,IF(A200&lt;Career_History!D27,0,MIN(A200,Career_History!E27)-Career_History!D27+1),0),IF(Career_History!I28=TRUE,IF(A200&lt;Career_History!D28,0,MIN(A200,Career_History!E28)-Career_History!D28+1),0),IF(Career_History!I29=TRUE,IF(A200&lt;Career_History!D29,0,MIN(A200,Career_History!E29)-Career_History!D29+1),0))/365.2425</f>
        <v>0</v>
      </c>
      <c r="AE200" s="9">
        <f>SUM(IF(Career_History!H25=TRUE,IF(A200&lt;Career_History!D25,0,MIN(A200,Career_History!E25)-Career_History!D25+1),0),IF(Career_History!H26=TRUE,IF(A200&lt;Career_History!D26,0,MIN(A200,Career_History!E26)-Career_History!D26+1),0),IF(Career_History!H27=TRUE,IF(A200&lt;Career_History!D27,0,MIN(A200,Career_History!E27)-Career_History!D27+1),0),IF(Career_History!H28=TRUE,IF(A200&lt;Career_History!D28,0,MIN(A200,Career_History!E28)-Career_History!D28+1),0),IF(Career_History!H29=TRUE,IF(A200&lt;Career_History!D29,0,MIN(A200,Career_History!E29)-Career_History!D29+1),0))/365.2425</f>
        <v>25.495390049076981</v>
      </c>
      <c r="AF200" s="9">
        <f>SUM(IF(Career_History!G30=TRUE,IF(A200&lt;Career_History!D30,0,MIN(A200,Career_History!E30)-Career_History!D30+1),0),IF(Career_History!G31=TRUE,IF(A200&lt;Career_History!D31,0,MIN(A200,Career_History!E31)-Career_History!D31+1),0),IF(Career_History!G32=TRUE,IF(A200&lt;Career_History!D32,0,MIN(A200,Career_History!E32)-Career_History!D32+1),0))/365.2425</f>
        <v>30.998583133123883</v>
      </c>
      <c r="AG200" s="9">
        <f>SUM(IF(Career_History!I30=TRUE,IF(A200&lt;Career_History!D30,0,MIN(A200,Career_History!E30)-Career_History!D30+1),0),IF(Career_History!I31=TRUE,IF(A200&lt;Career_History!D31,0,MIN(A200,Career_History!E31)-Career_History!D31+1),0),IF(Career_History!I32=TRUE,IF(A200&lt;Career_History!D32,0,MIN(A200,Career_History!E32)-Career_History!D32+1),0))/365.2425</f>
        <v>0</v>
      </c>
      <c r="AH200" s="9">
        <f>SUM(IF(Career_History!H30=TRUE,IF(A200&lt;Career_History!D30,0,MIN(A200,Career_History!E30)-Career_History!D30+1),0),IF(Career_History!H31=TRUE,IF(A200&lt;Career_History!D31,0,MIN(A200,Career_History!E31)-Career_History!D31+1),0),IF(Career_History!H32=TRUE,IF(A200&lt;Career_History!D32,0,MIN(A200,Career_History!E32)-Career_History!D32+1),0))/365.2425</f>
        <v>2.0944988603462082</v>
      </c>
      <c r="AI200" s="9">
        <f>SUM(IF(Career_History!G33=TRUE,IF(A200&lt;Career_History!D33,0,MIN(A200,Career_History!E33)-Career_History!D33+1),0),IF(Career_History!G34=TRUE,IF(A200&lt;Career_History!D34,0,MIN(A200,Career_History!E34)-Career_History!D34+1),0),IF(Career_History!G35=TRUE,IF(A200&lt;Career_History!D35,0,MIN(A200,Career_History!E35)-Career_History!D35+1),0),IF(Career_History!G36=TRUE,IF(A200&lt;Career_History!D36,0,MIN(A200,Career_History!E36)-Career_History!D36+1),0),IF(Career_History!G37=TRUE,IF(A200&lt;Career_History!D37,0,MIN(A200,Career_History!E37)-Career_History!D37+1),0),IF(Career_History!G38=TRUE,IF(A200&lt;Career_History!D38,0,MIN(A200,Career_History!E38)-Career_History!D38+1),0))/365.2425</f>
        <v>30.998583133123883</v>
      </c>
      <c r="AJ200" s="9">
        <f>SUM(IF(Career_History!I33=TRUE,IF(A200&lt;Career_History!D33,0,MIN(A200,Career_History!E33)-Career_History!D33+1),0),IF(Career_History!I34=TRUE,IF(A200&lt;Career_History!D34,0,MIN(A200,Career_History!E34)-Career_History!D34+1),0),IF(Career_History!I35=TRUE,IF(A200&lt;Career_History!D35,0,MIN(A200,Career_History!E35)-Career_History!D35+1),0),IF(Career_History!I36=TRUE,IF(A200&lt;Career_History!D36,0,MIN(A200,Career_History!E36)-Career_History!D36+1),0),IF(Career_History!I37=TRUE,IF(A200&lt;Career_History!D37,0,MIN(A200,Career_History!E37)-Career_History!D37+1),0),IF(Career_History!I38=TRUE,IF(A200&lt;Career_History!D38,0,MIN(A200,Career_History!E38)-Career_History!D38+1),0))/365.2425</f>
        <v>5.664729597459222</v>
      </c>
      <c r="AK200" s="9">
        <f>SUM(IF(Career_History!H33=TRUE,IF(A200&lt;Career_History!D33,0,MIN(A200,Career_History!E33)-Career_History!D33+1),0),IF(Career_History!H34=TRUE,IF(A200&lt;Career_History!D34,0,MIN(A200,Career_History!E34)-Career_History!D34+1),0),IF(Career_History!H35=TRUE,IF(A200&lt;Career_History!D35,0,MIN(A200,Career_History!E35)-Career_History!D35+1),0),IF(Career_History!H36=TRUE,IF(A200&lt;Career_History!D36,0,MIN(A200,Career_History!E36)-Career_History!D36+1),0),IF(Career_History!H37=TRUE,IF(A200&lt;Career_History!D37,0,MIN(A200,Career_History!E37)-Career_History!D37+1),0),IF(Career_History!H38=TRUE,IF(A200&lt;Career_History!D38,0,MIN(A200,Career_History!E38)-Career_History!D38+1),0))/365.2425</f>
        <v>25.333853535664662</v>
      </c>
      <c r="AL200" s="9">
        <f>SUM(IF(Career_History!G39=TRUE,IF(A200&lt;Career_History!D39,0,MIN(A200,Career_History!E39)-Career_History!D39+1),0),IF(Career_History!G40=TRUE,IF(A200&lt;Career_History!D40,0,MIN(A200,Career_History!E40)-Career_History!D40+1),0))/365.2425</f>
        <v>17.99900066394245</v>
      </c>
      <c r="AM200" s="9">
        <f>SUM(IF(Career_History!I39=TRUE,IF(A200&lt;Career_History!D39,0,MIN(A200,Career_History!E39)-Career_History!D39+1),0),IF(Career_History!I40=TRUE,IF(A200&lt;Career_History!D40,0,MIN(A200,Career_History!E40)-Career_History!D40+1),0))/365.2425</f>
        <v>0</v>
      </c>
      <c r="AN200" s="9">
        <f>SUM(IF(Career_History!H39=TRUE,IF(A200&lt;Career_History!D39,0,MIN(A200,Career_History!E39)-Career_History!D39+1),0),IF(Career_History!H40=TRUE,IF(A200&lt;Career_History!D40,0,MIN(A200,Career_History!E40)-Career_History!D40+1),0))/365.2425</f>
        <v>17.99900066394245</v>
      </c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</row>
    <row r="201" spans="1:67">
      <c r="A201" s="8">
        <v>40755</v>
      </c>
      <c r="B201" s="9">
        <f t="shared" si="9"/>
        <v>30.884138620231766</v>
      </c>
      <c r="C201" s="9">
        <f t="shared" si="10"/>
        <v>5.4341978274707898</v>
      </c>
      <c r="D201" s="9">
        <f t="shared" si="11"/>
        <v>21.469571586001081</v>
      </c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>
        <f>SUM(IF(Career_History!G16=TRUE,IF(A201&lt;Career_History!D16,0,MIN(A201,Career_History!E16)-Career_History!D16+1),0),IF(Career_History!G17=TRUE,IF(A201&lt;Career_History!D17,0,MIN(A201,Career_History!E17)-Career_History!D17+1),0))/365.2425</f>
        <v>36.085614352108529</v>
      </c>
      <c r="U201" s="9">
        <f>SUM(IF(Career_History!I16=TRUE,IF(A201&lt;Career_History!D16,0,MIN(A201,Career_History!E16)-Career_History!D16+1),0),IF(Career_History!I17=TRUE,IF(A201&lt;Career_History!D17,0,MIN(A201,Career_History!E17)-Career_History!D17+1),0))/365.2425</f>
        <v>21.506259539894728</v>
      </c>
      <c r="V201" s="9">
        <f>SUM(IF(Career_History!H16=TRUE,IF(A201&lt;Career_History!D16,0,MIN(A201,Career_History!E16)-Career_History!D16+1),0),IF(Career_History!H17=TRUE,IF(A201&lt;Career_History!D17,0,MIN(A201,Career_History!E17)-Career_History!D17+1),0))/365.2425</f>
        <v>36.085614352108529</v>
      </c>
      <c r="W201" s="9"/>
      <c r="X201" s="9"/>
      <c r="Y201" s="9"/>
      <c r="Z201" s="9"/>
      <c r="AA201" s="9"/>
      <c r="AB201" s="9"/>
      <c r="AC201" s="9">
        <f>SUM(IF(Career_History!G25=TRUE,IF(A201&lt;Career_History!D25,0,MIN(A201,Career_History!E25)-Career_History!D25+1),0),IF(Career_History!G26=TRUE,IF(A201&lt;Career_History!D26,0,MIN(A201,Career_History!E26)-Career_History!D26+1),0),IF(Career_History!G27=TRUE,IF(A201&lt;Career_History!D27,0,MIN(A201,Career_History!E27)-Career_History!D27+1),0),IF(Career_History!G28=TRUE,IF(A201&lt;Career_History!D28,0,MIN(A201,Career_History!E28)-Career_History!D28+1),0),IF(Career_History!G29=TRUE,IF(A201&lt;Career_History!D29,0,MIN(A201,Career_History!E29)-Career_History!D29+1),0))/365.2425</f>
        <v>38.084286467210141</v>
      </c>
      <c r="AD201" s="9">
        <f>SUM(IF(Career_History!I25=TRUE,IF(A201&lt;Career_History!D25,0,MIN(A201,Career_History!E25)-Career_History!D25+1),0),IF(Career_History!I26=TRUE,IF(A201&lt;Career_History!D26,0,MIN(A201,Career_History!E26)-Career_History!D26+1),0),IF(Career_History!I27=TRUE,IF(A201&lt;Career_History!D27,0,MIN(A201,Career_History!E27)-Career_History!D27+1),0),IF(Career_History!I28=TRUE,IF(A201&lt;Career_History!D28,0,MIN(A201,Career_History!E28)-Career_History!D28+1),0),IF(Career_History!I29=TRUE,IF(A201&lt;Career_History!D29,0,MIN(A201,Career_History!E29)-Career_History!D29+1),0))/365.2425</f>
        <v>0</v>
      </c>
      <c r="AE201" s="9">
        <f>SUM(IF(Career_History!H25=TRUE,IF(A201&lt;Career_History!D25,0,MIN(A201,Career_History!E25)-Career_History!D25+1),0),IF(Career_History!H26=TRUE,IF(A201&lt;Career_History!D26,0,MIN(A201,Career_History!E26)-Career_History!D26+1),0),IF(Career_History!H27=TRUE,IF(A201&lt;Career_History!D27,0,MIN(A201,Career_History!E27)-Career_History!D27+1),0),IF(Career_History!H28=TRUE,IF(A201&lt;Career_History!D28,0,MIN(A201,Career_History!E28)-Career_History!D28+1),0),IF(Career_History!H29=TRUE,IF(A201&lt;Career_History!D29,0,MIN(A201,Career_History!E29)-Career_History!D29+1),0))/365.2425</f>
        <v>25.580265166293625</v>
      </c>
      <c r="AF201" s="9">
        <f>SUM(IF(Career_History!G30=TRUE,IF(A201&lt;Career_History!D30,0,MIN(A201,Career_History!E30)-Career_History!D30+1),0),IF(Career_History!G31=TRUE,IF(A201&lt;Career_History!D31,0,MIN(A201,Career_History!E31)-Career_History!D31+1),0),IF(Career_History!G32=TRUE,IF(A201&lt;Career_History!D32,0,MIN(A201,Career_History!E32)-Career_History!D32+1),0))/365.2425</f>
        <v>31.083458250340527</v>
      </c>
      <c r="AG201" s="9">
        <f>SUM(IF(Career_History!I30=TRUE,IF(A201&lt;Career_History!D30,0,MIN(A201,Career_History!E30)-Career_History!D30+1),0),IF(Career_History!I31=TRUE,IF(A201&lt;Career_History!D31,0,MIN(A201,Career_History!E31)-Career_History!D31+1),0),IF(Career_History!I32=TRUE,IF(A201&lt;Career_History!D32,0,MIN(A201,Career_History!E32)-Career_History!D32+1),0))/365.2425</f>
        <v>0</v>
      </c>
      <c r="AH201" s="9">
        <f>SUM(IF(Career_History!H30=TRUE,IF(A201&lt;Career_History!D30,0,MIN(A201,Career_History!E30)-Career_History!D30+1),0),IF(Career_History!H31=TRUE,IF(A201&lt;Career_History!D31,0,MIN(A201,Career_History!E31)-Career_History!D31+1),0),IF(Career_History!H32=TRUE,IF(A201&lt;Career_History!D32,0,MIN(A201,Career_History!E32)-Career_History!D32+1),0))/365.2425</f>
        <v>2.179373977562852</v>
      </c>
      <c r="AI201" s="9">
        <f>SUM(IF(Career_History!G33=TRUE,IF(A201&lt;Career_History!D33,0,MIN(A201,Career_History!E33)-Career_History!D33+1),0),IF(Career_History!G34=TRUE,IF(A201&lt;Career_History!D34,0,MIN(A201,Career_History!E34)-Career_History!D34+1),0),IF(Career_History!G35=TRUE,IF(A201&lt;Career_History!D35,0,MIN(A201,Career_History!E35)-Career_History!D35+1),0),IF(Career_History!G36=TRUE,IF(A201&lt;Career_History!D36,0,MIN(A201,Career_History!E36)-Career_History!D36+1),0),IF(Career_History!G37=TRUE,IF(A201&lt;Career_History!D37,0,MIN(A201,Career_History!E37)-Career_History!D37+1),0),IF(Career_History!G38=TRUE,IF(A201&lt;Career_History!D38,0,MIN(A201,Career_History!E38)-Career_History!D38+1),0))/365.2425</f>
        <v>31.083458250340527</v>
      </c>
      <c r="AJ201" s="9">
        <f>SUM(IF(Career_History!I33=TRUE,IF(A201&lt;Career_History!D33,0,MIN(A201,Career_History!E33)-Career_History!D33+1),0),IF(Career_History!I34=TRUE,IF(A201&lt;Career_History!D34,0,MIN(A201,Career_History!E34)-Career_History!D34+1),0),IF(Career_History!I35=TRUE,IF(A201&lt;Career_History!D35,0,MIN(A201,Career_History!E35)-Career_History!D35+1),0),IF(Career_History!I36=TRUE,IF(A201&lt;Career_History!D36,0,MIN(A201,Career_History!E36)-Career_History!D36+1),0),IF(Career_History!I37=TRUE,IF(A201&lt;Career_History!D37,0,MIN(A201,Career_History!E37)-Career_History!D37+1),0),IF(Career_History!I38=TRUE,IF(A201&lt;Career_History!D38,0,MIN(A201,Career_History!E38)-Career_History!D38+1),0))/365.2425</f>
        <v>5.664729597459222</v>
      </c>
      <c r="AK201" s="9">
        <f>SUM(IF(Career_History!H33=TRUE,IF(A201&lt;Career_History!D33,0,MIN(A201,Career_History!E33)-Career_History!D33+1),0),IF(Career_History!H34=TRUE,IF(A201&lt;Career_History!D34,0,MIN(A201,Career_History!E34)-Career_History!D34+1),0),IF(Career_History!H35=TRUE,IF(A201&lt;Career_History!D35,0,MIN(A201,Career_History!E35)-Career_History!D35+1),0),IF(Career_History!H36=TRUE,IF(A201&lt;Career_History!D36,0,MIN(A201,Career_History!E36)-Career_History!D36+1),0),IF(Career_History!H37=TRUE,IF(A201&lt;Career_History!D37,0,MIN(A201,Career_History!E37)-Career_History!D37+1),0),IF(Career_History!H38=TRUE,IF(A201&lt;Career_History!D38,0,MIN(A201,Career_History!E38)-Career_History!D38+1),0))/365.2425</f>
        <v>25.418728652881306</v>
      </c>
      <c r="AL201" s="9">
        <f>SUM(IF(Career_History!G39=TRUE,IF(A201&lt;Career_History!D39,0,MIN(A201,Career_History!E39)-Career_History!D39+1),0),IF(Career_History!G40=TRUE,IF(A201&lt;Career_History!D40,0,MIN(A201,Career_History!E40)-Career_History!D40+1),0))/365.2425</f>
        <v>18.083875781159094</v>
      </c>
      <c r="AM201" s="9">
        <f>SUM(IF(Career_History!I39=TRUE,IF(A201&lt;Career_History!D39,0,MIN(A201,Career_History!E39)-Career_History!D39+1),0),IF(Career_History!I40=TRUE,IF(A201&lt;Career_History!D40,0,MIN(A201,Career_History!E40)-Career_History!D40+1),0))/365.2425</f>
        <v>0</v>
      </c>
      <c r="AN201" s="9">
        <f>SUM(IF(Career_History!H39=TRUE,IF(A201&lt;Career_History!D39,0,MIN(A201,Career_History!E39)-Career_History!D39+1),0),IF(Career_History!H40=TRUE,IF(A201&lt;Career_History!D40,0,MIN(A201,Career_History!E40)-Career_History!D40+1),0))/365.2425</f>
        <v>18.083875781159094</v>
      </c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</row>
    <row r="202" spans="1:67">
      <c r="A202" s="8">
        <v>40786</v>
      </c>
      <c r="B202" s="9">
        <f t="shared" si="9"/>
        <v>30.96901373744841</v>
      </c>
      <c r="C202" s="9">
        <f t="shared" si="10"/>
        <v>5.4341978274707898</v>
      </c>
      <c r="D202" s="9">
        <f t="shared" si="11"/>
        <v>21.554446703217728</v>
      </c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>
        <f>SUM(IF(Career_History!G16=TRUE,IF(A202&lt;Career_History!D16,0,MIN(A202,Career_History!E16)-Career_History!D16+1),0),IF(Career_History!G17=TRUE,IF(A202&lt;Career_History!D17,0,MIN(A202,Career_History!E17)-Career_History!D17+1),0))/365.2425</f>
        <v>36.170489469325176</v>
      </c>
      <c r="U202" s="9">
        <f>SUM(IF(Career_History!I16=TRUE,IF(A202&lt;Career_History!D16,0,MIN(A202,Career_History!E16)-Career_History!D16+1),0),IF(Career_History!I17=TRUE,IF(A202&lt;Career_History!D17,0,MIN(A202,Career_History!E17)-Career_History!D17+1),0))/365.2425</f>
        <v>21.506259539894728</v>
      </c>
      <c r="V202" s="9">
        <f>SUM(IF(Career_History!H16=TRUE,IF(A202&lt;Career_History!D16,0,MIN(A202,Career_History!E16)-Career_History!D16+1),0),IF(Career_History!H17=TRUE,IF(A202&lt;Career_History!D17,0,MIN(A202,Career_History!E17)-Career_History!D17+1),0))/365.2425</f>
        <v>36.170489469325176</v>
      </c>
      <c r="W202" s="9"/>
      <c r="X202" s="9"/>
      <c r="Y202" s="9"/>
      <c r="Z202" s="9"/>
      <c r="AA202" s="9"/>
      <c r="AB202" s="9"/>
      <c r="AC202" s="9">
        <f>SUM(IF(Career_History!G25=TRUE,IF(A202&lt;Career_History!D25,0,MIN(A202,Career_History!E25)-Career_History!D25+1),0),IF(Career_History!G26=TRUE,IF(A202&lt;Career_History!D26,0,MIN(A202,Career_History!E26)-Career_History!D26+1),0),IF(Career_History!G27=TRUE,IF(A202&lt;Career_History!D27,0,MIN(A202,Career_History!E27)-Career_History!D27+1),0),IF(Career_History!G28=TRUE,IF(A202&lt;Career_History!D28,0,MIN(A202,Career_History!E28)-Career_History!D28+1),0),IF(Career_History!G29=TRUE,IF(A202&lt;Career_History!D29,0,MIN(A202,Career_History!E29)-Career_History!D29+1),0))/365.2425</f>
        <v>38.169161584426782</v>
      </c>
      <c r="AD202" s="9">
        <f>SUM(IF(Career_History!I25=TRUE,IF(A202&lt;Career_History!D25,0,MIN(A202,Career_History!E25)-Career_History!D25+1),0),IF(Career_History!I26=TRUE,IF(A202&lt;Career_History!D26,0,MIN(A202,Career_History!E26)-Career_History!D26+1),0),IF(Career_History!I27=TRUE,IF(A202&lt;Career_History!D27,0,MIN(A202,Career_History!E27)-Career_History!D27+1),0),IF(Career_History!I28=TRUE,IF(A202&lt;Career_History!D28,0,MIN(A202,Career_History!E28)-Career_History!D28+1),0),IF(Career_History!I29=TRUE,IF(A202&lt;Career_History!D29,0,MIN(A202,Career_History!E29)-Career_History!D29+1),0))/365.2425</f>
        <v>0</v>
      </c>
      <c r="AE202" s="9">
        <f>SUM(IF(Career_History!H25=TRUE,IF(A202&lt;Career_History!D25,0,MIN(A202,Career_History!E25)-Career_History!D25+1),0),IF(Career_History!H26=TRUE,IF(A202&lt;Career_History!D26,0,MIN(A202,Career_History!E26)-Career_History!D26+1),0),IF(Career_History!H27=TRUE,IF(A202&lt;Career_History!D27,0,MIN(A202,Career_History!E27)-Career_History!D27+1),0),IF(Career_History!H28=TRUE,IF(A202&lt;Career_History!D28,0,MIN(A202,Career_History!E28)-Career_History!D28+1),0),IF(Career_History!H29=TRUE,IF(A202&lt;Career_History!D29,0,MIN(A202,Career_History!E29)-Career_History!D29+1),0))/365.2425</f>
        <v>25.665140283510269</v>
      </c>
      <c r="AF202" s="9">
        <f>SUM(IF(Career_History!G30=TRUE,IF(A202&lt;Career_History!D30,0,MIN(A202,Career_History!E30)-Career_History!D30+1),0),IF(Career_History!G31=TRUE,IF(A202&lt;Career_History!D31,0,MIN(A202,Career_History!E31)-Career_History!D31+1),0),IF(Career_History!G32=TRUE,IF(A202&lt;Career_History!D32,0,MIN(A202,Career_History!E32)-Career_History!D32+1),0))/365.2425</f>
        <v>31.168333367557171</v>
      </c>
      <c r="AG202" s="9">
        <f>SUM(IF(Career_History!I30=TRUE,IF(A202&lt;Career_History!D30,0,MIN(A202,Career_History!E30)-Career_History!D30+1),0),IF(Career_History!I31=TRUE,IF(A202&lt;Career_History!D31,0,MIN(A202,Career_History!E31)-Career_History!D31+1),0),IF(Career_History!I32=TRUE,IF(A202&lt;Career_History!D32,0,MIN(A202,Career_History!E32)-Career_History!D32+1),0))/365.2425</f>
        <v>0</v>
      </c>
      <c r="AH202" s="9">
        <f>SUM(IF(Career_History!H30=TRUE,IF(A202&lt;Career_History!D30,0,MIN(A202,Career_History!E30)-Career_History!D30+1),0),IF(Career_History!H31=TRUE,IF(A202&lt;Career_History!D31,0,MIN(A202,Career_History!E31)-Career_History!D31+1),0),IF(Career_History!H32=TRUE,IF(A202&lt;Career_History!D32,0,MIN(A202,Career_History!E32)-Career_History!D32+1),0))/365.2425</f>
        <v>2.2642490947794958</v>
      </c>
      <c r="AI202" s="9">
        <f>SUM(IF(Career_History!G33=TRUE,IF(A202&lt;Career_History!D33,0,MIN(A202,Career_History!E33)-Career_History!D33+1),0),IF(Career_History!G34=TRUE,IF(A202&lt;Career_History!D34,0,MIN(A202,Career_History!E34)-Career_History!D34+1),0),IF(Career_History!G35=TRUE,IF(A202&lt;Career_History!D35,0,MIN(A202,Career_History!E35)-Career_History!D35+1),0),IF(Career_History!G36=TRUE,IF(A202&lt;Career_History!D36,0,MIN(A202,Career_History!E36)-Career_History!D36+1),0),IF(Career_History!G37=TRUE,IF(A202&lt;Career_History!D37,0,MIN(A202,Career_History!E37)-Career_History!D37+1),0),IF(Career_History!G38=TRUE,IF(A202&lt;Career_History!D38,0,MIN(A202,Career_History!E38)-Career_History!D38+1),0))/365.2425</f>
        <v>31.168333367557171</v>
      </c>
      <c r="AJ202" s="9">
        <f>SUM(IF(Career_History!I33=TRUE,IF(A202&lt;Career_History!D33,0,MIN(A202,Career_History!E33)-Career_History!D33+1),0),IF(Career_History!I34=TRUE,IF(A202&lt;Career_History!D34,0,MIN(A202,Career_History!E34)-Career_History!D34+1),0),IF(Career_History!I35=TRUE,IF(A202&lt;Career_History!D35,0,MIN(A202,Career_History!E35)-Career_History!D35+1),0),IF(Career_History!I36=TRUE,IF(A202&lt;Career_History!D36,0,MIN(A202,Career_History!E36)-Career_History!D36+1),0),IF(Career_History!I37=TRUE,IF(A202&lt;Career_History!D37,0,MIN(A202,Career_History!E37)-Career_History!D37+1),0),IF(Career_History!I38=TRUE,IF(A202&lt;Career_History!D38,0,MIN(A202,Career_History!E38)-Career_History!D38+1),0))/365.2425</f>
        <v>5.664729597459222</v>
      </c>
      <c r="AK202" s="9">
        <f>SUM(IF(Career_History!H33=TRUE,IF(A202&lt;Career_History!D33,0,MIN(A202,Career_History!E33)-Career_History!D33+1),0),IF(Career_History!H34=TRUE,IF(A202&lt;Career_History!D34,0,MIN(A202,Career_History!E34)-Career_History!D34+1),0),IF(Career_History!H35=TRUE,IF(A202&lt;Career_History!D35,0,MIN(A202,Career_History!E35)-Career_History!D35+1),0),IF(Career_History!H36=TRUE,IF(A202&lt;Career_History!D36,0,MIN(A202,Career_History!E36)-Career_History!D36+1),0),IF(Career_History!H37=TRUE,IF(A202&lt;Career_History!D37,0,MIN(A202,Career_History!E37)-Career_History!D37+1),0),IF(Career_History!H38=TRUE,IF(A202&lt;Career_History!D38,0,MIN(A202,Career_History!E38)-Career_History!D38+1),0))/365.2425</f>
        <v>25.50360377009795</v>
      </c>
      <c r="AL202" s="9">
        <f>SUM(IF(Career_History!G39=TRUE,IF(A202&lt;Career_History!D39,0,MIN(A202,Career_History!E39)-Career_History!D39+1),0),IF(Career_History!G40=TRUE,IF(A202&lt;Career_History!D40,0,MIN(A202,Career_History!E40)-Career_History!D40+1),0))/365.2425</f>
        <v>18.168750898375738</v>
      </c>
      <c r="AM202" s="9">
        <f>SUM(IF(Career_History!I39=TRUE,IF(A202&lt;Career_History!D39,0,MIN(A202,Career_History!E39)-Career_History!D39+1),0),IF(Career_History!I40=TRUE,IF(A202&lt;Career_History!D40,0,MIN(A202,Career_History!E40)-Career_History!D40+1),0))/365.2425</f>
        <v>0</v>
      </c>
      <c r="AN202" s="9">
        <f>SUM(IF(Career_History!H39=TRUE,IF(A202&lt;Career_History!D39,0,MIN(A202,Career_History!E39)-Career_History!D39+1),0),IF(Career_History!H40=TRUE,IF(A202&lt;Career_History!D40,0,MIN(A202,Career_History!E40)-Career_History!D40+1),0))/365.2425</f>
        <v>18.168750898375738</v>
      </c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</row>
    <row r="203" spans="1:67">
      <c r="A203" s="8">
        <v>40816</v>
      </c>
      <c r="B203" s="9">
        <f t="shared" si="9"/>
        <v>31.051150947658066</v>
      </c>
      <c r="C203" s="9">
        <f t="shared" si="10"/>
        <v>5.4341978274707898</v>
      </c>
      <c r="D203" s="9">
        <f t="shared" si="11"/>
        <v>21.63658391342738</v>
      </c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>
        <f>SUM(IF(Career_History!G16=TRUE,IF(A203&lt;Career_History!D16,0,MIN(A203,Career_History!E16)-Career_History!D16+1),0),IF(Career_History!G17=TRUE,IF(A203&lt;Career_History!D17,0,MIN(A203,Career_History!E17)-Career_History!D17+1),0))/365.2425</f>
        <v>36.252626679534828</v>
      </c>
      <c r="U203" s="9">
        <f>SUM(IF(Career_History!I16=TRUE,IF(A203&lt;Career_History!D16,0,MIN(A203,Career_History!E16)-Career_History!D16+1),0),IF(Career_History!I17=TRUE,IF(A203&lt;Career_History!D17,0,MIN(A203,Career_History!E17)-Career_History!D17+1),0))/365.2425</f>
        <v>21.506259539894728</v>
      </c>
      <c r="V203" s="9">
        <f>SUM(IF(Career_History!H16=TRUE,IF(A203&lt;Career_History!D16,0,MIN(A203,Career_History!E16)-Career_History!D16+1),0),IF(Career_History!H17=TRUE,IF(A203&lt;Career_History!D17,0,MIN(A203,Career_History!E17)-Career_History!D17+1),0))/365.2425</f>
        <v>36.252626679534828</v>
      </c>
      <c r="W203" s="9"/>
      <c r="X203" s="9"/>
      <c r="Y203" s="9"/>
      <c r="Z203" s="9"/>
      <c r="AA203" s="9"/>
      <c r="AB203" s="9"/>
      <c r="AC203" s="9">
        <f>SUM(IF(Career_History!G25=TRUE,IF(A203&lt;Career_History!D25,0,MIN(A203,Career_History!E25)-Career_History!D25+1),0),IF(Career_History!G26=TRUE,IF(A203&lt;Career_History!D26,0,MIN(A203,Career_History!E26)-Career_History!D26+1),0),IF(Career_History!G27=TRUE,IF(A203&lt;Career_History!D27,0,MIN(A203,Career_History!E27)-Career_History!D27+1),0),IF(Career_History!G28=TRUE,IF(A203&lt;Career_History!D28,0,MIN(A203,Career_History!E28)-Career_History!D28+1),0),IF(Career_History!G29=TRUE,IF(A203&lt;Career_History!D29,0,MIN(A203,Career_History!E29)-Career_History!D29+1),0))/365.2425</f>
        <v>38.25129879463644</v>
      </c>
      <c r="AD203" s="9">
        <f>SUM(IF(Career_History!I25=TRUE,IF(A203&lt;Career_History!D25,0,MIN(A203,Career_History!E25)-Career_History!D25+1),0),IF(Career_History!I26=TRUE,IF(A203&lt;Career_History!D26,0,MIN(A203,Career_History!E26)-Career_History!D26+1),0),IF(Career_History!I27=TRUE,IF(A203&lt;Career_History!D27,0,MIN(A203,Career_History!E27)-Career_History!D27+1),0),IF(Career_History!I28=TRUE,IF(A203&lt;Career_History!D28,0,MIN(A203,Career_History!E28)-Career_History!D28+1),0),IF(Career_History!I29=TRUE,IF(A203&lt;Career_History!D29,0,MIN(A203,Career_History!E29)-Career_History!D29+1),0))/365.2425</f>
        <v>0</v>
      </c>
      <c r="AE203" s="9">
        <f>SUM(IF(Career_History!H25=TRUE,IF(A203&lt;Career_History!D25,0,MIN(A203,Career_History!E25)-Career_History!D25+1),0),IF(Career_History!H26=TRUE,IF(A203&lt;Career_History!D26,0,MIN(A203,Career_History!E26)-Career_History!D26+1),0),IF(Career_History!H27=TRUE,IF(A203&lt;Career_History!D27,0,MIN(A203,Career_History!E27)-Career_History!D27+1),0),IF(Career_History!H28=TRUE,IF(A203&lt;Career_History!D28,0,MIN(A203,Career_History!E28)-Career_History!D28+1),0),IF(Career_History!H29=TRUE,IF(A203&lt;Career_History!D29,0,MIN(A203,Career_History!E29)-Career_History!D29+1),0))/365.2425</f>
        <v>25.747277493719924</v>
      </c>
      <c r="AF203" s="9">
        <f>SUM(IF(Career_History!G30=TRUE,IF(A203&lt;Career_History!D30,0,MIN(A203,Career_History!E30)-Career_History!D30+1),0),IF(Career_History!G31=TRUE,IF(A203&lt;Career_History!D31,0,MIN(A203,Career_History!E31)-Career_History!D31+1),0),IF(Career_History!G32=TRUE,IF(A203&lt;Career_History!D32,0,MIN(A203,Career_History!E32)-Career_History!D32+1),0))/365.2425</f>
        <v>31.250470577766826</v>
      </c>
      <c r="AG203" s="9">
        <f>SUM(IF(Career_History!I30=TRUE,IF(A203&lt;Career_History!D30,0,MIN(A203,Career_History!E30)-Career_History!D30+1),0),IF(Career_History!I31=TRUE,IF(A203&lt;Career_History!D31,0,MIN(A203,Career_History!E31)-Career_History!D31+1),0),IF(Career_History!I32=TRUE,IF(A203&lt;Career_History!D32,0,MIN(A203,Career_History!E32)-Career_History!D32+1),0))/365.2425</f>
        <v>0</v>
      </c>
      <c r="AH203" s="9">
        <f>SUM(IF(Career_History!H30=TRUE,IF(A203&lt;Career_History!D30,0,MIN(A203,Career_History!E30)-Career_History!D30+1),0),IF(Career_History!H31=TRUE,IF(A203&lt;Career_History!D31,0,MIN(A203,Career_History!E31)-Career_History!D31+1),0),IF(Career_History!H32=TRUE,IF(A203&lt;Career_History!D32,0,MIN(A203,Career_History!E32)-Career_History!D32+1),0))/365.2425</f>
        <v>2.3463863049891511</v>
      </c>
      <c r="AI203" s="9">
        <f>SUM(IF(Career_History!G33=TRUE,IF(A203&lt;Career_History!D33,0,MIN(A203,Career_History!E33)-Career_History!D33+1),0),IF(Career_History!G34=TRUE,IF(A203&lt;Career_History!D34,0,MIN(A203,Career_History!E34)-Career_History!D34+1),0),IF(Career_History!G35=TRUE,IF(A203&lt;Career_History!D35,0,MIN(A203,Career_History!E35)-Career_History!D35+1),0),IF(Career_History!G36=TRUE,IF(A203&lt;Career_History!D36,0,MIN(A203,Career_History!E36)-Career_History!D36+1),0),IF(Career_History!G37=TRUE,IF(A203&lt;Career_History!D37,0,MIN(A203,Career_History!E37)-Career_History!D37+1),0),IF(Career_History!G38=TRUE,IF(A203&lt;Career_History!D38,0,MIN(A203,Career_History!E38)-Career_History!D38+1),0))/365.2425</f>
        <v>31.250470577766826</v>
      </c>
      <c r="AJ203" s="9">
        <f>SUM(IF(Career_History!I33=TRUE,IF(A203&lt;Career_History!D33,0,MIN(A203,Career_History!E33)-Career_History!D33+1),0),IF(Career_History!I34=TRUE,IF(A203&lt;Career_History!D34,0,MIN(A203,Career_History!E34)-Career_History!D34+1),0),IF(Career_History!I35=TRUE,IF(A203&lt;Career_History!D35,0,MIN(A203,Career_History!E35)-Career_History!D35+1),0),IF(Career_History!I36=TRUE,IF(A203&lt;Career_History!D36,0,MIN(A203,Career_History!E36)-Career_History!D36+1),0),IF(Career_History!I37=TRUE,IF(A203&lt;Career_History!D37,0,MIN(A203,Career_History!E37)-Career_History!D37+1),0),IF(Career_History!I38=TRUE,IF(A203&lt;Career_History!D38,0,MIN(A203,Career_History!E38)-Career_History!D38+1),0))/365.2425</f>
        <v>5.664729597459222</v>
      </c>
      <c r="AK203" s="9">
        <f>SUM(IF(Career_History!H33=TRUE,IF(A203&lt;Career_History!D33,0,MIN(A203,Career_History!E33)-Career_History!D33+1),0),IF(Career_History!H34=TRUE,IF(A203&lt;Career_History!D34,0,MIN(A203,Career_History!E34)-Career_History!D34+1),0),IF(Career_History!H35=TRUE,IF(A203&lt;Career_History!D35,0,MIN(A203,Career_History!E35)-Career_History!D35+1),0),IF(Career_History!H36=TRUE,IF(A203&lt;Career_History!D36,0,MIN(A203,Career_History!E36)-Career_History!D36+1),0),IF(Career_History!H37=TRUE,IF(A203&lt;Career_History!D37,0,MIN(A203,Career_History!E37)-Career_History!D37+1),0),IF(Career_History!H38=TRUE,IF(A203&lt;Career_History!D38,0,MIN(A203,Career_History!E38)-Career_History!D38+1),0))/365.2425</f>
        <v>25.585740980307602</v>
      </c>
      <c r="AL203" s="9">
        <f>SUM(IF(Career_History!G39=TRUE,IF(A203&lt;Career_History!D39,0,MIN(A203,Career_History!E39)-Career_History!D39+1),0),IF(Career_History!G40=TRUE,IF(A203&lt;Career_History!D40,0,MIN(A203,Career_History!E40)-Career_History!D40+1),0))/365.2425</f>
        <v>18.250888108585393</v>
      </c>
      <c r="AM203" s="9">
        <f>SUM(IF(Career_History!I39=TRUE,IF(A203&lt;Career_History!D39,0,MIN(A203,Career_History!E39)-Career_History!D39+1),0),IF(Career_History!I40=TRUE,IF(A203&lt;Career_History!D40,0,MIN(A203,Career_History!E40)-Career_History!D40+1),0))/365.2425</f>
        <v>0</v>
      </c>
      <c r="AN203" s="9">
        <f>SUM(IF(Career_History!H39=TRUE,IF(A203&lt;Career_History!D39,0,MIN(A203,Career_History!E39)-Career_History!D39+1),0),IF(Career_History!H40=TRUE,IF(A203&lt;Career_History!D40,0,MIN(A203,Career_History!E40)-Career_History!D40+1),0))/365.2425</f>
        <v>18.250888108585393</v>
      </c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</row>
    <row r="204" spans="1:67">
      <c r="A204" s="8">
        <v>40847</v>
      </c>
      <c r="B204" s="9">
        <f t="shared" si="9"/>
        <v>31.136026064874706</v>
      </c>
      <c r="C204" s="9">
        <f t="shared" si="10"/>
        <v>5.4341978274707898</v>
      </c>
      <c r="D204" s="9">
        <f t="shared" si="11"/>
        <v>21.721459030644024</v>
      </c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>
        <f>SUM(IF(Career_History!G16=TRUE,IF(A204&lt;Career_History!D16,0,MIN(A204,Career_History!E16)-Career_History!D16+1),0),IF(Career_History!G17=TRUE,IF(A204&lt;Career_History!D17,0,MIN(A204,Career_History!E17)-Career_History!D17+1),0))/365.2425</f>
        <v>36.337501796751475</v>
      </c>
      <c r="U204" s="9">
        <f>SUM(IF(Career_History!I16=TRUE,IF(A204&lt;Career_History!D16,0,MIN(A204,Career_History!E16)-Career_History!D16+1),0),IF(Career_History!I17=TRUE,IF(A204&lt;Career_History!D17,0,MIN(A204,Career_History!E17)-Career_History!D17+1),0))/365.2425</f>
        <v>21.506259539894728</v>
      </c>
      <c r="V204" s="9">
        <f>SUM(IF(Career_History!H16=TRUE,IF(A204&lt;Career_History!D16,0,MIN(A204,Career_History!E16)-Career_History!D16+1),0),IF(Career_History!H17=TRUE,IF(A204&lt;Career_History!D17,0,MIN(A204,Career_History!E17)-Career_History!D17+1),0))/365.2425</f>
        <v>36.337501796751475</v>
      </c>
      <c r="W204" s="9"/>
      <c r="X204" s="9"/>
      <c r="Y204" s="9"/>
      <c r="Z204" s="9"/>
      <c r="AA204" s="9"/>
      <c r="AB204" s="9"/>
      <c r="AC204" s="9">
        <f>SUM(IF(Career_History!G25=TRUE,IF(A204&lt;Career_History!D25,0,MIN(A204,Career_History!E25)-Career_History!D25+1),0),IF(Career_History!G26=TRUE,IF(A204&lt;Career_History!D26,0,MIN(A204,Career_History!E26)-Career_History!D26+1),0),IF(Career_History!G27=TRUE,IF(A204&lt;Career_History!D27,0,MIN(A204,Career_History!E27)-Career_History!D27+1),0),IF(Career_History!G28=TRUE,IF(A204&lt;Career_History!D28,0,MIN(A204,Career_History!E28)-Career_History!D28+1),0),IF(Career_History!G29=TRUE,IF(A204&lt;Career_History!D29,0,MIN(A204,Career_History!E29)-Career_History!D29+1),0))/365.2425</f>
        <v>38.336173911853081</v>
      </c>
      <c r="AD204" s="9">
        <f>SUM(IF(Career_History!I25=TRUE,IF(A204&lt;Career_History!D25,0,MIN(A204,Career_History!E25)-Career_History!D25+1),0),IF(Career_History!I26=TRUE,IF(A204&lt;Career_History!D26,0,MIN(A204,Career_History!E26)-Career_History!D26+1),0),IF(Career_History!I27=TRUE,IF(A204&lt;Career_History!D27,0,MIN(A204,Career_History!E27)-Career_History!D27+1),0),IF(Career_History!I28=TRUE,IF(A204&lt;Career_History!D28,0,MIN(A204,Career_History!E28)-Career_History!D28+1),0),IF(Career_History!I29=TRUE,IF(A204&lt;Career_History!D29,0,MIN(A204,Career_History!E29)-Career_History!D29+1),0))/365.2425</f>
        <v>0</v>
      </c>
      <c r="AE204" s="9">
        <f>SUM(IF(Career_History!H25=TRUE,IF(A204&lt;Career_History!D25,0,MIN(A204,Career_History!E25)-Career_History!D25+1),0),IF(Career_History!H26=TRUE,IF(A204&lt;Career_History!D26,0,MIN(A204,Career_History!E26)-Career_History!D26+1),0),IF(Career_History!H27=TRUE,IF(A204&lt;Career_History!D27,0,MIN(A204,Career_History!E27)-Career_History!D27+1),0),IF(Career_History!H28=TRUE,IF(A204&lt;Career_History!D28,0,MIN(A204,Career_History!E28)-Career_History!D28+1),0),IF(Career_History!H29=TRUE,IF(A204&lt;Career_History!D29,0,MIN(A204,Career_History!E29)-Career_History!D29+1),0))/365.2425</f>
        <v>25.832152610936568</v>
      </c>
      <c r="AF204" s="9">
        <f>SUM(IF(Career_History!G30=TRUE,IF(A204&lt;Career_History!D30,0,MIN(A204,Career_History!E30)-Career_History!D30+1),0),IF(Career_History!G31=TRUE,IF(A204&lt;Career_History!D31,0,MIN(A204,Career_History!E31)-Career_History!D31+1),0),IF(Career_History!G32=TRUE,IF(A204&lt;Career_History!D32,0,MIN(A204,Career_History!E32)-Career_History!D32+1),0))/365.2425</f>
        <v>31.33534569498347</v>
      </c>
      <c r="AG204" s="9">
        <f>SUM(IF(Career_History!I30=TRUE,IF(A204&lt;Career_History!D30,0,MIN(A204,Career_History!E30)-Career_History!D30+1),0),IF(Career_History!I31=TRUE,IF(A204&lt;Career_History!D31,0,MIN(A204,Career_History!E31)-Career_History!D31+1),0),IF(Career_History!I32=TRUE,IF(A204&lt;Career_History!D32,0,MIN(A204,Career_History!E32)-Career_History!D32+1),0))/365.2425</f>
        <v>0</v>
      </c>
      <c r="AH204" s="9">
        <f>SUM(IF(Career_History!H30=TRUE,IF(A204&lt;Career_History!D30,0,MIN(A204,Career_History!E30)-Career_History!D30+1),0),IF(Career_History!H31=TRUE,IF(A204&lt;Career_History!D31,0,MIN(A204,Career_History!E31)-Career_History!D31+1),0),IF(Career_History!H32=TRUE,IF(A204&lt;Career_History!D32,0,MIN(A204,Career_History!E32)-Career_History!D32+1),0))/365.2425</f>
        <v>2.4312614222057949</v>
      </c>
      <c r="AI204" s="9">
        <f>SUM(IF(Career_History!G33=TRUE,IF(A204&lt;Career_History!D33,0,MIN(A204,Career_History!E33)-Career_History!D33+1),0),IF(Career_History!G34=TRUE,IF(A204&lt;Career_History!D34,0,MIN(A204,Career_History!E34)-Career_History!D34+1),0),IF(Career_History!G35=TRUE,IF(A204&lt;Career_History!D35,0,MIN(A204,Career_History!E35)-Career_History!D35+1),0),IF(Career_History!G36=TRUE,IF(A204&lt;Career_History!D36,0,MIN(A204,Career_History!E36)-Career_History!D36+1),0),IF(Career_History!G37=TRUE,IF(A204&lt;Career_History!D37,0,MIN(A204,Career_History!E37)-Career_History!D37+1),0),IF(Career_History!G38=TRUE,IF(A204&lt;Career_History!D38,0,MIN(A204,Career_History!E38)-Career_History!D38+1),0))/365.2425</f>
        <v>31.33534569498347</v>
      </c>
      <c r="AJ204" s="9">
        <f>SUM(IF(Career_History!I33=TRUE,IF(A204&lt;Career_History!D33,0,MIN(A204,Career_History!E33)-Career_History!D33+1),0),IF(Career_History!I34=TRUE,IF(A204&lt;Career_History!D34,0,MIN(A204,Career_History!E34)-Career_History!D34+1),0),IF(Career_History!I35=TRUE,IF(A204&lt;Career_History!D35,0,MIN(A204,Career_History!E35)-Career_History!D35+1),0),IF(Career_History!I36=TRUE,IF(A204&lt;Career_History!D36,0,MIN(A204,Career_History!E36)-Career_History!D36+1),0),IF(Career_History!I37=TRUE,IF(A204&lt;Career_History!D37,0,MIN(A204,Career_History!E37)-Career_History!D37+1),0),IF(Career_History!I38=TRUE,IF(A204&lt;Career_History!D38,0,MIN(A204,Career_History!E38)-Career_History!D38+1),0))/365.2425</f>
        <v>5.664729597459222</v>
      </c>
      <c r="AK204" s="9">
        <f>SUM(IF(Career_History!H33=TRUE,IF(A204&lt;Career_History!D33,0,MIN(A204,Career_History!E33)-Career_History!D33+1),0),IF(Career_History!H34=TRUE,IF(A204&lt;Career_History!D34,0,MIN(A204,Career_History!E34)-Career_History!D34+1),0),IF(Career_History!H35=TRUE,IF(A204&lt;Career_History!D35,0,MIN(A204,Career_History!E35)-Career_History!D35+1),0),IF(Career_History!H36=TRUE,IF(A204&lt;Career_History!D36,0,MIN(A204,Career_History!E36)-Career_History!D36+1),0),IF(Career_History!H37=TRUE,IF(A204&lt;Career_History!D37,0,MIN(A204,Career_History!E37)-Career_History!D37+1),0),IF(Career_History!H38=TRUE,IF(A204&lt;Career_History!D38,0,MIN(A204,Career_History!E38)-Career_History!D38+1),0))/365.2425</f>
        <v>25.670616097524245</v>
      </c>
      <c r="AL204" s="9">
        <f>SUM(IF(Career_History!G39=TRUE,IF(A204&lt;Career_History!D39,0,MIN(A204,Career_History!E39)-Career_History!D39+1),0),IF(Career_History!G40=TRUE,IF(A204&lt;Career_History!D40,0,MIN(A204,Career_History!E40)-Career_History!D40+1),0))/365.2425</f>
        <v>18.335763225802037</v>
      </c>
      <c r="AM204" s="9">
        <f>SUM(IF(Career_History!I39=TRUE,IF(A204&lt;Career_History!D39,0,MIN(A204,Career_History!E39)-Career_History!D39+1),0),IF(Career_History!I40=TRUE,IF(A204&lt;Career_History!D40,0,MIN(A204,Career_History!E40)-Career_History!D40+1),0))/365.2425</f>
        <v>0</v>
      </c>
      <c r="AN204" s="9">
        <f>SUM(IF(Career_History!H39=TRUE,IF(A204&lt;Career_History!D39,0,MIN(A204,Career_History!E39)-Career_History!D39+1),0),IF(Career_History!H40=TRUE,IF(A204&lt;Career_History!D40,0,MIN(A204,Career_History!E40)-Career_History!D40+1),0))/365.2425</f>
        <v>18.335763225802037</v>
      </c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</row>
    <row r="205" spans="1:67">
      <c r="A205" s="8">
        <v>40877</v>
      </c>
      <c r="B205" s="9">
        <f t="shared" si="9"/>
        <v>31.218163275084361</v>
      </c>
      <c r="C205" s="9">
        <f t="shared" si="10"/>
        <v>5.4341978274707898</v>
      </c>
      <c r="D205" s="9">
        <f t="shared" si="11"/>
        <v>21.803596240853675</v>
      </c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>
        <f>SUM(IF(Career_History!G16=TRUE,IF(A205&lt;Career_History!D16,0,MIN(A205,Career_History!E16)-Career_History!D16+1),0),IF(Career_History!G17=TRUE,IF(A205&lt;Career_History!D17,0,MIN(A205,Career_History!E17)-Career_History!D17+1),0))/365.2425</f>
        <v>36.419639006961127</v>
      </c>
      <c r="U205" s="9">
        <f>SUM(IF(Career_History!I16=TRUE,IF(A205&lt;Career_History!D16,0,MIN(A205,Career_History!E16)-Career_History!D16+1),0),IF(Career_History!I17=TRUE,IF(A205&lt;Career_History!D17,0,MIN(A205,Career_History!E17)-Career_History!D17+1),0))/365.2425</f>
        <v>21.506259539894728</v>
      </c>
      <c r="V205" s="9">
        <f>SUM(IF(Career_History!H16=TRUE,IF(A205&lt;Career_History!D16,0,MIN(A205,Career_History!E16)-Career_History!D16+1),0),IF(Career_History!H17=TRUE,IF(A205&lt;Career_History!D17,0,MIN(A205,Career_History!E17)-Career_History!D17+1),0))/365.2425</f>
        <v>36.419639006961127</v>
      </c>
      <c r="W205" s="9"/>
      <c r="X205" s="9"/>
      <c r="Y205" s="9"/>
      <c r="Z205" s="9"/>
      <c r="AA205" s="9"/>
      <c r="AB205" s="9"/>
      <c r="AC205" s="9">
        <f>SUM(IF(Career_History!G25=TRUE,IF(A205&lt;Career_History!D25,0,MIN(A205,Career_History!E25)-Career_History!D25+1),0),IF(Career_History!G26=TRUE,IF(A205&lt;Career_History!D26,0,MIN(A205,Career_History!E26)-Career_History!D26+1),0),IF(Career_History!G27=TRUE,IF(A205&lt;Career_History!D27,0,MIN(A205,Career_History!E27)-Career_History!D27+1),0),IF(Career_History!G28=TRUE,IF(A205&lt;Career_History!D28,0,MIN(A205,Career_History!E28)-Career_History!D28+1),0),IF(Career_History!G29=TRUE,IF(A205&lt;Career_History!D29,0,MIN(A205,Career_History!E29)-Career_History!D29+1),0))/365.2425</f>
        <v>38.41831112206274</v>
      </c>
      <c r="AD205" s="9">
        <f>SUM(IF(Career_History!I25=TRUE,IF(A205&lt;Career_History!D25,0,MIN(A205,Career_History!E25)-Career_History!D25+1),0),IF(Career_History!I26=TRUE,IF(A205&lt;Career_History!D26,0,MIN(A205,Career_History!E26)-Career_History!D26+1),0),IF(Career_History!I27=TRUE,IF(A205&lt;Career_History!D27,0,MIN(A205,Career_History!E27)-Career_History!D27+1),0),IF(Career_History!I28=TRUE,IF(A205&lt;Career_History!D28,0,MIN(A205,Career_History!E28)-Career_History!D28+1),0),IF(Career_History!I29=TRUE,IF(A205&lt;Career_History!D29,0,MIN(A205,Career_History!E29)-Career_History!D29+1),0))/365.2425</f>
        <v>0</v>
      </c>
      <c r="AE205" s="9">
        <f>SUM(IF(Career_History!H25=TRUE,IF(A205&lt;Career_History!D25,0,MIN(A205,Career_History!E25)-Career_History!D25+1),0),IF(Career_History!H26=TRUE,IF(A205&lt;Career_History!D26,0,MIN(A205,Career_History!E26)-Career_History!D26+1),0),IF(Career_History!H27=TRUE,IF(A205&lt;Career_History!D27,0,MIN(A205,Career_History!E27)-Career_History!D27+1),0),IF(Career_History!H28=TRUE,IF(A205&lt;Career_History!D28,0,MIN(A205,Career_History!E28)-Career_History!D28+1),0),IF(Career_History!H29=TRUE,IF(A205&lt;Career_History!D29,0,MIN(A205,Career_History!E29)-Career_History!D29+1),0))/365.2425</f>
        <v>25.914289821146223</v>
      </c>
      <c r="AF205" s="9">
        <f>SUM(IF(Career_History!G30=TRUE,IF(A205&lt;Career_History!D30,0,MIN(A205,Career_History!E30)-Career_History!D30+1),0),IF(Career_History!G31=TRUE,IF(A205&lt;Career_History!D31,0,MIN(A205,Career_History!E31)-Career_History!D31+1),0),IF(Career_History!G32=TRUE,IF(A205&lt;Career_History!D32,0,MIN(A205,Career_History!E32)-Career_History!D32+1),0))/365.2425</f>
        <v>31.417482905193125</v>
      </c>
      <c r="AG205" s="9">
        <f>SUM(IF(Career_History!I30=TRUE,IF(A205&lt;Career_History!D30,0,MIN(A205,Career_History!E30)-Career_History!D30+1),0),IF(Career_History!I31=TRUE,IF(A205&lt;Career_History!D31,0,MIN(A205,Career_History!E31)-Career_History!D31+1),0),IF(Career_History!I32=TRUE,IF(A205&lt;Career_History!D32,0,MIN(A205,Career_History!E32)-Career_History!D32+1),0))/365.2425</f>
        <v>0</v>
      </c>
      <c r="AH205" s="9">
        <f>SUM(IF(Career_History!H30=TRUE,IF(A205&lt;Career_History!D30,0,MIN(A205,Career_History!E30)-Career_History!D30+1),0),IF(Career_History!H31=TRUE,IF(A205&lt;Career_History!D31,0,MIN(A205,Career_History!E31)-Career_History!D31+1),0),IF(Career_History!H32=TRUE,IF(A205&lt;Career_History!D32,0,MIN(A205,Career_History!E32)-Career_History!D32+1),0))/365.2425</f>
        <v>2.5133986324154498</v>
      </c>
      <c r="AI205" s="9">
        <f>SUM(IF(Career_History!G33=TRUE,IF(A205&lt;Career_History!D33,0,MIN(A205,Career_History!E33)-Career_History!D33+1),0),IF(Career_History!G34=TRUE,IF(A205&lt;Career_History!D34,0,MIN(A205,Career_History!E34)-Career_History!D34+1),0),IF(Career_History!G35=TRUE,IF(A205&lt;Career_History!D35,0,MIN(A205,Career_History!E35)-Career_History!D35+1),0),IF(Career_History!G36=TRUE,IF(A205&lt;Career_History!D36,0,MIN(A205,Career_History!E36)-Career_History!D36+1),0),IF(Career_History!G37=TRUE,IF(A205&lt;Career_History!D37,0,MIN(A205,Career_History!E37)-Career_History!D37+1),0),IF(Career_History!G38=TRUE,IF(A205&lt;Career_History!D38,0,MIN(A205,Career_History!E38)-Career_History!D38+1),0))/365.2425</f>
        <v>31.417482905193125</v>
      </c>
      <c r="AJ205" s="9">
        <f>SUM(IF(Career_History!I33=TRUE,IF(A205&lt;Career_History!D33,0,MIN(A205,Career_History!E33)-Career_History!D33+1),0),IF(Career_History!I34=TRUE,IF(A205&lt;Career_History!D34,0,MIN(A205,Career_History!E34)-Career_History!D34+1),0),IF(Career_History!I35=TRUE,IF(A205&lt;Career_History!D35,0,MIN(A205,Career_History!E35)-Career_History!D35+1),0),IF(Career_History!I36=TRUE,IF(A205&lt;Career_History!D36,0,MIN(A205,Career_History!E36)-Career_History!D36+1),0),IF(Career_History!I37=TRUE,IF(A205&lt;Career_History!D37,0,MIN(A205,Career_History!E37)-Career_History!D37+1),0),IF(Career_History!I38=TRUE,IF(A205&lt;Career_History!D38,0,MIN(A205,Career_History!E38)-Career_History!D38+1),0))/365.2425</f>
        <v>5.664729597459222</v>
      </c>
      <c r="AK205" s="9">
        <f>SUM(IF(Career_History!H33=TRUE,IF(A205&lt;Career_History!D33,0,MIN(A205,Career_History!E33)-Career_History!D33+1),0),IF(Career_History!H34=TRUE,IF(A205&lt;Career_History!D34,0,MIN(A205,Career_History!E34)-Career_History!D34+1),0),IF(Career_History!H35=TRUE,IF(A205&lt;Career_History!D35,0,MIN(A205,Career_History!E35)-Career_History!D35+1),0),IF(Career_History!H36=TRUE,IF(A205&lt;Career_History!D36,0,MIN(A205,Career_History!E36)-Career_History!D36+1),0),IF(Career_History!H37=TRUE,IF(A205&lt;Career_History!D37,0,MIN(A205,Career_History!E37)-Career_History!D37+1),0),IF(Career_History!H38=TRUE,IF(A205&lt;Career_History!D38,0,MIN(A205,Career_History!E38)-Career_History!D38+1),0))/365.2425</f>
        <v>25.752753307733901</v>
      </c>
      <c r="AL205" s="9">
        <f>SUM(IF(Career_History!G39=TRUE,IF(A205&lt;Career_History!D39,0,MIN(A205,Career_History!E39)-Career_History!D39+1),0),IF(Career_History!G40=TRUE,IF(A205&lt;Career_History!D40,0,MIN(A205,Career_History!E40)-Career_History!D40+1),0))/365.2425</f>
        <v>18.417900436011692</v>
      </c>
      <c r="AM205" s="9">
        <f>SUM(IF(Career_History!I39=TRUE,IF(A205&lt;Career_History!D39,0,MIN(A205,Career_History!E39)-Career_History!D39+1),0),IF(Career_History!I40=TRUE,IF(A205&lt;Career_History!D40,0,MIN(A205,Career_History!E40)-Career_History!D40+1),0))/365.2425</f>
        <v>0</v>
      </c>
      <c r="AN205" s="9">
        <f>SUM(IF(Career_History!H39=TRUE,IF(A205&lt;Career_History!D39,0,MIN(A205,Career_History!E39)-Career_History!D39+1),0),IF(Career_History!H40=TRUE,IF(A205&lt;Career_History!D40,0,MIN(A205,Career_History!E40)-Career_History!D40+1),0))/365.2425</f>
        <v>18.417900436011692</v>
      </c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9"/>
      <c r="BN205" s="9"/>
      <c r="BO205" s="9"/>
    </row>
    <row r="206" spans="1:67">
      <c r="A206" s="8">
        <v>40908</v>
      </c>
      <c r="B206" s="9">
        <f t="shared" si="9"/>
        <v>31.303038392301005</v>
      </c>
      <c r="C206" s="9">
        <f t="shared" si="10"/>
        <v>5.4341978274707898</v>
      </c>
      <c r="D206" s="9">
        <f t="shared" si="11"/>
        <v>21.888471358070326</v>
      </c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>
        <f>SUM(IF(Career_History!G16=TRUE,IF(A206&lt;Career_History!D16,0,MIN(A206,Career_History!E16)-Career_History!D16+1),0),IF(Career_History!G17=TRUE,IF(A206&lt;Career_History!D17,0,MIN(A206,Career_History!E17)-Career_History!D17+1),0))/365.2425</f>
        <v>36.504514124177774</v>
      </c>
      <c r="U206" s="9">
        <f>SUM(IF(Career_History!I16=TRUE,IF(A206&lt;Career_History!D16,0,MIN(A206,Career_History!E16)-Career_History!D16+1),0),IF(Career_History!I17=TRUE,IF(A206&lt;Career_History!D17,0,MIN(A206,Career_History!E17)-Career_History!D17+1),0))/365.2425</f>
        <v>21.506259539894728</v>
      </c>
      <c r="V206" s="9">
        <f>SUM(IF(Career_History!H16=TRUE,IF(A206&lt;Career_History!D16,0,MIN(A206,Career_History!E16)-Career_History!D16+1),0),IF(Career_History!H17=TRUE,IF(A206&lt;Career_History!D17,0,MIN(A206,Career_History!E17)-Career_History!D17+1),0))/365.2425</f>
        <v>36.504514124177774</v>
      </c>
      <c r="W206" s="9"/>
      <c r="X206" s="9"/>
      <c r="Y206" s="9"/>
      <c r="Z206" s="9"/>
      <c r="AA206" s="9"/>
      <c r="AB206" s="9"/>
      <c r="AC206" s="9">
        <f>SUM(IF(Career_History!G25=TRUE,IF(A206&lt;Career_History!D25,0,MIN(A206,Career_History!E25)-Career_History!D25+1),0),IF(Career_History!G26=TRUE,IF(A206&lt;Career_History!D26,0,MIN(A206,Career_History!E26)-Career_History!D26+1),0),IF(Career_History!G27=TRUE,IF(A206&lt;Career_History!D27,0,MIN(A206,Career_History!E27)-Career_History!D27+1),0),IF(Career_History!G28=TRUE,IF(A206&lt;Career_History!D28,0,MIN(A206,Career_History!E28)-Career_History!D28+1),0),IF(Career_History!G29=TRUE,IF(A206&lt;Career_History!D29,0,MIN(A206,Career_History!E29)-Career_History!D29+1),0))/365.2425</f>
        <v>38.50318623927938</v>
      </c>
      <c r="AD206" s="9">
        <f>SUM(IF(Career_History!I25=TRUE,IF(A206&lt;Career_History!D25,0,MIN(A206,Career_History!E25)-Career_History!D25+1),0),IF(Career_History!I26=TRUE,IF(A206&lt;Career_History!D26,0,MIN(A206,Career_History!E26)-Career_History!D26+1),0),IF(Career_History!I27=TRUE,IF(A206&lt;Career_History!D27,0,MIN(A206,Career_History!E27)-Career_History!D27+1),0),IF(Career_History!I28=TRUE,IF(A206&lt;Career_History!D28,0,MIN(A206,Career_History!E28)-Career_History!D28+1),0),IF(Career_History!I29=TRUE,IF(A206&lt;Career_History!D29,0,MIN(A206,Career_History!E29)-Career_History!D29+1),0))/365.2425</f>
        <v>0</v>
      </c>
      <c r="AE206" s="9">
        <f>SUM(IF(Career_History!H25=TRUE,IF(A206&lt;Career_History!D25,0,MIN(A206,Career_History!E25)-Career_History!D25+1),0),IF(Career_History!H26=TRUE,IF(A206&lt;Career_History!D26,0,MIN(A206,Career_History!E26)-Career_History!D26+1),0),IF(Career_History!H27=TRUE,IF(A206&lt;Career_History!D27,0,MIN(A206,Career_History!E27)-Career_History!D27+1),0),IF(Career_History!H28=TRUE,IF(A206&lt;Career_History!D28,0,MIN(A206,Career_History!E28)-Career_History!D28+1),0),IF(Career_History!H29=TRUE,IF(A206&lt;Career_History!D29,0,MIN(A206,Career_History!E29)-Career_History!D29+1),0))/365.2425</f>
        <v>25.999164938362867</v>
      </c>
      <c r="AF206" s="9">
        <f>SUM(IF(Career_History!G30=TRUE,IF(A206&lt;Career_History!D30,0,MIN(A206,Career_History!E30)-Career_History!D30+1),0),IF(Career_History!G31=TRUE,IF(A206&lt;Career_History!D31,0,MIN(A206,Career_History!E31)-Career_History!D31+1),0),IF(Career_History!G32=TRUE,IF(A206&lt;Career_History!D32,0,MIN(A206,Career_History!E32)-Career_History!D32+1),0))/365.2425</f>
        <v>31.502358022409769</v>
      </c>
      <c r="AG206" s="9">
        <f>SUM(IF(Career_History!I30=TRUE,IF(A206&lt;Career_History!D30,0,MIN(A206,Career_History!E30)-Career_History!D30+1),0),IF(Career_History!I31=TRUE,IF(A206&lt;Career_History!D31,0,MIN(A206,Career_History!E31)-Career_History!D31+1),0),IF(Career_History!I32=TRUE,IF(A206&lt;Career_History!D32,0,MIN(A206,Career_History!E32)-Career_History!D32+1),0))/365.2425</f>
        <v>0</v>
      </c>
      <c r="AH206" s="9">
        <f>SUM(IF(Career_History!H30=TRUE,IF(A206&lt;Career_History!D30,0,MIN(A206,Career_History!E30)-Career_History!D30+1),0),IF(Career_History!H31=TRUE,IF(A206&lt;Career_History!D31,0,MIN(A206,Career_History!E31)-Career_History!D31+1),0),IF(Career_History!H32=TRUE,IF(A206&lt;Career_History!D32,0,MIN(A206,Career_History!E32)-Career_History!D32+1),0))/365.2425</f>
        <v>2.5982737496320936</v>
      </c>
      <c r="AI206" s="9">
        <f>SUM(IF(Career_History!G33=TRUE,IF(A206&lt;Career_History!D33,0,MIN(A206,Career_History!E33)-Career_History!D33+1),0),IF(Career_History!G34=TRUE,IF(A206&lt;Career_History!D34,0,MIN(A206,Career_History!E34)-Career_History!D34+1),0),IF(Career_History!G35=TRUE,IF(A206&lt;Career_History!D35,0,MIN(A206,Career_History!E35)-Career_History!D35+1),0),IF(Career_History!G36=TRUE,IF(A206&lt;Career_History!D36,0,MIN(A206,Career_History!E36)-Career_History!D36+1),0),IF(Career_History!G37=TRUE,IF(A206&lt;Career_History!D37,0,MIN(A206,Career_History!E37)-Career_History!D37+1),0),IF(Career_History!G38=TRUE,IF(A206&lt;Career_History!D38,0,MIN(A206,Career_History!E38)-Career_History!D38+1),0))/365.2425</f>
        <v>31.502358022409769</v>
      </c>
      <c r="AJ206" s="9">
        <f>SUM(IF(Career_History!I33=TRUE,IF(A206&lt;Career_History!D33,0,MIN(A206,Career_History!E33)-Career_History!D33+1),0),IF(Career_History!I34=TRUE,IF(A206&lt;Career_History!D34,0,MIN(A206,Career_History!E34)-Career_History!D34+1),0),IF(Career_History!I35=TRUE,IF(A206&lt;Career_History!D35,0,MIN(A206,Career_History!E35)-Career_History!D35+1),0),IF(Career_History!I36=TRUE,IF(A206&lt;Career_History!D36,0,MIN(A206,Career_History!E36)-Career_History!D36+1),0),IF(Career_History!I37=TRUE,IF(A206&lt;Career_History!D37,0,MIN(A206,Career_History!E37)-Career_History!D37+1),0),IF(Career_History!I38=TRUE,IF(A206&lt;Career_History!D38,0,MIN(A206,Career_History!E38)-Career_History!D38+1),0))/365.2425</f>
        <v>5.664729597459222</v>
      </c>
      <c r="AK206" s="9">
        <f>SUM(IF(Career_History!H33=TRUE,IF(A206&lt;Career_History!D33,0,MIN(A206,Career_History!E33)-Career_History!D33+1),0),IF(Career_History!H34=TRUE,IF(A206&lt;Career_History!D34,0,MIN(A206,Career_History!E34)-Career_History!D34+1),0),IF(Career_History!H35=TRUE,IF(A206&lt;Career_History!D35,0,MIN(A206,Career_History!E35)-Career_History!D35+1),0),IF(Career_History!H36=TRUE,IF(A206&lt;Career_History!D36,0,MIN(A206,Career_History!E36)-Career_History!D36+1),0),IF(Career_History!H37=TRUE,IF(A206&lt;Career_History!D37,0,MIN(A206,Career_History!E37)-Career_History!D37+1),0),IF(Career_History!H38=TRUE,IF(A206&lt;Career_History!D38,0,MIN(A206,Career_History!E38)-Career_History!D38+1),0))/365.2425</f>
        <v>25.837628424950545</v>
      </c>
      <c r="AL206" s="9">
        <f>SUM(IF(Career_History!G39=TRUE,IF(A206&lt;Career_History!D39,0,MIN(A206,Career_History!E39)-Career_History!D39+1),0),IF(Career_History!G40=TRUE,IF(A206&lt;Career_History!D40,0,MIN(A206,Career_History!E40)-Career_History!D40+1),0))/365.2425</f>
        <v>18.502775553228336</v>
      </c>
      <c r="AM206" s="9">
        <f>SUM(IF(Career_History!I39=TRUE,IF(A206&lt;Career_History!D39,0,MIN(A206,Career_History!E39)-Career_History!D39+1),0),IF(Career_History!I40=TRUE,IF(A206&lt;Career_History!D40,0,MIN(A206,Career_History!E40)-Career_History!D40+1),0))/365.2425</f>
        <v>0</v>
      </c>
      <c r="AN206" s="9">
        <f>SUM(IF(Career_History!H39=TRUE,IF(A206&lt;Career_History!D39,0,MIN(A206,Career_History!E39)-Career_History!D39+1),0),IF(Career_History!H40=TRUE,IF(A206&lt;Career_History!D40,0,MIN(A206,Career_History!E40)-Career_History!D40+1),0))/365.2425</f>
        <v>18.502775553228336</v>
      </c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</row>
    <row r="207" spans="1:67">
      <c r="A207" s="8">
        <v>40939</v>
      </c>
      <c r="B207" s="9">
        <f t="shared" si="9"/>
        <v>31.387913509517652</v>
      </c>
      <c r="C207" s="9">
        <f t="shared" si="10"/>
        <v>5.4341978274707898</v>
      </c>
      <c r="D207" s="9">
        <f t="shared" si="11"/>
        <v>21.973346475286966</v>
      </c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>
        <f>SUM(IF(Career_History!G16=TRUE,IF(A207&lt;Career_History!D16,0,MIN(A207,Career_History!E16)-Career_History!D16+1),0),IF(Career_History!G17=TRUE,IF(A207&lt;Career_History!D17,0,MIN(A207,Career_History!E17)-Career_History!D17+1),0))/365.2425</f>
        <v>36.589389241394414</v>
      </c>
      <c r="U207" s="9">
        <f>SUM(IF(Career_History!I16=TRUE,IF(A207&lt;Career_History!D16,0,MIN(A207,Career_History!E16)-Career_History!D16+1),0),IF(Career_History!I17=TRUE,IF(A207&lt;Career_History!D17,0,MIN(A207,Career_History!E17)-Career_History!D17+1),0))/365.2425</f>
        <v>21.506259539894728</v>
      </c>
      <c r="V207" s="9">
        <f>SUM(IF(Career_History!H16=TRUE,IF(A207&lt;Career_History!D16,0,MIN(A207,Career_History!E16)-Career_History!D16+1),0),IF(Career_History!H17=TRUE,IF(A207&lt;Career_History!D17,0,MIN(A207,Career_History!E17)-Career_History!D17+1),0))/365.2425</f>
        <v>36.589389241394414</v>
      </c>
      <c r="W207" s="9"/>
      <c r="X207" s="9"/>
      <c r="Y207" s="9"/>
      <c r="Z207" s="9"/>
      <c r="AA207" s="9"/>
      <c r="AB207" s="9"/>
      <c r="AC207" s="9">
        <f>SUM(IF(Career_History!G25=TRUE,IF(A207&lt;Career_History!D25,0,MIN(A207,Career_History!E25)-Career_History!D25+1),0),IF(Career_History!G26=TRUE,IF(A207&lt;Career_History!D26,0,MIN(A207,Career_History!E26)-Career_History!D26+1),0),IF(Career_History!G27=TRUE,IF(A207&lt;Career_History!D27,0,MIN(A207,Career_History!E27)-Career_History!D27+1),0),IF(Career_History!G28=TRUE,IF(A207&lt;Career_History!D28,0,MIN(A207,Career_History!E28)-Career_History!D28+1),0),IF(Career_History!G29=TRUE,IF(A207&lt;Career_History!D29,0,MIN(A207,Career_History!E29)-Career_History!D29+1),0))/365.2425</f>
        <v>38.588061356496027</v>
      </c>
      <c r="AD207" s="9">
        <f>SUM(IF(Career_History!I25=TRUE,IF(A207&lt;Career_History!D25,0,MIN(A207,Career_History!E25)-Career_History!D25+1),0),IF(Career_History!I26=TRUE,IF(A207&lt;Career_History!D26,0,MIN(A207,Career_History!E26)-Career_History!D26+1),0),IF(Career_History!I27=TRUE,IF(A207&lt;Career_History!D27,0,MIN(A207,Career_History!E27)-Career_History!D27+1),0),IF(Career_History!I28=TRUE,IF(A207&lt;Career_History!D28,0,MIN(A207,Career_History!E28)-Career_History!D28+1),0),IF(Career_History!I29=TRUE,IF(A207&lt;Career_History!D29,0,MIN(A207,Career_History!E29)-Career_History!D29+1),0))/365.2425</f>
        <v>0</v>
      </c>
      <c r="AE207" s="9">
        <f>SUM(IF(Career_History!H25=TRUE,IF(A207&lt;Career_History!D25,0,MIN(A207,Career_History!E25)-Career_History!D25+1),0),IF(Career_History!H26=TRUE,IF(A207&lt;Career_History!D26,0,MIN(A207,Career_History!E26)-Career_History!D26+1),0),IF(Career_History!H27=TRUE,IF(A207&lt;Career_History!D27,0,MIN(A207,Career_History!E27)-Career_History!D27+1),0),IF(Career_History!H28=TRUE,IF(A207&lt;Career_History!D28,0,MIN(A207,Career_History!E28)-Career_History!D28+1),0),IF(Career_History!H29=TRUE,IF(A207&lt;Career_History!D29,0,MIN(A207,Career_History!E29)-Career_History!D29+1),0))/365.2425</f>
        <v>26.084040055579511</v>
      </c>
      <c r="AF207" s="9">
        <f>SUM(IF(Career_History!G30=TRUE,IF(A207&lt;Career_History!D30,0,MIN(A207,Career_History!E30)-Career_History!D30+1),0),IF(Career_History!G31=TRUE,IF(A207&lt;Career_History!D31,0,MIN(A207,Career_History!E31)-Career_History!D31+1),0),IF(Career_History!G32=TRUE,IF(A207&lt;Career_History!D32,0,MIN(A207,Career_History!E32)-Career_History!D32+1),0))/365.2425</f>
        <v>31.587233139626413</v>
      </c>
      <c r="AG207" s="9">
        <f>SUM(IF(Career_History!I30=TRUE,IF(A207&lt;Career_History!D30,0,MIN(A207,Career_History!E30)-Career_History!D30+1),0),IF(Career_History!I31=TRUE,IF(A207&lt;Career_History!D31,0,MIN(A207,Career_History!E31)-Career_History!D31+1),0),IF(Career_History!I32=TRUE,IF(A207&lt;Career_History!D32,0,MIN(A207,Career_History!E32)-Career_History!D32+1),0))/365.2425</f>
        <v>0</v>
      </c>
      <c r="AH207" s="9">
        <f>SUM(IF(Career_History!H30=TRUE,IF(A207&lt;Career_History!D30,0,MIN(A207,Career_History!E30)-Career_History!D30+1),0),IF(Career_History!H31=TRUE,IF(A207&lt;Career_History!D31,0,MIN(A207,Career_History!E31)-Career_History!D31+1),0),IF(Career_History!H32=TRUE,IF(A207&lt;Career_History!D32,0,MIN(A207,Career_History!E32)-Career_History!D32+1),0))/365.2425</f>
        <v>2.6831488668487373</v>
      </c>
      <c r="AI207" s="9">
        <f>SUM(IF(Career_History!G33=TRUE,IF(A207&lt;Career_History!D33,0,MIN(A207,Career_History!E33)-Career_History!D33+1),0),IF(Career_History!G34=TRUE,IF(A207&lt;Career_History!D34,0,MIN(A207,Career_History!E34)-Career_History!D34+1),0),IF(Career_History!G35=TRUE,IF(A207&lt;Career_History!D35,0,MIN(A207,Career_History!E35)-Career_History!D35+1),0),IF(Career_History!G36=TRUE,IF(A207&lt;Career_History!D36,0,MIN(A207,Career_History!E36)-Career_History!D36+1),0),IF(Career_History!G37=TRUE,IF(A207&lt;Career_History!D37,0,MIN(A207,Career_History!E37)-Career_History!D37+1),0),IF(Career_History!G38=TRUE,IF(A207&lt;Career_History!D38,0,MIN(A207,Career_History!E38)-Career_History!D38+1),0))/365.2425</f>
        <v>31.587233139626413</v>
      </c>
      <c r="AJ207" s="9">
        <f>SUM(IF(Career_History!I33=TRUE,IF(A207&lt;Career_History!D33,0,MIN(A207,Career_History!E33)-Career_History!D33+1),0),IF(Career_History!I34=TRUE,IF(A207&lt;Career_History!D34,0,MIN(A207,Career_History!E34)-Career_History!D34+1),0),IF(Career_History!I35=TRUE,IF(A207&lt;Career_History!D35,0,MIN(A207,Career_History!E35)-Career_History!D35+1),0),IF(Career_History!I36=TRUE,IF(A207&lt;Career_History!D36,0,MIN(A207,Career_History!E36)-Career_History!D36+1),0),IF(Career_History!I37=TRUE,IF(A207&lt;Career_History!D37,0,MIN(A207,Career_History!E37)-Career_History!D37+1),0),IF(Career_History!I38=TRUE,IF(A207&lt;Career_History!D38,0,MIN(A207,Career_History!E38)-Career_History!D38+1),0))/365.2425</f>
        <v>5.664729597459222</v>
      </c>
      <c r="AK207" s="9">
        <f>SUM(IF(Career_History!H33=TRUE,IF(A207&lt;Career_History!D33,0,MIN(A207,Career_History!E33)-Career_History!D33+1),0),IF(Career_History!H34=TRUE,IF(A207&lt;Career_History!D34,0,MIN(A207,Career_History!E34)-Career_History!D34+1),0),IF(Career_History!H35=TRUE,IF(A207&lt;Career_History!D35,0,MIN(A207,Career_History!E35)-Career_History!D35+1),0),IF(Career_History!H36=TRUE,IF(A207&lt;Career_History!D36,0,MIN(A207,Career_History!E36)-Career_History!D36+1),0),IF(Career_History!H37=TRUE,IF(A207&lt;Career_History!D37,0,MIN(A207,Career_History!E37)-Career_History!D37+1),0),IF(Career_History!H38=TRUE,IF(A207&lt;Career_History!D38,0,MIN(A207,Career_History!E38)-Career_History!D38+1),0))/365.2425</f>
        <v>25.922503542167188</v>
      </c>
      <c r="AL207" s="9">
        <f>SUM(IF(Career_History!G39=TRUE,IF(A207&lt;Career_History!D39,0,MIN(A207,Career_History!E39)-Career_History!D39+1),0),IF(Career_History!G40=TRUE,IF(A207&lt;Career_History!D40,0,MIN(A207,Career_History!E40)-Career_History!D40+1),0))/365.2425</f>
        <v>18.58765067044498</v>
      </c>
      <c r="AM207" s="9">
        <f>SUM(IF(Career_History!I39=TRUE,IF(A207&lt;Career_History!D39,0,MIN(A207,Career_History!E39)-Career_History!D39+1),0),IF(Career_History!I40=TRUE,IF(A207&lt;Career_History!D40,0,MIN(A207,Career_History!E40)-Career_History!D40+1),0))/365.2425</f>
        <v>0</v>
      </c>
      <c r="AN207" s="9">
        <f>SUM(IF(Career_History!H39=TRUE,IF(A207&lt;Career_History!D39,0,MIN(A207,Career_History!E39)-Career_History!D39+1),0),IF(Career_History!H40=TRUE,IF(A207&lt;Career_History!D40,0,MIN(A207,Career_History!E40)-Career_History!D40+1),0))/365.2425</f>
        <v>18.58765067044498</v>
      </c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</row>
    <row r="208" spans="1:67">
      <c r="A208" s="8">
        <v>40968</v>
      </c>
      <c r="B208" s="9">
        <f t="shared" si="9"/>
        <v>31.467312812720316</v>
      </c>
      <c r="C208" s="9">
        <f t="shared" si="10"/>
        <v>5.4341978274707898</v>
      </c>
      <c r="D208" s="9">
        <f t="shared" si="11"/>
        <v>22.052745778489633</v>
      </c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>
        <f>SUM(IF(Career_History!G16=TRUE,IF(A208&lt;Career_History!D16,0,MIN(A208,Career_History!E16)-Career_History!D16+1),0),IF(Career_History!G17=TRUE,IF(A208&lt;Career_History!D17,0,MIN(A208,Career_History!E17)-Career_History!D17+1),0))/365.2425</f>
        <v>36.668788544597085</v>
      </c>
      <c r="U208" s="9">
        <f>SUM(IF(Career_History!I16=TRUE,IF(A208&lt;Career_History!D16,0,MIN(A208,Career_History!E16)-Career_History!D16+1),0),IF(Career_History!I17=TRUE,IF(A208&lt;Career_History!D17,0,MIN(A208,Career_History!E17)-Career_History!D17+1),0))/365.2425</f>
        <v>21.506259539894728</v>
      </c>
      <c r="V208" s="9">
        <f>SUM(IF(Career_History!H16=TRUE,IF(A208&lt;Career_History!D16,0,MIN(A208,Career_History!E16)-Career_History!D16+1),0),IF(Career_History!H17=TRUE,IF(A208&lt;Career_History!D17,0,MIN(A208,Career_History!E17)-Career_History!D17+1),0))/365.2425</f>
        <v>36.668788544597085</v>
      </c>
      <c r="W208" s="9"/>
      <c r="X208" s="9"/>
      <c r="Y208" s="9"/>
      <c r="Z208" s="9"/>
      <c r="AA208" s="9"/>
      <c r="AB208" s="9"/>
      <c r="AC208" s="9">
        <f>SUM(IF(Career_History!G25=TRUE,IF(A208&lt;Career_History!D25,0,MIN(A208,Career_History!E25)-Career_History!D25+1),0),IF(Career_History!G26=TRUE,IF(A208&lt;Career_History!D26,0,MIN(A208,Career_History!E26)-Career_History!D26+1),0),IF(Career_History!G27=TRUE,IF(A208&lt;Career_History!D27,0,MIN(A208,Career_History!E27)-Career_History!D27+1),0),IF(Career_History!G28=TRUE,IF(A208&lt;Career_History!D28,0,MIN(A208,Career_History!E28)-Career_History!D28+1),0),IF(Career_History!G29=TRUE,IF(A208&lt;Career_History!D29,0,MIN(A208,Career_History!E29)-Career_History!D29+1),0))/365.2425</f>
        <v>38.667460659698691</v>
      </c>
      <c r="AD208" s="9">
        <f>SUM(IF(Career_History!I25=TRUE,IF(A208&lt;Career_History!D25,0,MIN(A208,Career_History!E25)-Career_History!D25+1),0),IF(Career_History!I26=TRUE,IF(A208&lt;Career_History!D26,0,MIN(A208,Career_History!E26)-Career_History!D26+1),0),IF(Career_History!I27=TRUE,IF(A208&lt;Career_History!D27,0,MIN(A208,Career_History!E27)-Career_History!D27+1),0),IF(Career_History!I28=TRUE,IF(A208&lt;Career_History!D28,0,MIN(A208,Career_History!E28)-Career_History!D28+1),0),IF(Career_History!I29=TRUE,IF(A208&lt;Career_History!D29,0,MIN(A208,Career_History!E29)-Career_History!D29+1),0))/365.2425</f>
        <v>0</v>
      </c>
      <c r="AE208" s="9">
        <f>SUM(IF(Career_History!H25=TRUE,IF(A208&lt;Career_History!D25,0,MIN(A208,Career_History!E25)-Career_History!D25+1),0),IF(Career_History!H26=TRUE,IF(A208&lt;Career_History!D26,0,MIN(A208,Career_History!E26)-Career_History!D26+1),0),IF(Career_History!H27=TRUE,IF(A208&lt;Career_History!D27,0,MIN(A208,Career_History!E27)-Career_History!D27+1),0),IF(Career_History!H28=TRUE,IF(A208&lt;Career_History!D28,0,MIN(A208,Career_History!E28)-Career_History!D28+1),0),IF(Career_History!H29=TRUE,IF(A208&lt;Career_History!D29,0,MIN(A208,Career_History!E29)-Career_History!D29+1),0))/365.2425</f>
        <v>26.163439358782178</v>
      </c>
      <c r="AF208" s="9">
        <f>SUM(IF(Career_History!G30=TRUE,IF(A208&lt;Career_History!D30,0,MIN(A208,Career_History!E30)-Career_History!D30+1),0),IF(Career_History!G31=TRUE,IF(A208&lt;Career_History!D31,0,MIN(A208,Career_History!E31)-Career_History!D31+1),0),IF(Career_History!G32=TRUE,IF(A208&lt;Career_History!D32,0,MIN(A208,Career_History!E32)-Career_History!D32+1),0))/365.2425</f>
        <v>31.66663244282908</v>
      </c>
      <c r="AG208" s="9">
        <f>SUM(IF(Career_History!I30=TRUE,IF(A208&lt;Career_History!D30,0,MIN(A208,Career_History!E30)-Career_History!D30+1),0),IF(Career_History!I31=TRUE,IF(A208&lt;Career_History!D31,0,MIN(A208,Career_History!E31)-Career_History!D31+1),0),IF(Career_History!I32=TRUE,IF(A208&lt;Career_History!D32,0,MIN(A208,Career_History!E32)-Career_History!D32+1),0))/365.2425</f>
        <v>0</v>
      </c>
      <c r="AH208" s="9">
        <f>SUM(IF(Career_History!H30=TRUE,IF(A208&lt;Career_History!D30,0,MIN(A208,Career_History!E30)-Career_History!D30+1),0),IF(Career_History!H31=TRUE,IF(A208&lt;Career_History!D31,0,MIN(A208,Career_History!E31)-Career_History!D31+1),0),IF(Career_History!H32=TRUE,IF(A208&lt;Career_History!D32,0,MIN(A208,Career_History!E32)-Career_History!D32+1),0))/365.2425</f>
        <v>2.7625481700514043</v>
      </c>
      <c r="AI208" s="9">
        <f>SUM(IF(Career_History!G33=TRUE,IF(A208&lt;Career_History!D33,0,MIN(A208,Career_History!E33)-Career_History!D33+1),0),IF(Career_History!G34=TRUE,IF(A208&lt;Career_History!D34,0,MIN(A208,Career_History!E34)-Career_History!D34+1),0),IF(Career_History!G35=TRUE,IF(A208&lt;Career_History!D35,0,MIN(A208,Career_History!E35)-Career_History!D35+1),0),IF(Career_History!G36=TRUE,IF(A208&lt;Career_History!D36,0,MIN(A208,Career_History!E36)-Career_History!D36+1),0),IF(Career_History!G37=TRUE,IF(A208&lt;Career_History!D37,0,MIN(A208,Career_History!E37)-Career_History!D37+1),0),IF(Career_History!G38=TRUE,IF(A208&lt;Career_History!D38,0,MIN(A208,Career_History!E38)-Career_History!D38+1),0))/365.2425</f>
        <v>31.66663244282908</v>
      </c>
      <c r="AJ208" s="9">
        <f>SUM(IF(Career_History!I33=TRUE,IF(A208&lt;Career_History!D33,0,MIN(A208,Career_History!E33)-Career_History!D33+1),0),IF(Career_History!I34=TRUE,IF(A208&lt;Career_History!D34,0,MIN(A208,Career_History!E34)-Career_History!D34+1),0),IF(Career_History!I35=TRUE,IF(A208&lt;Career_History!D35,0,MIN(A208,Career_History!E35)-Career_History!D35+1),0),IF(Career_History!I36=TRUE,IF(A208&lt;Career_History!D36,0,MIN(A208,Career_History!E36)-Career_History!D36+1),0),IF(Career_History!I37=TRUE,IF(A208&lt;Career_History!D37,0,MIN(A208,Career_History!E37)-Career_History!D37+1),0),IF(Career_History!I38=TRUE,IF(A208&lt;Career_History!D38,0,MIN(A208,Career_History!E38)-Career_History!D38+1),0))/365.2425</f>
        <v>5.664729597459222</v>
      </c>
      <c r="AK208" s="9">
        <f>SUM(IF(Career_History!H33=TRUE,IF(A208&lt;Career_History!D33,0,MIN(A208,Career_History!E33)-Career_History!D33+1),0),IF(Career_History!H34=TRUE,IF(A208&lt;Career_History!D34,0,MIN(A208,Career_History!E34)-Career_History!D34+1),0),IF(Career_History!H35=TRUE,IF(A208&lt;Career_History!D35,0,MIN(A208,Career_History!E35)-Career_History!D35+1),0),IF(Career_History!H36=TRUE,IF(A208&lt;Career_History!D36,0,MIN(A208,Career_History!E36)-Career_History!D36+1),0),IF(Career_History!H37=TRUE,IF(A208&lt;Career_History!D37,0,MIN(A208,Career_History!E37)-Career_History!D37+1),0),IF(Career_History!H38=TRUE,IF(A208&lt;Career_History!D38,0,MIN(A208,Career_History!E38)-Career_History!D38+1),0))/365.2425</f>
        <v>26.001902845369855</v>
      </c>
      <c r="AL208" s="9">
        <f>SUM(IF(Career_History!G39=TRUE,IF(A208&lt;Career_History!D39,0,MIN(A208,Career_History!E39)-Career_History!D39+1),0),IF(Career_History!G40=TRUE,IF(A208&lt;Career_History!D40,0,MIN(A208,Career_History!E40)-Career_History!D40+1),0))/365.2425</f>
        <v>18.667049973647643</v>
      </c>
      <c r="AM208" s="9">
        <f>SUM(IF(Career_History!I39=TRUE,IF(A208&lt;Career_History!D39,0,MIN(A208,Career_History!E39)-Career_History!D39+1),0),IF(Career_History!I40=TRUE,IF(A208&lt;Career_History!D40,0,MIN(A208,Career_History!E40)-Career_History!D40+1),0))/365.2425</f>
        <v>0</v>
      </c>
      <c r="AN208" s="9">
        <f>SUM(IF(Career_History!H39=TRUE,IF(A208&lt;Career_History!D39,0,MIN(A208,Career_History!E39)-Career_History!D39+1),0),IF(Career_History!H40=TRUE,IF(A208&lt;Career_History!D40,0,MIN(A208,Career_History!E40)-Career_History!D40+1),0))/365.2425</f>
        <v>18.667049973647643</v>
      </c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9"/>
      <c r="BN208" s="9"/>
      <c r="BO208" s="9"/>
    </row>
    <row r="209" spans="1:67">
      <c r="A209" s="8">
        <v>40999</v>
      </c>
      <c r="B209" s="9">
        <f t="shared" si="9"/>
        <v>31.552187929936963</v>
      </c>
      <c r="C209" s="9">
        <f t="shared" si="10"/>
        <v>5.4341978274707898</v>
      </c>
      <c r="D209" s="9">
        <f t="shared" si="11"/>
        <v>22.137620895706274</v>
      </c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>
        <f>SUM(IF(Career_History!G16=TRUE,IF(A209&lt;Career_History!D16,0,MIN(A209,Career_History!E16)-Career_History!D16+1),0),IF(Career_History!G17=TRUE,IF(A209&lt;Career_History!D17,0,MIN(A209,Career_History!E17)-Career_History!D17+1),0))/365.2425</f>
        <v>36.753663661813725</v>
      </c>
      <c r="U209" s="9">
        <f>SUM(IF(Career_History!I16=TRUE,IF(A209&lt;Career_History!D16,0,MIN(A209,Career_History!E16)-Career_History!D16+1),0),IF(Career_History!I17=TRUE,IF(A209&lt;Career_History!D17,0,MIN(A209,Career_History!E17)-Career_History!D17+1),0))/365.2425</f>
        <v>21.506259539894728</v>
      </c>
      <c r="V209" s="9">
        <f>SUM(IF(Career_History!H16=TRUE,IF(A209&lt;Career_History!D16,0,MIN(A209,Career_History!E16)-Career_History!D16+1),0),IF(Career_History!H17=TRUE,IF(A209&lt;Career_History!D17,0,MIN(A209,Career_History!E17)-Career_History!D17+1),0))/365.2425</f>
        <v>36.753663661813725</v>
      </c>
      <c r="W209" s="9"/>
      <c r="X209" s="9"/>
      <c r="Y209" s="9"/>
      <c r="Z209" s="9"/>
      <c r="AA209" s="9"/>
      <c r="AB209" s="9"/>
      <c r="AC209" s="9">
        <f>SUM(IF(Career_History!G25=TRUE,IF(A209&lt;Career_History!D25,0,MIN(A209,Career_History!E25)-Career_History!D25+1),0),IF(Career_History!G26=TRUE,IF(A209&lt;Career_History!D26,0,MIN(A209,Career_History!E26)-Career_History!D26+1),0),IF(Career_History!G27=TRUE,IF(A209&lt;Career_History!D27,0,MIN(A209,Career_History!E27)-Career_History!D27+1),0),IF(Career_History!G28=TRUE,IF(A209&lt;Career_History!D28,0,MIN(A209,Career_History!E28)-Career_History!D28+1),0),IF(Career_History!G29=TRUE,IF(A209&lt;Career_History!D29,0,MIN(A209,Career_History!E29)-Career_History!D29+1),0))/365.2425</f>
        <v>38.752335776915338</v>
      </c>
      <c r="AD209" s="9">
        <f>SUM(IF(Career_History!I25=TRUE,IF(A209&lt;Career_History!D25,0,MIN(A209,Career_History!E25)-Career_History!D25+1),0),IF(Career_History!I26=TRUE,IF(A209&lt;Career_History!D26,0,MIN(A209,Career_History!E26)-Career_History!D26+1),0),IF(Career_History!I27=TRUE,IF(A209&lt;Career_History!D27,0,MIN(A209,Career_History!E27)-Career_History!D27+1),0),IF(Career_History!I28=TRUE,IF(A209&lt;Career_History!D28,0,MIN(A209,Career_History!E28)-Career_History!D28+1),0),IF(Career_History!I29=TRUE,IF(A209&lt;Career_History!D29,0,MIN(A209,Career_History!E29)-Career_History!D29+1),0))/365.2425</f>
        <v>0</v>
      </c>
      <c r="AE209" s="9">
        <f>SUM(IF(Career_History!H25=TRUE,IF(A209&lt;Career_History!D25,0,MIN(A209,Career_History!E25)-Career_History!D25+1),0),IF(Career_History!H26=TRUE,IF(A209&lt;Career_History!D26,0,MIN(A209,Career_History!E26)-Career_History!D26+1),0),IF(Career_History!H27=TRUE,IF(A209&lt;Career_History!D27,0,MIN(A209,Career_History!E27)-Career_History!D27+1),0),IF(Career_History!H28=TRUE,IF(A209&lt;Career_History!D28,0,MIN(A209,Career_History!E28)-Career_History!D28+1),0),IF(Career_History!H29=TRUE,IF(A209&lt;Career_History!D29,0,MIN(A209,Career_History!E29)-Career_History!D29+1),0))/365.2425</f>
        <v>26.248314475998821</v>
      </c>
      <c r="AF209" s="9">
        <f>SUM(IF(Career_History!G30=TRUE,IF(A209&lt;Career_History!D30,0,MIN(A209,Career_History!E30)-Career_History!D30+1),0),IF(Career_History!G31=TRUE,IF(A209&lt;Career_History!D31,0,MIN(A209,Career_History!E31)-Career_History!D31+1),0),IF(Career_History!G32=TRUE,IF(A209&lt;Career_History!D32,0,MIN(A209,Career_History!E32)-Career_History!D32+1),0))/365.2425</f>
        <v>31.751507560045724</v>
      </c>
      <c r="AG209" s="9">
        <f>SUM(IF(Career_History!I30=TRUE,IF(A209&lt;Career_History!D30,0,MIN(A209,Career_History!E30)-Career_History!D30+1),0),IF(Career_History!I31=TRUE,IF(A209&lt;Career_History!D31,0,MIN(A209,Career_History!E31)-Career_History!D31+1),0),IF(Career_History!I32=TRUE,IF(A209&lt;Career_History!D32,0,MIN(A209,Career_History!E32)-Career_History!D32+1),0))/365.2425</f>
        <v>0</v>
      </c>
      <c r="AH209" s="9">
        <f>SUM(IF(Career_History!H30=TRUE,IF(A209&lt;Career_History!D30,0,MIN(A209,Career_History!E30)-Career_History!D30+1),0),IF(Career_History!H31=TRUE,IF(A209&lt;Career_History!D31,0,MIN(A209,Career_History!E31)-Career_History!D31+1),0),IF(Career_History!H32=TRUE,IF(A209&lt;Career_History!D32,0,MIN(A209,Career_History!E32)-Career_History!D32+1),0))/365.2425</f>
        <v>2.8474232872680481</v>
      </c>
      <c r="AI209" s="9">
        <f>SUM(IF(Career_History!G33=TRUE,IF(A209&lt;Career_History!D33,0,MIN(A209,Career_History!E33)-Career_History!D33+1),0),IF(Career_History!G34=TRUE,IF(A209&lt;Career_History!D34,0,MIN(A209,Career_History!E34)-Career_History!D34+1),0),IF(Career_History!G35=TRUE,IF(A209&lt;Career_History!D35,0,MIN(A209,Career_History!E35)-Career_History!D35+1),0),IF(Career_History!G36=TRUE,IF(A209&lt;Career_History!D36,0,MIN(A209,Career_History!E36)-Career_History!D36+1),0),IF(Career_History!G37=TRUE,IF(A209&lt;Career_History!D37,0,MIN(A209,Career_History!E37)-Career_History!D37+1),0),IF(Career_History!G38=TRUE,IF(A209&lt;Career_History!D38,0,MIN(A209,Career_History!E38)-Career_History!D38+1),0))/365.2425</f>
        <v>31.751507560045724</v>
      </c>
      <c r="AJ209" s="9">
        <f>SUM(IF(Career_History!I33=TRUE,IF(A209&lt;Career_History!D33,0,MIN(A209,Career_History!E33)-Career_History!D33+1),0),IF(Career_History!I34=TRUE,IF(A209&lt;Career_History!D34,0,MIN(A209,Career_History!E34)-Career_History!D34+1),0),IF(Career_History!I35=TRUE,IF(A209&lt;Career_History!D35,0,MIN(A209,Career_History!E35)-Career_History!D35+1),0),IF(Career_History!I36=TRUE,IF(A209&lt;Career_History!D36,0,MIN(A209,Career_History!E36)-Career_History!D36+1),0),IF(Career_History!I37=TRUE,IF(A209&lt;Career_History!D37,0,MIN(A209,Career_History!E37)-Career_History!D37+1),0),IF(Career_History!I38=TRUE,IF(A209&lt;Career_History!D38,0,MIN(A209,Career_History!E38)-Career_History!D38+1),0))/365.2425</f>
        <v>5.664729597459222</v>
      </c>
      <c r="AK209" s="9">
        <f>SUM(IF(Career_History!H33=TRUE,IF(A209&lt;Career_History!D33,0,MIN(A209,Career_History!E33)-Career_History!D33+1),0),IF(Career_History!H34=TRUE,IF(A209&lt;Career_History!D34,0,MIN(A209,Career_History!E34)-Career_History!D34+1),0),IF(Career_History!H35=TRUE,IF(A209&lt;Career_History!D35,0,MIN(A209,Career_History!E35)-Career_History!D35+1),0),IF(Career_History!H36=TRUE,IF(A209&lt;Career_History!D36,0,MIN(A209,Career_History!E36)-Career_History!D36+1),0),IF(Career_History!H37=TRUE,IF(A209&lt;Career_History!D37,0,MIN(A209,Career_History!E37)-Career_History!D37+1),0),IF(Career_History!H38=TRUE,IF(A209&lt;Career_History!D38,0,MIN(A209,Career_History!E38)-Career_History!D38+1),0))/365.2425</f>
        <v>26.086777962586499</v>
      </c>
      <c r="AL209" s="9">
        <f>SUM(IF(Career_History!G39=TRUE,IF(A209&lt;Career_History!D39,0,MIN(A209,Career_History!E39)-Career_History!D39+1),0),IF(Career_History!G40=TRUE,IF(A209&lt;Career_History!D40,0,MIN(A209,Career_History!E40)-Career_History!D40+1),0))/365.2425</f>
        <v>18.751925090864287</v>
      </c>
      <c r="AM209" s="9">
        <f>SUM(IF(Career_History!I39=TRUE,IF(A209&lt;Career_History!D39,0,MIN(A209,Career_History!E39)-Career_History!D39+1),0),IF(Career_History!I40=TRUE,IF(A209&lt;Career_History!D40,0,MIN(A209,Career_History!E40)-Career_History!D40+1),0))/365.2425</f>
        <v>0</v>
      </c>
      <c r="AN209" s="9">
        <f>SUM(IF(Career_History!H39=TRUE,IF(A209&lt;Career_History!D39,0,MIN(A209,Career_History!E39)-Career_History!D39+1),0),IF(Career_History!H40=TRUE,IF(A209&lt;Career_History!D40,0,MIN(A209,Career_History!E40)-Career_History!D40+1),0))/365.2425</f>
        <v>18.751925090864287</v>
      </c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</row>
    <row r="210" spans="1:67">
      <c r="A210" s="8">
        <v>41029</v>
      </c>
      <c r="B210" s="9">
        <f t="shared" si="9"/>
        <v>31.634325140146615</v>
      </c>
      <c r="C210" s="9">
        <f t="shared" si="10"/>
        <v>5.4341978274707898</v>
      </c>
      <c r="D210" s="9">
        <f t="shared" si="11"/>
        <v>22.219758105915936</v>
      </c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>
        <f>SUM(IF(Career_History!G16=TRUE,IF(A210&lt;Career_History!D16,0,MIN(A210,Career_History!E16)-Career_History!D16+1),0),IF(Career_History!G17=TRUE,IF(A210&lt;Career_History!D17,0,MIN(A210,Career_History!E17)-Career_History!D17+1),0))/365.2425</f>
        <v>36.835800872023384</v>
      </c>
      <c r="U210" s="9">
        <f>SUM(IF(Career_History!I16=TRUE,IF(A210&lt;Career_History!D16,0,MIN(A210,Career_History!E16)-Career_History!D16+1),0),IF(Career_History!I17=TRUE,IF(A210&lt;Career_History!D17,0,MIN(A210,Career_History!E17)-Career_History!D17+1),0))/365.2425</f>
        <v>21.506259539894728</v>
      </c>
      <c r="V210" s="9">
        <f>SUM(IF(Career_History!H16=TRUE,IF(A210&lt;Career_History!D16,0,MIN(A210,Career_History!E16)-Career_History!D16+1),0),IF(Career_History!H17=TRUE,IF(A210&lt;Career_History!D17,0,MIN(A210,Career_History!E17)-Career_History!D17+1),0))/365.2425</f>
        <v>36.835800872023384</v>
      </c>
      <c r="W210" s="9"/>
      <c r="X210" s="9"/>
      <c r="Y210" s="9"/>
      <c r="Z210" s="9"/>
      <c r="AA210" s="9"/>
      <c r="AB210" s="9"/>
      <c r="AC210" s="9">
        <f>SUM(IF(Career_History!G25=TRUE,IF(A210&lt;Career_History!D25,0,MIN(A210,Career_History!E25)-Career_History!D25+1),0),IF(Career_History!G26=TRUE,IF(A210&lt;Career_History!D26,0,MIN(A210,Career_History!E26)-Career_History!D26+1),0),IF(Career_History!G27=TRUE,IF(A210&lt;Career_History!D27,0,MIN(A210,Career_History!E27)-Career_History!D27+1),0),IF(Career_History!G28=TRUE,IF(A210&lt;Career_History!D28,0,MIN(A210,Career_History!E28)-Career_History!D28+1),0),IF(Career_History!G29=TRUE,IF(A210&lt;Career_History!D29,0,MIN(A210,Career_History!E29)-Career_History!D29+1),0))/365.2425</f>
        <v>38.83447298712499</v>
      </c>
      <c r="AD210" s="9">
        <f>SUM(IF(Career_History!I25=TRUE,IF(A210&lt;Career_History!D25,0,MIN(A210,Career_History!E25)-Career_History!D25+1),0),IF(Career_History!I26=TRUE,IF(A210&lt;Career_History!D26,0,MIN(A210,Career_History!E26)-Career_History!D26+1),0),IF(Career_History!I27=TRUE,IF(A210&lt;Career_History!D27,0,MIN(A210,Career_History!E27)-Career_History!D27+1),0),IF(Career_History!I28=TRUE,IF(A210&lt;Career_History!D28,0,MIN(A210,Career_History!E28)-Career_History!D28+1),0),IF(Career_History!I29=TRUE,IF(A210&lt;Career_History!D29,0,MIN(A210,Career_History!E29)-Career_History!D29+1),0))/365.2425</f>
        <v>0</v>
      </c>
      <c r="AE210" s="9">
        <f>SUM(IF(Career_History!H25=TRUE,IF(A210&lt;Career_History!D25,0,MIN(A210,Career_History!E25)-Career_History!D25+1),0),IF(Career_History!H26=TRUE,IF(A210&lt;Career_History!D26,0,MIN(A210,Career_History!E26)-Career_History!D26+1),0),IF(Career_History!H27=TRUE,IF(A210&lt;Career_History!D27,0,MIN(A210,Career_History!E27)-Career_History!D27+1),0),IF(Career_History!H28=TRUE,IF(A210&lt;Career_History!D28,0,MIN(A210,Career_History!E28)-Career_History!D28+1),0),IF(Career_History!H29=TRUE,IF(A210&lt;Career_History!D29,0,MIN(A210,Career_History!E29)-Career_History!D29+1),0))/365.2425</f>
        <v>26.330451686208477</v>
      </c>
      <c r="AF210" s="9">
        <f>SUM(IF(Career_History!G30=TRUE,IF(A210&lt;Career_History!D30,0,MIN(A210,Career_History!E30)-Career_History!D30+1),0),IF(Career_History!G31=TRUE,IF(A210&lt;Career_History!D31,0,MIN(A210,Career_History!E31)-Career_History!D31+1),0),IF(Career_History!G32=TRUE,IF(A210&lt;Career_History!D32,0,MIN(A210,Career_History!E32)-Career_History!D32+1),0))/365.2425</f>
        <v>31.833644770255379</v>
      </c>
      <c r="AG210" s="9">
        <f>SUM(IF(Career_History!I30=TRUE,IF(A210&lt;Career_History!D30,0,MIN(A210,Career_History!E30)-Career_History!D30+1),0),IF(Career_History!I31=TRUE,IF(A210&lt;Career_History!D31,0,MIN(A210,Career_History!E31)-Career_History!D31+1),0),IF(Career_History!I32=TRUE,IF(A210&lt;Career_History!D32,0,MIN(A210,Career_History!E32)-Career_History!D32+1),0))/365.2425</f>
        <v>0</v>
      </c>
      <c r="AH210" s="9">
        <f>SUM(IF(Career_History!H30=TRUE,IF(A210&lt;Career_History!D30,0,MIN(A210,Career_History!E30)-Career_History!D30+1),0),IF(Career_History!H31=TRUE,IF(A210&lt;Career_History!D31,0,MIN(A210,Career_History!E31)-Career_History!D31+1),0),IF(Career_History!H32=TRUE,IF(A210&lt;Career_History!D32,0,MIN(A210,Career_History!E32)-Career_History!D32+1),0))/365.2425</f>
        <v>2.929560497477703</v>
      </c>
      <c r="AI210" s="9">
        <f>SUM(IF(Career_History!G33=TRUE,IF(A210&lt;Career_History!D33,0,MIN(A210,Career_History!E33)-Career_History!D33+1),0),IF(Career_History!G34=TRUE,IF(A210&lt;Career_History!D34,0,MIN(A210,Career_History!E34)-Career_History!D34+1),0),IF(Career_History!G35=TRUE,IF(A210&lt;Career_History!D35,0,MIN(A210,Career_History!E35)-Career_History!D35+1),0),IF(Career_History!G36=TRUE,IF(A210&lt;Career_History!D36,0,MIN(A210,Career_History!E36)-Career_History!D36+1),0),IF(Career_History!G37=TRUE,IF(A210&lt;Career_History!D37,0,MIN(A210,Career_History!E37)-Career_History!D37+1),0),IF(Career_History!G38=TRUE,IF(A210&lt;Career_History!D38,0,MIN(A210,Career_History!E38)-Career_History!D38+1),0))/365.2425</f>
        <v>31.833644770255379</v>
      </c>
      <c r="AJ210" s="9">
        <f>SUM(IF(Career_History!I33=TRUE,IF(A210&lt;Career_History!D33,0,MIN(A210,Career_History!E33)-Career_History!D33+1),0),IF(Career_History!I34=TRUE,IF(A210&lt;Career_History!D34,0,MIN(A210,Career_History!E34)-Career_History!D34+1),0),IF(Career_History!I35=TRUE,IF(A210&lt;Career_History!D35,0,MIN(A210,Career_History!E35)-Career_History!D35+1),0),IF(Career_History!I36=TRUE,IF(A210&lt;Career_History!D36,0,MIN(A210,Career_History!E36)-Career_History!D36+1),0),IF(Career_History!I37=TRUE,IF(A210&lt;Career_History!D37,0,MIN(A210,Career_History!E37)-Career_History!D37+1),0),IF(Career_History!I38=TRUE,IF(A210&lt;Career_History!D38,0,MIN(A210,Career_History!E38)-Career_History!D38+1),0))/365.2425</f>
        <v>5.664729597459222</v>
      </c>
      <c r="AK210" s="9">
        <f>SUM(IF(Career_History!H33=TRUE,IF(A210&lt;Career_History!D33,0,MIN(A210,Career_History!E33)-Career_History!D33+1),0),IF(Career_History!H34=TRUE,IF(A210&lt;Career_History!D34,0,MIN(A210,Career_History!E34)-Career_History!D34+1),0),IF(Career_History!H35=TRUE,IF(A210&lt;Career_History!D35,0,MIN(A210,Career_History!E35)-Career_History!D35+1),0),IF(Career_History!H36=TRUE,IF(A210&lt;Career_History!D36,0,MIN(A210,Career_History!E36)-Career_History!D36+1),0),IF(Career_History!H37=TRUE,IF(A210&lt;Career_History!D37,0,MIN(A210,Career_History!E37)-Career_History!D37+1),0),IF(Career_History!H38=TRUE,IF(A210&lt;Career_History!D38,0,MIN(A210,Career_History!E38)-Career_History!D38+1),0))/365.2425</f>
        <v>26.168915172796154</v>
      </c>
      <c r="AL210" s="9">
        <f>SUM(IF(Career_History!G39=TRUE,IF(A210&lt;Career_History!D39,0,MIN(A210,Career_History!E39)-Career_History!D39+1),0),IF(Career_History!G40=TRUE,IF(A210&lt;Career_History!D40,0,MIN(A210,Career_History!E40)-Career_History!D40+1),0))/365.2425</f>
        <v>18.834062301073942</v>
      </c>
      <c r="AM210" s="9">
        <f>SUM(IF(Career_History!I39=TRUE,IF(A210&lt;Career_History!D39,0,MIN(A210,Career_History!E39)-Career_History!D39+1),0),IF(Career_History!I40=TRUE,IF(A210&lt;Career_History!D40,0,MIN(A210,Career_History!E40)-Career_History!D40+1),0))/365.2425</f>
        <v>0</v>
      </c>
      <c r="AN210" s="9">
        <f>SUM(IF(Career_History!H39=TRUE,IF(A210&lt;Career_History!D39,0,MIN(A210,Career_History!E39)-Career_History!D39+1),0),IF(Career_History!H40=TRUE,IF(A210&lt;Career_History!D40,0,MIN(A210,Career_History!E40)-Career_History!D40+1),0))/365.2425</f>
        <v>18.834062301073942</v>
      </c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</row>
    <row r="211" spans="1:67">
      <c r="A211" s="8">
        <v>41060</v>
      </c>
      <c r="B211" s="9">
        <f t="shared" si="9"/>
        <v>31.719200257363262</v>
      </c>
      <c r="C211" s="9">
        <f t="shared" si="10"/>
        <v>5.4341978274707898</v>
      </c>
      <c r="D211" s="9">
        <f t="shared" si="11"/>
        <v>22.304633223132576</v>
      </c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>
        <f>SUM(IF(Career_History!G16=TRUE,IF(A211&lt;Career_History!D16,0,MIN(A211,Career_History!E16)-Career_History!D16+1),0),IF(Career_History!G17=TRUE,IF(A211&lt;Career_History!D17,0,MIN(A211,Career_History!E17)-Career_History!D17+1),0))/365.2425</f>
        <v>36.920675989240024</v>
      </c>
      <c r="U211" s="9">
        <f>SUM(IF(Career_History!I16=TRUE,IF(A211&lt;Career_History!D16,0,MIN(A211,Career_History!E16)-Career_History!D16+1),0),IF(Career_History!I17=TRUE,IF(A211&lt;Career_History!D17,0,MIN(A211,Career_History!E17)-Career_History!D17+1),0))/365.2425</f>
        <v>21.506259539894728</v>
      </c>
      <c r="V211" s="9">
        <f>SUM(IF(Career_History!H16=TRUE,IF(A211&lt;Career_History!D16,0,MIN(A211,Career_History!E16)-Career_History!D16+1),0),IF(Career_History!H17=TRUE,IF(A211&lt;Career_History!D17,0,MIN(A211,Career_History!E17)-Career_History!D17+1),0))/365.2425</f>
        <v>36.920675989240024</v>
      </c>
      <c r="W211" s="9"/>
      <c r="X211" s="9"/>
      <c r="Y211" s="9"/>
      <c r="Z211" s="9"/>
      <c r="AA211" s="9"/>
      <c r="AB211" s="9"/>
      <c r="AC211" s="9">
        <f>SUM(IF(Career_History!G25=TRUE,IF(A211&lt;Career_History!D25,0,MIN(A211,Career_History!E25)-Career_History!D25+1),0),IF(Career_History!G26=TRUE,IF(A211&lt;Career_History!D26,0,MIN(A211,Career_History!E26)-Career_History!D26+1),0),IF(Career_History!G27=TRUE,IF(A211&lt;Career_History!D27,0,MIN(A211,Career_History!E27)-Career_History!D27+1),0),IF(Career_History!G28=TRUE,IF(A211&lt;Career_History!D28,0,MIN(A211,Career_History!E28)-Career_History!D28+1),0),IF(Career_History!G29=TRUE,IF(A211&lt;Career_History!D29,0,MIN(A211,Career_History!E29)-Career_History!D29+1),0))/365.2425</f>
        <v>38.919348104341637</v>
      </c>
      <c r="AD211" s="9">
        <f>SUM(IF(Career_History!I25=TRUE,IF(A211&lt;Career_History!D25,0,MIN(A211,Career_History!E25)-Career_History!D25+1),0),IF(Career_History!I26=TRUE,IF(A211&lt;Career_History!D26,0,MIN(A211,Career_History!E26)-Career_History!D26+1),0),IF(Career_History!I27=TRUE,IF(A211&lt;Career_History!D27,0,MIN(A211,Career_History!E27)-Career_History!D27+1),0),IF(Career_History!I28=TRUE,IF(A211&lt;Career_History!D28,0,MIN(A211,Career_History!E28)-Career_History!D28+1),0),IF(Career_History!I29=TRUE,IF(A211&lt;Career_History!D29,0,MIN(A211,Career_History!E29)-Career_History!D29+1),0))/365.2425</f>
        <v>0</v>
      </c>
      <c r="AE211" s="9">
        <f>SUM(IF(Career_History!H25=TRUE,IF(A211&lt;Career_History!D25,0,MIN(A211,Career_History!E25)-Career_History!D25+1),0),IF(Career_History!H26=TRUE,IF(A211&lt;Career_History!D26,0,MIN(A211,Career_History!E26)-Career_History!D26+1),0),IF(Career_History!H27=TRUE,IF(A211&lt;Career_History!D27,0,MIN(A211,Career_History!E27)-Career_History!D27+1),0),IF(Career_History!H28=TRUE,IF(A211&lt;Career_History!D28,0,MIN(A211,Career_History!E28)-Career_History!D28+1),0),IF(Career_History!H29=TRUE,IF(A211&lt;Career_History!D29,0,MIN(A211,Career_History!E29)-Career_History!D29+1),0))/365.2425</f>
        <v>26.415326803425121</v>
      </c>
      <c r="AF211" s="9">
        <f>SUM(IF(Career_History!G30=TRUE,IF(A211&lt;Career_History!D30,0,MIN(A211,Career_History!E30)-Career_History!D30+1),0),IF(Career_History!G31=TRUE,IF(A211&lt;Career_History!D31,0,MIN(A211,Career_History!E31)-Career_History!D31+1),0),IF(Career_History!G32=TRUE,IF(A211&lt;Career_History!D32,0,MIN(A211,Career_History!E32)-Career_History!D32+1),0))/365.2425</f>
        <v>31.918519887472023</v>
      </c>
      <c r="AG211" s="9">
        <f>SUM(IF(Career_History!I30=TRUE,IF(A211&lt;Career_History!D30,0,MIN(A211,Career_History!E30)-Career_History!D30+1),0),IF(Career_History!I31=TRUE,IF(A211&lt;Career_History!D31,0,MIN(A211,Career_History!E31)-Career_History!D31+1),0),IF(Career_History!I32=TRUE,IF(A211&lt;Career_History!D32,0,MIN(A211,Career_History!E32)-Career_History!D32+1),0))/365.2425</f>
        <v>0</v>
      </c>
      <c r="AH211" s="9">
        <f>SUM(IF(Career_History!H30=TRUE,IF(A211&lt;Career_History!D30,0,MIN(A211,Career_History!E30)-Career_History!D30+1),0),IF(Career_History!H31=TRUE,IF(A211&lt;Career_History!D31,0,MIN(A211,Career_History!E31)-Career_History!D31+1),0),IF(Career_History!H32=TRUE,IF(A211&lt;Career_History!D32,0,MIN(A211,Career_History!E32)-Career_History!D32+1),0))/365.2425</f>
        <v>3.0144356146943467</v>
      </c>
      <c r="AI211" s="9">
        <f>SUM(IF(Career_History!G33=TRUE,IF(A211&lt;Career_History!D33,0,MIN(A211,Career_History!E33)-Career_History!D33+1),0),IF(Career_History!G34=TRUE,IF(A211&lt;Career_History!D34,0,MIN(A211,Career_History!E34)-Career_History!D34+1),0),IF(Career_History!G35=TRUE,IF(A211&lt;Career_History!D35,0,MIN(A211,Career_History!E35)-Career_History!D35+1),0),IF(Career_History!G36=TRUE,IF(A211&lt;Career_History!D36,0,MIN(A211,Career_History!E36)-Career_History!D36+1),0),IF(Career_History!G37=TRUE,IF(A211&lt;Career_History!D37,0,MIN(A211,Career_History!E37)-Career_History!D37+1),0),IF(Career_History!G38=TRUE,IF(A211&lt;Career_History!D38,0,MIN(A211,Career_History!E38)-Career_History!D38+1),0))/365.2425</f>
        <v>31.918519887472023</v>
      </c>
      <c r="AJ211" s="9">
        <f>SUM(IF(Career_History!I33=TRUE,IF(A211&lt;Career_History!D33,0,MIN(A211,Career_History!E33)-Career_History!D33+1),0),IF(Career_History!I34=TRUE,IF(A211&lt;Career_History!D34,0,MIN(A211,Career_History!E34)-Career_History!D34+1),0),IF(Career_History!I35=TRUE,IF(A211&lt;Career_History!D35,0,MIN(A211,Career_History!E35)-Career_History!D35+1),0),IF(Career_History!I36=TRUE,IF(A211&lt;Career_History!D36,0,MIN(A211,Career_History!E36)-Career_History!D36+1),0),IF(Career_History!I37=TRUE,IF(A211&lt;Career_History!D37,0,MIN(A211,Career_History!E37)-Career_History!D37+1),0),IF(Career_History!I38=TRUE,IF(A211&lt;Career_History!D38,0,MIN(A211,Career_History!E38)-Career_History!D38+1),0))/365.2425</f>
        <v>5.664729597459222</v>
      </c>
      <c r="AK211" s="9">
        <f>SUM(IF(Career_History!H33=TRUE,IF(A211&lt;Career_History!D33,0,MIN(A211,Career_History!E33)-Career_History!D33+1),0),IF(Career_History!H34=TRUE,IF(A211&lt;Career_History!D34,0,MIN(A211,Career_History!E34)-Career_History!D34+1),0),IF(Career_History!H35=TRUE,IF(A211&lt;Career_History!D35,0,MIN(A211,Career_History!E35)-Career_History!D35+1),0),IF(Career_History!H36=TRUE,IF(A211&lt;Career_History!D36,0,MIN(A211,Career_History!E36)-Career_History!D36+1),0),IF(Career_History!H37=TRUE,IF(A211&lt;Career_History!D37,0,MIN(A211,Career_History!E37)-Career_History!D37+1),0),IF(Career_History!H38=TRUE,IF(A211&lt;Career_History!D38,0,MIN(A211,Career_History!E38)-Career_History!D38+1),0))/365.2425</f>
        <v>26.253790290012798</v>
      </c>
      <c r="AL211" s="9">
        <f>SUM(IF(Career_History!G39=TRUE,IF(A211&lt;Career_History!D39,0,MIN(A211,Career_History!E39)-Career_History!D39+1),0),IF(Career_History!G40=TRUE,IF(A211&lt;Career_History!D40,0,MIN(A211,Career_History!E40)-Career_History!D40+1),0))/365.2425</f>
        <v>18.918937418290586</v>
      </c>
      <c r="AM211" s="9">
        <f>SUM(IF(Career_History!I39=TRUE,IF(A211&lt;Career_History!D39,0,MIN(A211,Career_History!E39)-Career_History!D39+1),0),IF(Career_History!I40=TRUE,IF(A211&lt;Career_History!D40,0,MIN(A211,Career_History!E40)-Career_History!D40+1),0))/365.2425</f>
        <v>0</v>
      </c>
      <c r="AN211" s="9">
        <f>SUM(IF(Career_History!H39=TRUE,IF(A211&lt;Career_History!D39,0,MIN(A211,Career_History!E39)-Career_History!D39+1),0),IF(Career_History!H40=TRUE,IF(A211&lt;Career_History!D40,0,MIN(A211,Career_History!E40)-Career_History!D40+1),0))/365.2425</f>
        <v>18.918937418290586</v>
      </c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</row>
    <row r="212" spans="1:67">
      <c r="A212" s="8">
        <v>41090</v>
      </c>
      <c r="B212" s="9">
        <f t="shared" si="9"/>
        <v>31.801337467572914</v>
      </c>
      <c r="C212" s="9">
        <f t="shared" si="10"/>
        <v>5.4341978274707898</v>
      </c>
      <c r="D212" s="9">
        <f t="shared" si="11"/>
        <v>22.386770433342228</v>
      </c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>
        <f>SUM(IF(Career_History!G16=TRUE,IF(A212&lt;Career_History!D16,0,MIN(A212,Career_History!E16)-Career_History!D16+1),0),IF(Career_History!G17=TRUE,IF(A212&lt;Career_History!D17,0,MIN(A212,Career_History!E17)-Career_History!D17+1),0))/365.2425</f>
        <v>37.002813199449683</v>
      </c>
      <c r="U212" s="9">
        <f>SUM(IF(Career_History!I16=TRUE,IF(A212&lt;Career_History!D16,0,MIN(A212,Career_History!E16)-Career_History!D16+1),0),IF(Career_History!I17=TRUE,IF(A212&lt;Career_History!D17,0,MIN(A212,Career_History!E17)-Career_History!D17+1),0))/365.2425</f>
        <v>21.506259539894728</v>
      </c>
      <c r="V212" s="9">
        <f>SUM(IF(Career_History!H16=TRUE,IF(A212&lt;Career_History!D16,0,MIN(A212,Career_History!E16)-Career_History!D16+1),0),IF(Career_History!H17=TRUE,IF(A212&lt;Career_History!D17,0,MIN(A212,Career_History!E17)-Career_History!D17+1),0))/365.2425</f>
        <v>37.002813199449683</v>
      </c>
      <c r="W212" s="9"/>
      <c r="X212" s="9"/>
      <c r="Y212" s="9"/>
      <c r="Z212" s="9"/>
      <c r="AA212" s="9"/>
      <c r="AB212" s="9"/>
      <c r="AC212" s="9">
        <f>SUM(IF(Career_History!G25=TRUE,IF(A212&lt;Career_History!D25,0,MIN(A212,Career_History!E25)-Career_History!D25+1),0),IF(Career_History!G26=TRUE,IF(A212&lt;Career_History!D26,0,MIN(A212,Career_History!E26)-Career_History!D26+1),0),IF(Career_History!G27=TRUE,IF(A212&lt;Career_History!D27,0,MIN(A212,Career_History!E27)-Career_History!D27+1),0),IF(Career_History!G28=TRUE,IF(A212&lt;Career_History!D28,0,MIN(A212,Career_History!E28)-Career_History!D28+1),0),IF(Career_History!G29=TRUE,IF(A212&lt;Career_History!D29,0,MIN(A212,Career_History!E29)-Career_History!D29+1),0))/365.2425</f>
        <v>39.001485314551289</v>
      </c>
      <c r="AD212" s="9">
        <f>SUM(IF(Career_History!I25=TRUE,IF(A212&lt;Career_History!D25,0,MIN(A212,Career_History!E25)-Career_History!D25+1),0),IF(Career_History!I26=TRUE,IF(A212&lt;Career_History!D26,0,MIN(A212,Career_History!E26)-Career_History!D26+1),0),IF(Career_History!I27=TRUE,IF(A212&lt;Career_History!D27,0,MIN(A212,Career_History!E27)-Career_History!D27+1),0),IF(Career_History!I28=TRUE,IF(A212&lt;Career_History!D28,0,MIN(A212,Career_History!E28)-Career_History!D28+1),0),IF(Career_History!I29=TRUE,IF(A212&lt;Career_History!D29,0,MIN(A212,Career_History!E29)-Career_History!D29+1),0))/365.2425</f>
        <v>0</v>
      </c>
      <c r="AE212" s="9">
        <f>SUM(IF(Career_History!H25=TRUE,IF(A212&lt;Career_History!D25,0,MIN(A212,Career_History!E25)-Career_History!D25+1),0),IF(Career_History!H26=TRUE,IF(A212&lt;Career_History!D26,0,MIN(A212,Career_History!E26)-Career_History!D26+1),0),IF(Career_History!H27=TRUE,IF(A212&lt;Career_History!D27,0,MIN(A212,Career_History!E27)-Career_History!D27+1),0),IF(Career_History!H28=TRUE,IF(A212&lt;Career_History!D28,0,MIN(A212,Career_History!E28)-Career_History!D28+1),0),IF(Career_History!H29=TRUE,IF(A212&lt;Career_History!D29,0,MIN(A212,Career_History!E29)-Career_History!D29+1),0))/365.2425</f>
        <v>26.497464013634776</v>
      </c>
      <c r="AF212" s="9">
        <f>SUM(IF(Career_History!G30=TRUE,IF(A212&lt;Career_History!D30,0,MIN(A212,Career_History!E30)-Career_History!D30+1),0),IF(Career_History!G31=TRUE,IF(A212&lt;Career_History!D31,0,MIN(A212,Career_History!E31)-Career_History!D31+1),0),IF(Career_History!G32=TRUE,IF(A212&lt;Career_History!D32,0,MIN(A212,Career_History!E32)-Career_History!D32+1),0))/365.2425</f>
        <v>32.000657097681675</v>
      </c>
      <c r="AG212" s="9">
        <f>SUM(IF(Career_History!I30=TRUE,IF(A212&lt;Career_History!D30,0,MIN(A212,Career_History!E30)-Career_History!D30+1),0),IF(Career_History!I31=TRUE,IF(A212&lt;Career_History!D31,0,MIN(A212,Career_History!E31)-Career_History!D31+1),0),IF(Career_History!I32=TRUE,IF(A212&lt;Career_History!D32,0,MIN(A212,Career_History!E32)-Career_History!D32+1),0))/365.2425</f>
        <v>0</v>
      </c>
      <c r="AH212" s="9">
        <f>SUM(IF(Career_History!H30=TRUE,IF(A212&lt;Career_History!D30,0,MIN(A212,Career_History!E30)-Career_History!D30+1),0),IF(Career_History!H31=TRUE,IF(A212&lt;Career_History!D31,0,MIN(A212,Career_History!E31)-Career_History!D31+1),0),IF(Career_History!H32=TRUE,IF(A212&lt;Career_History!D32,0,MIN(A212,Career_History!E32)-Career_History!D32+1),0))/365.2425</f>
        <v>3.0965728249040021</v>
      </c>
      <c r="AI212" s="9">
        <f>SUM(IF(Career_History!G33=TRUE,IF(A212&lt;Career_History!D33,0,MIN(A212,Career_History!E33)-Career_History!D33+1),0),IF(Career_History!G34=TRUE,IF(A212&lt;Career_History!D34,0,MIN(A212,Career_History!E34)-Career_History!D34+1),0),IF(Career_History!G35=TRUE,IF(A212&lt;Career_History!D35,0,MIN(A212,Career_History!E35)-Career_History!D35+1),0),IF(Career_History!G36=TRUE,IF(A212&lt;Career_History!D36,0,MIN(A212,Career_History!E36)-Career_History!D36+1),0),IF(Career_History!G37=TRUE,IF(A212&lt;Career_History!D37,0,MIN(A212,Career_History!E37)-Career_History!D37+1),0),IF(Career_History!G38=TRUE,IF(A212&lt;Career_History!D38,0,MIN(A212,Career_History!E38)-Career_History!D38+1),0))/365.2425</f>
        <v>32.000657097681675</v>
      </c>
      <c r="AJ212" s="9">
        <f>SUM(IF(Career_History!I33=TRUE,IF(A212&lt;Career_History!D33,0,MIN(A212,Career_History!E33)-Career_History!D33+1),0),IF(Career_History!I34=TRUE,IF(A212&lt;Career_History!D34,0,MIN(A212,Career_History!E34)-Career_History!D34+1),0),IF(Career_History!I35=TRUE,IF(A212&lt;Career_History!D35,0,MIN(A212,Career_History!E35)-Career_History!D35+1),0),IF(Career_History!I36=TRUE,IF(A212&lt;Career_History!D36,0,MIN(A212,Career_History!E36)-Career_History!D36+1),0),IF(Career_History!I37=TRUE,IF(A212&lt;Career_History!D37,0,MIN(A212,Career_History!E37)-Career_History!D37+1),0),IF(Career_History!I38=TRUE,IF(A212&lt;Career_History!D38,0,MIN(A212,Career_History!E38)-Career_History!D38+1),0))/365.2425</f>
        <v>5.664729597459222</v>
      </c>
      <c r="AK212" s="9">
        <f>SUM(IF(Career_History!H33=TRUE,IF(A212&lt;Career_History!D33,0,MIN(A212,Career_History!E33)-Career_History!D33+1),0),IF(Career_History!H34=TRUE,IF(A212&lt;Career_History!D34,0,MIN(A212,Career_History!E34)-Career_History!D34+1),0),IF(Career_History!H35=TRUE,IF(A212&lt;Career_History!D35,0,MIN(A212,Career_History!E35)-Career_History!D35+1),0),IF(Career_History!H36=TRUE,IF(A212&lt;Career_History!D36,0,MIN(A212,Career_History!E36)-Career_History!D36+1),0),IF(Career_History!H37=TRUE,IF(A212&lt;Career_History!D37,0,MIN(A212,Career_History!E37)-Career_History!D37+1),0),IF(Career_History!H38=TRUE,IF(A212&lt;Career_History!D38,0,MIN(A212,Career_History!E38)-Career_History!D38+1),0))/365.2425</f>
        <v>26.335927500222454</v>
      </c>
      <c r="AL212" s="9">
        <f>SUM(IF(Career_History!G39=TRUE,IF(A212&lt;Career_History!D39,0,MIN(A212,Career_History!E39)-Career_History!D39+1),0),IF(Career_History!G40=TRUE,IF(A212&lt;Career_History!D40,0,MIN(A212,Career_History!E40)-Career_History!D40+1),0))/365.2425</f>
        <v>19.001074628500241</v>
      </c>
      <c r="AM212" s="9">
        <f>SUM(IF(Career_History!I39=TRUE,IF(A212&lt;Career_History!D39,0,MIN(A212,Career_History!E39)-Career_History!D39+1),0),IF(Career_History!I40=TRUE,IF(A212&lt;Career_History!D40,0,MIN(A212,Career_History!E40)-Career_History!D40+1),0))/365.2425</f>
        <v>0</v>
      </c>
      <c r="AN212" s="9">
        <f>SUM(IF(Career_History!H39=TRUE,IF(A212&lt;Career_History!D39,0,MIN(A212,Career_History!E39)-Career_History!D39+1),0),IF(Career_History!H40=TRUE,IF(A212&lt;Career_History!D40,0,MIN(A212,Career_History!E40)-Career_History!D40+1),0))/365.2425</f>
        <v>19.001074628500241</v>
      </c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</row>
    <row r="213" spans="1:67">
      <c r="A213" s="8">
        <v>41121</v>
      </c>
      <c r="B213" s="9">
        <f t="shared" si="9"/>
        <v>31.886212584789558</v>
      </c>
      <c r="C213" s="9">
        <f t="shared" si="10"/>
        <v>5.4341978274707898</v>
      </c>
      <c r="D213" s="9">
        <f t="shared" si="11"/>
        <v>22.471645550558872</v>
      </c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>
        <f>SUM(IF(Career_History!G16=TRUE,IF(A213&lt;Career_History!D16,0,MIN(A213,Career_History!E16)-Career_History!D16+1),0),IF(Career_History!G17=TRUE,IF(A213&lt;Career_History!D17,0,MIN(A213,Career_History!E17)-Career_History!D17+1),0))/365.2425</f>
        <v>37.087688316666323</v>
      </c>
      <c r="U213" s="9">
        <f>SUM(IF(Career_History!I16=TRUE,IF(A213&lt;Career_History!D16,0,MIN(A213,Career_History!E16)-Career_History!D16+1),0),IF(Career_History!I17=TRUE,IF(A213&lt;Career_History!D17,0,MIN(A213,Career_History!E17)-Career_History!D17+1),0))/365.2425</f>
        <v>21.506259539894728</v>
      </c>
      <c r="V213" s="9">
        <f>SUM(IF(Career_History!H16=TRUE,IF(A213&lt;Career_History!D16,0,MIN(A213,Career_History!E16)-Career_History!D16+1),0),IF(Career_History!H17=TRUE,IF(A213&lt;Career_History!D17,0,MIN(A213,Career_History!E17)-Career_History!D17+1),0))/365.2425</f>
        <v>37.087688316666323</v>
      </c>
      <c r="W213" s="9"/>
      <c r="X213" s="9"/>
      <c r="Y213" s="9"/>
      <c r="Z213" s="9"/>
      <c r="AA213" s="9"/>
      <c r="AB213" s="9"/>
      <c r="AC213" s="9">
        <f>SUM(IF(Career_History!G25=TRUE,IF(A213&lt;Career_History!D25,0,MIN(A213,Career_History!E25)-Career_History!D25+1),0),IF(Career_History!G26=TRUE,IF(A213&lt;Career_History!D26,0,MIN(A213,Career_History!E26)-Career_History!D26+1),0),IF(Career_History!G27=TRUE,IF(A213&lt;Career_History!D27,0,MIN(A213,Career_History!E27)-Career_History!D27+1),0),IF(Career_History!G28=TRUE,IF(A213&lt;Career_History!D28,0,MIN(A213,Career_History!E28)-Career_History!D28+1),0),IF(Career_History!G29=TRUE,IF(A213&lt;Career_History!D29,0,MIN(A213,Career_History!E29)-Career_History!D29+1),0))/365.2425</f>
        <v>39.086360431767936</v>
      </c>
      <c r="AD213" s="9">
        <f>SUM(IF(Career_History!I25=TRUE,IF(A213&lt;Career_History!D25,0,MIN(A213,Career_History!E25)-Career_History!D25+1),0),IF(Career_History!I26=TRUE,IF(A213&lt;Career_History!D26,0,MIN(A213,Career_History!E26)-Career_History!D26+1),0),IF(Career_History!I27=TRUE,IF(A213&lt;Career_History!D27,0,MIN(A213,Career_History!E27)-Career_History!D27+1),0),IF(Career_History!I28=TRUE,IF(A213&lt;Career_History!D28,0,MIN(A213,Career_History!E28)-Career_History!D28+1),0),IF(Career_History!I29=TRUE,IF(A213&lt;Career_History!D29,0,MIN(A213,Career_History!E29)-Career_History!D29+1),0))/365.2425</f>
        <v>0</v>
      </c>
      <c r="AE213" s="9">
        <f>SUM(IF(Career_History!H25=TRUE,IF(A213&lt;Career_History!D25,0,MIN(A213,Career_History!E25)-Career_History!D25+1),0),IF(Career_History!H26=TRUE,IF(A213&lt;Career_History!D26,0,MIN(A213,Career_History!E26)-Career_History!D26+1),0),IF(Career_History!H27=TRUE,IF(A213&lt;Career_History!D27,0,MIN(A213,Career_History!E27)-Career_History!D27+1),0),IF(Career_History!H28=TRUE,IF(A213&lt;Career_History!D28,0,MIN(A213,Career_History!E28)-Career_History!D28+1),0),IF(Career_History!H29=TRUE,IF(A213&lt;Career_History!D29,0,MIN(A213,Career_History!E29)-Career_History!D29+1),0))/365.2425</f>
        <v>26.58233913085142</v>
      </c>
      <c r="AF213" s="9">
        <f>SUM(IF(Career_History!G30=TRUE,IF(A213&lt;Career_History!D30,0,MIN(A213,Career_History!E30)-Career_History!D30+1),0),IF(Career_History!G31=TRUE,IF(A213&lt;Career_History!D31,0,MIN(A213,Career_History!E31)-Career_History!D31+1),0),IF(Career_History!G32=TRUE,IF(A213&lt;Career_History!D32,0,MIN(A213,Career_History!E32)-Career_History!D32+1),0))/365.2425</f>
        <v>32.085532214898322</v>
      </c>
      <c r="AG213" s="9">
        <f>SUM(IF(Career_History!I30=TRUE,IF(A213&lt;Career_History!D30,0,MIN(A213,Career_History!E30)-Career_History!D30+1),0),IF(Career_History!I31=TRUE,IF(A213&lt;Career_History!D31,0,MIN(A213,Career_History!E31)-Career_History!D31+1),0),IF(Career_History!I32=TRUE,IF(A213&lt;Career_History!D32,0,MIN(A213,Career_History!E32)-Career_History!D32+1),0))/365.2425</f>
        <v>0</v>
      </c>
      <c r="AH213" s="9">
        <f>SUM(IF(Career_History!H30=TRUE,IF(A213&lt;Career_History!D30,0,MIN(A213,Career_History!E30)-Career_History!D30+1),0),IF(Career_History!H31=TRUE,IF(A213&lt;Career_History!D31,0,MIN(A213,Career_History!E31)-Career_History!D31+1),0),IF(Career_History!H32=TRUE,IF(A213&lt;Career_History!D32,0,MIN(A213,Career_History!E32)-Career_History!D32+1),0))/365.2425</f>
        <v>3.1814479421206459</v>
      </c>
      <c r="AI213" s="9">
        <f>SUM(IF(Career_History!G33=TRUE,IF(A213&lt;Career_History!D33,0,MIN(A213,Career_History!E33)-Career_History!D33+1),0),IF(Career_History!G34=TRUE,IF(A213&lt;Career_History!D34,0,MIN(A213,Career_History!E34)-Career_History!D34+1),0),IF(Career_History!G35=TRUE,IF(A213&lt;Career_History!D35,0,MIN(A213,Career_History!E35)-Career_History!D35+1),0),IF(Career_History!G36=TRUE,IF(A213&lt;Career_History!D36,0,MIN(A213,Career_History!E36)-Career_History!D36+1),0),IF(Career_History!G37=TRUE,IF(A213&lt;Career_History!D37,0,MIN(A213,Career_History!E37)-Career_History!D37+1),0),IF(Career_History!G38=TRUE,IF(A213&lt;Career_History!D38,0,MIN(A213,Career_History!E38)-Career_History!D38+1),0))/365.2425</f>
        <v>32.085532214898322</v>
      </c>
      <c r="AJ213" s="9">
        <f>SUM(IF(Career_History!I33=TRUE,IF(A213&lt;Career_History!D33,0,MIN(A213,Career_History!E33)-Career_History!D33+1),0),IF(Career_History!I34=TRUE,IF(A213&lt;Career_History!D34,0,MIN(A213,Career_History!E34)-Career_History!D34+1),0),IF(Career_History!I35=TRUE,IF(A213&lt;Career_History!D35,0,MIN(A213,Career_History!E35)-Career_History!D35+1),0),IF(Career_History!I36=TRUE,IF(A213&lt;Career_History!D36,0,MIN(A213,Career_History!E36)-Career_History!D36+1),0),IF(Career_History!I37=TRUE,IF(A213&lt;Career_History!D37,0,MIN(A213,Career_History!E37)-Career_History!D37+1),0),IF(Career_History!I38=TRUE,IF(A213&lt;Career_History!D38,0,MIN(A213,Career_History!E38)-Career_History!D38+1),0))/365.2425</f>
        <v>5.664729597459222</v>
      </c>
      <c r="AK213" s="9">
        <f>SUM(IF(Career_History!H33=TRUE,IF(A213&lt;Career_History!D33,0,MIN(A213,Career_History!E33)-Career_History!D33+1),0),IF(Career_History!H34=TRUE,IF(A213&lt;Career_History!D34,0,MIN(A213,Career_History!E34)-Career_History!D34+1),0),IF(Career_History!H35=TRUE,IF(A213&lt;Career_History!D35,0,MIN(A213,Career_History!E35)-Career_History!D35+1),0),IF(Career_History!H36=TRUE,IF(A213&lt;Career_History!D36,0,MIN(A213,Career_History!E36)-Career_History!D36+1),0),IF(Career_History!H37=TRUE,IF(A213&lt;Career_History!D37,0,MIN(A213,Career_History!E37)-Career_History!D37+1),0),IF(Career_History!H38=TRUE,IF(A213&lt;Career_History!D38,0,MIN(A213,Career_History!E38)-Career_History!D38+1),0))/365.2425</f>
        <v>26.420802617439097</v>
      </c>
      <c r="AL213" s="9">
        <f>SUM(IF(Career_History!G39=TRUE,IF(A213&lt;Career_History!D39,0,MIN(A213,Career_History!E39)-Career_History!D39+1),0),IF(Career_History!G40=TRUE,IF(A213&lt;Career_History!D40,0,MIN(A213,Career_History!E40)-Career_History!D40+1),0))/365.2425</f>
        <v>19.085949745716885</v>
      </c>
      <c r="AM213" s="9">
        <f>SUM(IF(Career_History!I39=TRUE,IF(A213&lt;Career_History!D39,0,MIN(A213,Career_History!E39)-Career_History!D39+1),0),IF(Career_History!I40=TRUE,IF(A213&lt;Career_History!D40,0,MIN(A213,Career_History!E40)-Career_History!D40+1),0))/365.2425</f>
        <v>0</v>
      </c>
      <c r="AN213" s="9">
        <f>SUM(IF(Career_History!H39=TRUE,IF(A213&lt;Career_History!D39,0,MIN(A213,Career_History!E39)-Career_History!D39+1),0),IF(Career_History!H40=TRUE,IF(A213&lt;Career_History!D40,0,MIN(A213,Career_History!E40)-Career_History!D40+1),0))/365.2425</f>
        <v>19.085949745716885</v>
      </c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/>
      <c r="BO213" s="9"/>
    </row>
    <row r="214" spans="1:67">
      <c r="A214" s="8">
        <v>41152</v>
      </c>
      <c r="B214" s="9">
        <f t="shared" si="9"/>
        <v>31.971087702006201</v>
      </c>
      <c r="C214" s="9">
        <f t="shared" si="10"/>
        <v>5.4341978274707898</v>
      </c>
      <c r="D214" s="9">
        <f t="shared" si="11"/>
        <v>22.556520667775523</v>
      </c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>
        <f>SUM(IF(Career_History!G16=TRUE,IF(A214&lt;Career_History!D16,0,MIN(A214,Career_History!E16)-Career_History!D16+1),0),IF(Career_History!G17=TRUE,IF(A214&lt;Career_History!D17,0,MIN(A214,Career_History!E17)-Career_History!D17+1),0))/365.2425</f>
        <v>37.172563433882971</v>
      </c>
      <c r="U214" s="9">
        <f>SUM(IF(Career_History!I16=TRUE,IF(A214&lt;Career_History!D16,0,MIN(A214,Career_History!E16)-Career_History!D16+1),0),IF(Career_History!I17=TRUE,IF(A214&lt;Career_History!D17,0,MIN(A214,Career_History!E17)-Career_History!D17+1),0))/365.2425</f>
        <v>21.506259539894728</v>
      </c>
      <c r="V214" s="9">
        <f>SUM(IF(Career_History!H16=TRUE,IF(A214&lt;Career_History!D16,0,MIN(A214,Career_History!E16)-Career_History!D16+1),0),IF(Career_History!H17=TRUE,IF(A214&lt;Career_History!D17,0,MIN(A214,Career_History!E17)-Career_History!D17+1),0))/365.2425</f>
        <v>37.172563433882971</v>
      </c>
      <c r="W214" s="9"/>
      <c r="X214" s="9"/>
      <c r="Y214" s="9"/>
      <c r="Z214" s="9"/>
      <c r="AA214" s="9"/>
      <c r="AB214" s="9"/>
      <c r="AC214" s="9">
        <f>SUM(IF(Career_History!G25=TRUE,IF(A214&lt;Career_History!D25,0,MIN(A214,Career_History!E25)-Career_History!D25+1),0),IF(Career_History!G26=TRUE,IF(A214&lt;Career_History!D26,0,MIN(A214,Career_History!E26)-Career_History!D26+1),0),IF(Career_History!G27=TRUE,IF(A214&lt;Career_History!D27,0,MIN(A214,Career_History!E27)-Career_History!D27+1),0),IF(Career_History!G28=TRUE,IF(A214&lt;Career_History!D28,0,MIN(A214,Career_History!E28)-Career_History!D28+1),0),IF(Career_History!G29=TRUE,IF(A214&lt;Career_History!D29,0,MIN(A214,Career_History!E29)-Career_History!D29+1),0))/365.2425</f>
        <v>39.171235548984576</v>
      </c>
      <c r="AD214" s="9">
        <f>SUM(IF(Career_History!I25=TRUE,IF(A214&lt;Career_History!D25,0,MIN(A214,Career_History!E25)-Career_History!D25+1),0),IF(Career_History!I26=TRUE,IF(A214&lt;Career_History!D26,0,MIN(A214,Career_History!E26)-Career_History!D26+1),0),IF(Career_History!I27=TRUE,IF(A214&lt;Career_History!D27,0,MIN(A214,Career_History!E27)-Career_History!D27+1),0),IF(Career_History!I28=TRUE,IF(A214&lt;Career_History!D28,0,MIN(A214,Career_History!E28)-Career_History!D28+1),0),IF(Career_History!I29=TRUE,IF(A214&lt;Career_History!D29,0,MIN(A214,Career_History!E29)-Career_History!D29+1),0))/365.2425</f>
        <v>0</v>
      </c>
      <c r="AE214" s="9">
        <f>SUM(IF(Career_History!H25=TRUE,IF(A214&lt;Career_History!D25,0,MIN(A214,Career_History!E25)-Career_History!D25+1),0),IF(Career_History!H26=TRUE,IF(A214&lt;Career_History!D26,0,MIN(A214,Career_History!E26)-Career_History!D26+1),0),IF(Career_History!H27=TRUE,IF(A214&lt;Career_History!D27,0,MIN(A214,Career_History!E27)-Career_History!D27+1),0),IF(Career_History!H28=TRUE,IF(A214&lt;Career_History!D28,0,MIN(A214,Career_History!E28)-Career_History!D28+1),0),IF(Career_History!H29=TRUE,IF(A214&lt;Career_History!D29,0,MIN(A214,Career_History!E29)-Career_History!D29+1),0))/365.2425</f>
        <v>26.667214248068063</v>
      </c>
      <c r="AF214" s="9">
        <f>SUM(IF(Career_History!G30=TRUE,IF(A214&lt;Career_History!D30,0,MIN(A214,Career_History!E30)-Career_History!D30+1),0),IF(Career_History!G31=TRUE,IF(A214&lt;Career_History!D31,0,MIN(A214,Career_History!E31)-Career_History!D31+1),0),IF(Career_History!G32=TRUE,IF(A214&lt;Career_History!D32,0,MIN(A214,Career_History!E32)-Career_History!D32+1),0))/365.2425</f>
        <v>32.170407332114962</v>
      </c>
      <c r="AG214" s="9">
        <f>SUM(IF(Career_History!I30=TRUE,IF(A214&lt;Career_History!D30,0,MIN(A214,Career_History!E30)-Career_History!D30+1),0),IF(Career_History!I31=TRUE,IF(A214&lt;Career_History!D31,0,MIN(A214,Career_History!E31)-Career_History!D31+1),0),IF(Career_History!I32=TRUE,IF(A214&lt;Career_History!D32,0,MIN(A214,Career_History!E32)-Career_History!D32+1),0))/365.2425</f>
        <v>0</v>
      </c>
      <c r="AH214" s="9">
        <f>SUM(IF(Career_History!H30=TRUE,IF(A214&lt;Career_History!D30,0,MIN(A214,Career_History!E30)-Career_History!D30+1),0),IF(Career_History!H31=TRUE,IF(A214&lt;Career_History!D31,0,MIN(A214,Career_History!E31)-Career_History!D31+1),0),IF(Career_History!H32=TRUE,IF(A214&lt;Career_History!D32,0,MIN(A214,Career_History!E32)-Career_History!D32+1),0))/365.2425</f>
        <v>3.2663230593372896</v>
      </c>
      <c r="AI214" s="9">
        <f>SUM(IF(Career_History!G33=TRUE,IF(A214&lt;Career_History!D33,0,MIN(A214,Career_History!E33)-Career_History!D33+1),0),IF(Career_History!G34=TRUE,IF(A214&lt;Career_History!D34,0,MIN(A214,Career_History!E34)-Career_History!D34+1),0),IF(Career_History!G35=TRUE,IF(A214&lt;Career_History!D35,0,MIN(A214,Career_History!E35)-Career_History!D35+1),0),IF(Career_History!G36=TRUE,IF(A214&lt;Career_History!D36,0,MIN(A214,Career_History!E36)-Career_History!D36+1),0),IF(Career_History!G37=TRUE,IF(A214&lt;Career_History!D37,0,MIN(A214,Career_History!E37)-Career_History!D37+1),0),IF(Career_History!G38=TRUE,IF(A214&lt;Career_History!D38,0,MIN(A214,Career_History!E38)-Career_History!D38+1),0))/365.2425</f>
        <v>32.170407332114962</v>
      </c>
      <c r="AJ214" s="9">
        <f>SUM(IF(Career_History!I33=TRUE,IF(A214&lt;Career_History!D33,0,MIN(A214,Career_History!E33)-Career_History!D33+1),0),IF(Career_History!I34=TRUE,IF(A214&lt;Career_History!D34,0,MIN(A214,Career_History!E34)-Career_History!D34+1),0),IF(Career_History!I35=TRUE,IF(A214&lt;Career_History!D35,0,MIN(A214,Career_History!E35)-Career_History!D35+1),0),IF(Career_History!I36=TRUE,IF(A214&lt;Career_History!D36,0,MIN(A214,Career_History!E36)-Career_History!D36+1),0),IF(Career_History!I37=TRUE,IF(A214&lt;Career_History!D37,0,MIN(A214,Career_History!E37)-Career_History!D37+1),0),IF(Career_History!I38=TRUE,IF(A214&lt;Career_History!D38,0,MIN(A214,Career_History!E38)-Career_History!D38+1),0))/365.2425</f>
        <v>5.664729597459222</v>
      </c>
      <c r="AK214" s="9">
        <f>SUM(IF(Career_History!H33=TRUE,IF(A214&lt;Career_History!D33,0,MIN(A214,Career_History!E33)-Career_History!D33+1),0),IF(Career_History!H34=TRUE,IF(A214&lt;Career_History!D34,0,MIN(A214,Career_History!E34)-Career_History!D34+1),0),IF(Career_History!H35=TRUE,IF(A214&lt;Career_History!D35,0,MIN(A214,Career_History!E35)-Career_History!D35+1),0),IF(Career_History!H36=TRUE,IF(A214&lt;Career_History!D36,0,MIN(A214,Career_History!E36)-Career_History!D36+1),0),IF(Career_History!H37=TRUE,IF(A214&lt;Career_History!D37,0,MIN(A214,Career_History!E37)-Career_History!D37+1),0),IF(Career_History!H38=TRUE,IF(A214&lt;Career_History!D38,0,MIN(A214,Career_History!E38)-Career_History!D38+1),0))/365.2425</f>
        <v>26.505677734655741</v>
      </c>
      <c r="AL214" s="9">
        <f>SUM(IF(Career_History!G39=TRUE,IF(A214&lt;Career_History!D39,0,MIN(A214,Career_History!E39)-Career_History!D39+1),0),IF(Career_History!G40=TRUE,IF(A214&lt;Career_History!D40,0,MIN(A214,Career_History!E40)-Career_History!D40+1),0))/365.2425</f>
        <v>19.170824862933529</v>
      </c>
      <c r="AM214" s="9">
        <f>SUM(IF(Career_History!I39=TRUE,IF(A214&lt;Career_History!D39,0,MIN(A214,Career_History!E39)-Career_History!D39+1),0),IF(Career_History!I40=TRUE,IF(A214&lt;Career_History!D40,0,MIN(A214,Career_History!E40)-Career_History!D40+1),0))/365.2425</f>
        <v>0</v>
      </c>
      <c r="AN214" s="9">
        <f>SUM(IF(Career_History!H39=TRUE,IF(A214&lt;Career_History!D39,0,MIN(A214,Career_History!E39)-Career_History!D39+1),0),IF(Career_History!H40=TRUE,IF(A214&lt;Career_History!D40,0,MIN(A214,Career_History!E40)-Career_History!D40+1),0))/365.2425</f>
        <v>19.170824862933529</v>
      </c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  <c r="BG214" s="9"/>
      <c r="BH214" s="9"/>
      <c r="BI214" s="9"/>
      <c r="BJ214" s="9"/>
      <c r="BK214" s="9"/>
      <c r="BL214" s="9"/>
      <c r="BM214" s="9"/>
      <c r="BN214" s="9"/>
      <c r="BO214" s="9"/>
    </row>
    <row r="215" spans="1:67">
      <c r="A215" s="8">
        <v>41182</v>
      </c>
      <c r="B215" s="9">
        <f t="shared" si="9"/>
        <v>32.053224912215853</v>
      </c>
      <c r="C215" s="9">
        <f t="shared" si="10"/>
        <v>5.4341978274707898</v>
      </c>
      <c r="D215" s="9">
        <f t="shared" si="11"/>
        <v>22.638657877985175</v>
      </c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>
        <f>SUM(IF(Career_History!G16=TRUE,IF(A215&lt;Career_History!D16,0,MIN(A215,Career_History!E16)-Career_History!D16+1),0),IF(Career_History!G17=TRUE,IF(A215&lt;Career_History!D17,0,MIN(A215,Career_History!E17)-Career_History!D17+1),0))/365.2425</f>
        <v>37.254700644092622</v>
      </c>
      <c r="U215" s="9">
        <f>SUM(IF(Career_History!I16=TRUE,IF(A215&lt;Career_History!D16,0,MIN(A215,Career_History!E16)-Career_History!D16+1),0),IF(Career_History!I17=TRUE,IF(A215&lt;Career_History!D17,0,MIN(A215,Career_History!E17)-Career_History!D17+1),0))/365.2425</f>
        <v>21.506259539894728</v>
      </c>
      <c r="V215" s="9">
        <f>SUM(IF(Career_History!H16=TRUE,IF(A215&lt;Career_History!D16,0,MIN(A215,Career_History!E16)-Career_History!D16+1),0),IF(Career_History!H17=TRUE,IF(A215&lt;Career_History!D17,0,MIN(A215,Career_History!E17)-Career_History!D17+1),0))/365.2425</f>
        <v>37.254700644092622</v>
      </c>
      <c r="W215" s="9"/>
      <c r="X215" s="9"/>
      <c r="Y215" s="9"/>
      <c r="Z215" s="9"/>
      <c r="AA215" s="9"/>
      <c r="AB215" s="9"/>
      <c r="AC215" s="9">
        <f>SUM(IF(Career_History!G25=TRUE,IF(A215&lt;Career_History!D25,0,MIN(A215,Career_History!E25)-Career_History!D25+1),0),IF(Career_History!G26=TRUE,IF(A215&lt;Career_History!D26,0,MIN(A215,Career_History!E26)-Career_History!D26+1),0),IF(Career_History!G27=TRUE,IF(A215&lt;Career_History!D27,0,MIN(A215,Career_History!E27)-Career_History!D27+1),0),IF(Career_History!G28=TRUE,IF(A215&lt;Career_History!D28,0,MIN(A215,Career_History!E28)-Career_History!D28+1),0),IF(Career_History!G29=TRUE,IF(A215&lt;Career_History!D29,0,MIN(A215,Career_History!E29)-Career_History!D29+1),0))/365.2425</f>
        <v>39.253372759194235</v>
      </c>
      <c r="AD215" s="9">
        <f>SUM(IF(Career_History!I25=TRUE,IF(A215&lt;Career_History!D25,0,MIN(A215,Career_History!E25)-Career_History!D25+1),0),IF(Career_History!I26=TRUE,IF(A215&lt;Career_History!D26,0,MIN(A215,Career_History!E26)-Career_History!D26+1),0),IF(Career_History!I27=TRUE,IF(A215&lt;Career_History!D27,0,MIN(A215,Career_History!E27)-Career_History!D27+1),0),IF(Career_History!I28=TRUE,IF(A215&lt;Career_History!D28,0,MIN(A215,Career_History!E28)-Career_History!D28+1),0),IF(Career_History!I29=TRUE,IF(A215&lt;Career_History!D29,0,MIN(A215,Career_History!E29)-Career_History!D29+1),0))/365.2425</f>
        <v>0</v>
      </c>
      <c r="AE215" s="9">
        <f>SUM(IF(Career_History!H25=TRUE,IF(A215&lt;Career_History!D25,0,MIN(A215,Career_History!E25)-Career_History!D25+1),0),IF(Career_History!H26=TRUE,IF(A215&lt;Career_History!D26,0,MIN(A215,Career_History!E26)-Career_History!D26+1),0),IF(Career_History!H27=TRUE,IF(A215&lt;Career_History!D27,0,MIN(A215,Career_History!E27)-Career_History!D27+1),0),IF(Career_History!H28=TRUE,IF(A215&lt;Career_History!D28,0,MIN(A215,Career_History!E28)-Career_History!D28+1),0),IF(Career_History!H29=TRUE,IF(A215&lt;Career_History!D29,0,MIN(A215,Career_History!E29)-Career_History!D29+1),0))/365.2425</f>
        <v>26.749351458277719</v>
      </c>
      <c r="AF215" s="9">
        <f>SUM(IF(Career_History!G30=TRUE,IF(A215&lt;Career_History!D30,0,MIN(A215,Career_History!E30)-Career_History!D30+1),0),IF(Career_History!G31=TRUE,IF(A215&lt;Career_History!D31,0,MIN(A215,Career_History!E31)-Career_History!D31+1),0),IF(Career_History!G32=TRUE,IF(A215&lt;Career_History!D32,0,MIN(A215,Career_History!E32)-Career_History!D32+1),0))/365.2425</f>
        <v>32.252544542324621</v>
      </c>
      <c r="AG215" s="9">
        <f>SUM(IF(Career_History!I30=TRUE,IF(A215&lt;Career_History!D30,0,MIN(A215,Career_History!E30)-Career_History!D30+1),0),IF(Career_History!I31=TRUE,IF(A215&lt;Career_History!D31,0,MIN(A215,Career_History!E31)-Career_History!D31+1),0),IF(Career_History!I32=TRUE,IF(A215&lt;Career_History!D32,0,MIN(A215,Career_History!E32)-Career_History!D32+1),0))/365.2425</f>
        <v>0</v>
      </c>
      <c r="AH215" s="9">
        <f>SUM(IF(Career_History!H30=TRUE,IF(A215&lt;Career_History!D30,0,MIN(A215,Career_History!E30)-Career_History!D30+1),0),IF(Career_History!H31=TRUE,IF(A215&lt;Career_History!D31,0,MIN(A215,Career_History!E31)-Career_History!D31+1),0),IF(Career_History!H32=TRUE,IF(A215&lt;Career_History!D32,0,MIN(A215,Career_History!E32)-Career_History!D32+1),0))/365.2425</f>
        <v>3.348460269546945</v>
      </c>
      <c r="AI215" s="9">
        <f>SUM(IF(Career_History!G33=TRUE,IF(A215&lt;Career_History!D33,0,MIN(A215,Career_History!E33)-Career_History!D33+1),0),IF(Career_History!G34=TRUE,IF(A215&lt;Career_History!D34,0,MIN(A215,Career_History!E34)-Career_History!D34+1),0),IF(Career_History!G35=TRUE,IF(A215&lt;Career_History!D35,0,MIN(A215,Career_History!E35)-Career_History!D35+1),0),IF(Career_History!G36=TRUE,IF(A215&lt;Career_History!D36,0,MIN(A215,Career_History!E36)-Career_History!D36+1),0),IF(Career_History!G37=TRUE,IF(A215&lt;Career_History!D37,0,MIN(A215,Career_History!E37)-Career_History!D37+1),0),IF(Career_History!G38=TRUE,IF(A215&lt;Career_History!D38,0,MIN(A215,Career_History!E38)-Career_History!D38+1),0))/365.2425</f>
        <v>32.252544542324621</v>
      </c>
      <c r="AJ215" s="9">
        <f>SUM(IF(Career_History!I33=TRUE,IF(A215&lt;Career_History!D33,0,MIN(A215,Career_History!E33)-Career_History!D33+1),0),IF(Career_History!I34=TRUE,IF(A215&lt;Career_History!D34,0,MIN(A215,Career_History!E34)-Career_History!D34+1),0),IF(Career_History!I35=TRUE,IF(A215&lt;Career_History!D35,0,MIN(A215,Career_History!E35)-Career_History!D35+1),0),IF(Career_History!I36=TRUE,IF(A215&lt;Career_History!D36,0,MIN(A215,Career_History!E36)-Career_History!D36+1),0),IF(Career_History!I37=TRUE,IF(A215&lt;Career_History!D37,0,MIN(A215,Career_History!E37)-Career_History!D37+1),0),IF(Career_History!I38=TRUE,IF(A215&lt;Career_History!D38,0,MIN(A215,Career_History!E38)-Career_History!D38+1),0))/365.2425</f>
        <v>5.664729597459222</v>
      </c>
      <c r="AK215" s="9">
        <f>SUM(IF(Career_History!H33=TRUE,IF(A215&lt;Career_History!D33,0,MIN(A215,Career_History!E33)-Career_History!D33+1),0),IF(Career_History!H34=TRUE,IF(A215&lt;Career_History!D34,0,MIN(A215,Career_History!E34)-Career_History!D34+1),0),IF(Career_History!H35=TRUE,IF(A215&lt;Career_History!D35,0,MIN(A215,Career_History!E35)-Career_History!D35+1),0),IF(Career_History!H36=TRUE,IF(A215&lt;Career_History!D36,0,MIN(A215,Career_History!E36)-Career_History!D36+1),0),IF(Career_History!H37=TRUE,IF(A215&lt;Career_History!D37,0,MIN(A215,Career_History!E37)-Career_History!D37+1),0),IF(Career_History!H38=TRUE,IF(A215&lt;Career_History!D38,0,MIN(A215,Career_History!E38)-Career_History!D38+1),0))/365.2425</f>
        <v>26.587814944865396</v>
      </c>
      <c r="AL215" s="9">
        <f>SUM(IF(Career_History!G39=TRUE,IF(A215&lt;Career_History!D39,0,MIN(A215,Career_History!E39)-Career_History!D39+1),0),IF(Career_History!G40=TRUE,IF(A215&lt;Career_History!D40,0,MIN(A215,Career_History!E40)-Career_History!D40+1),0))/365.2425</f>
        <v>19.252962073143184</v>
      </c>
      <c r="AM215" s="9">
        <f>SUM(IF(Career_History!I39=TRUE,IF(A215&lt;Career_History!D39,0,MIN(A215,Career_History!E39)-Career_History!D39+1),0),IF(Career_History!I40=TRUE,IF(A215&lt;Career_History!D40,0,MIN(A215,Career_History!E40)-Career_History!D40+1),0))/365.2425</f>
        <v>0</v>
      </c>
      <c r="AN215" s="9">
        <f>SUM(IF(Career_History!H39=TRUE,IF(A215&lt;Career_History!D39,0,MIN(A215,Career_History!E39)-Career_History!D39+1),0),IF(Career_History!H40=TRUE,IF(A215&lt;Career_History!D40,0,MIN(A215,Career_History!E40)-Career_History!D40+1),0))/365.2425</f>
        <v>19.252962073143184</v>
      </c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/>
      <c r="BO215" s="9"/>
    </row>
    <row r="216" spans="1:67">
      <c r="A216" s="8">
        <v>41213</v>
      </c>
      <c r="B216" s="9">
        <f t="shared" si="9"/>
        <v>32.138100029432501</v>
      </c>
      <c r="C216" s="9">
        <f t="shared" si="10"/>
        <v>5.4341978274707898</v>
      </c>
      <c r="D216" s="9">
        <f t="shared" si="11"/>
        <v>22.723532995201815</v>
      </c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>
        <f>SUM(IF(Career_History!G16=TRUE,IF(A216&lt;Career_History!D16,0,MIN(A216,Career_History!E16)-Career_History!D16+1),0),IF(Career_History!G17=TRUE,IF(A216&lt;Career_History!D17,0,MIN(A216,Career_History!E17)-Career_History!D17+1),0))/365.2425</f>
        <v>37.33957576130927</v>
      </c>
      <c r="U216" s="9">
        <f>SUM(IF(Career_History!I16=TRUE,IF(A216&lt;Career_History!D16,0,MIN(A216,Career_History!E16)-Career_History!D16+1),0),IF(Career_History!I17=TRUE,IF(A216&lt;Career_History!D17,0,MIN(A216,Career_History!E17)-Career_History!D17+1),0))/365.2425</f>
        <v>21.506259539894728</v>
      </c>
      <c r="V216" s="9">
        <f>SUM(IF(Career_History!H16=TRUE,IF(A216&lt;Career_History!D16,0,MIN(A216,Career_History!E16)-Career_History!D16+1),0),IF(Career_History!H17=TRUE,IF(A216&lt;Career_History!D17,0,MIN(A216,Career_History!E17)-Career_History!D17+1),0))/365.2425</f>
        <v>37.33957576130927</v>
      </c>
      <c r="W216" s="9"/>
      <c r="X216" s="9"/>
      <c r="Y216" s="9"/>
      <c r="Z216" s="9"/>
      <c r="AA216" s="9"/>
      <c r="AB216" s="9"/>
      <c r="AC216" s="9">
        <f>SUM(IF(Career_History!G25=TRUE,IF(A216&lt;Career_History!D25,0,MIN(A216,Career_History!E25)-Career_History!D25+1),0),IF(Career_History!G26=TRUE,IF(A216&lt;Career_History!D26,0,MIN(A216,Career_History!E26)-Career_History!D26+1),0),IF(Career_History!G27=TRUE,IF(A216&lt;Career_History!D27,0,MIN(A216,Career_History!E27)-Career_History!D27+1),0),IF(Career_History!G28=TRUE,IF(A216&lt;Career_History!D28,0,MIN(A216,Career_History!E28)-Career_History!D28+1),0),IF(Career_History!G29=TRUE,IF(A216&lt;Career_History!D29,0,MIN(A216,Career_History!E29)-Career_History!D29+1),0))/365.2425</f>
        <v>39.338247876410875</v>
      </c>
      <c r="AD216" s="9">
        <f>SUM(IF(Career_History!I25=TRUE,IF(A216&lt;Career_History!D25,0,MIN(A216,Career_History!E25)-Career_History!D25+1),0),IF(Career_History!I26=TRUE,IF(A216&lt;Career_History!D26,0,MIN(A216,Career_History!E26)-Career_History!D26+1),0),IF(Career_History!I27=TRUE,IF(A216&lt;Career_History!D27,0,MIN(A216,Career_History!E27)-Career_History!D27+1),0),IF(Career_History!I28=TRUE,IF(A216&lt;Career_History!D28,0,MIN(A216,Career_History!E28)-Career_History!D28+1),0),IF(Career_History!I29=TRUE,IF(A216&lt;Career_History!D29,0,MIN(A216,Career_History!E29)-Career_History!D29+1),0))/365.2425</f>
        <v>0</v>
      </c>
      <c r="AE216" s="9">
        <f>SUM(IF(Career_History!H25=TRUE,IF(A216&lt;Career_History!D25,0,MIN(A216,Career_History!E25)-Career_History!D25+1),0),IF(Career_History!H26=TRUE,IF(A216&lt;Career_History!D26,0,MIN(A216,Career_History!E26)-Career_History!D26+1),0),IF(Career_History!H27=TRUE,IF(A216&lt;Career_History!D27,0,MIN(A216,Career_History!E27)-Career_History!D27+1),0),IF(Career_History!H28=TRUE,IF(A216&lt;Career_History!D28,0,MIN(A216,Career_History!E28)-Career_History!D28+1),0),IF(Career_History!H29=TRUE,IF(A216&lt;Career_History!D29,0,MIN(A216,Career_History!E29)-Career_History!D29+1),0))/365.2425</f>
        <v>26.834226575494363</v>
      </c>
      <c r="AF216" s="9">
        <f>SUM(IF(Career_History!G30=TRUE,IF(A216&lt;Career_History!D30,0,MIN(A216,Career_History!E30)-Career_History!D30+1),0),IF(Career_History!G31=TRUE,IF(A216&lt;Career_History!D31,0,MIN(A216,Career_History!E31)-Career_History!D31+1),0),IF(Career_History!G32=TRUE,IF(A216&lt;Career_History!D32,0,MIN(A216,Career_History!E32)-Career_History!D32+1),0))/365.2425</f>
        <v>32.337419659541261</v>
      </c>
      <c r="AG216" s="9">
        <f>SUM(IF(Career_History!I30=TRUE,IF(A216&lt;Career_History!D30,0,MIN(A216,Career_History!E30)-Career_History!D30+1),0),IF(Career_History!I31=TRUE,IF(A216&lt;Career_History!D31,0,MIN(A216,Career_History!E31)-Career_History!D31+1),0),IF(Career_History!I32=TRUE,IF(A216&lt;Career_History!D32,0,MIN(A216,Career_History!E32)-Career_History!D32+1),0))/365.2425</f>
        <v>0</v>
      </c>
      <c r="AH216" s="9">
        <f>SUM(IF(Career_History!H30=TRUE,IF(A216&lt;Career_History!D30,0,MIN(A216,Career_History!E30)-Career_History!D30+1),0),IF(Career_History!H31=TRUE,IF(A216&lt;Career_History!D31,0,MIN(A216,Career_History!E31)-Career_History!D31+1),0),IF(Career_History!H32=TRUE,IF(A216&lt;Career_History!D32,0,MIN(A216,Career_History!E32)-Career_History!D32+1),0))/365.2425</f>
        <v>3.4333353867635883</v>
      </c>
      <c r="AI216" s="9">
        <f>SUM(IF(Career_History!G33=TRUE,IF(A216&lt;Career_History!D33,0,MIN(A216,Career_History!E33)-Career_History!D33+1),0),IF(Career_History!G34=TRUE,IF(A216&lt;Career_History!D34,0,MIN(A216,Career_History!E34)-Career_History!D34+1),0),IF(Career_History!G35=TRUE,IF(A216&lt;Career_History!D35,0,MIN(A216,Career_History!E35)-Career_History!D35+1),0),IF(Career_History!G36=TRUE,IF(A216&lt;Career_History!D36,0,MIN(A216,Career_History!E36)-Career_History!D36+1),0),IF(Career_History!G37=TRUE,IF(A216&lt;Career_History!D37,0,MIN(A216,Career_History!E37)-Career_History!D37+1),0),IF(Career_History!G38=TRUE,IF(A216&lt;Career_History!D38,0,MIN(A216,Career_History!E38)-Career_History!D38+1),0))/365.2425</f>
        <v>32.337419659541261</v>
      </c>
      <c r="AJ216" s="9">
        <f>SUM(IF(Career_History!I33=TRUE,IF(A216&lt;Career_History!D33,0,MIN(A216,Career_History!E33)-Career_History!D33+1),0),IF(Career_History!I34=TRUE,IF(A216&lt;Career_History!D34,0,MIN(A216,Career_History!E34)-Career_History!D34+1),0),IF(Career_History!I35=TRUE,IF(A216&lt;Career_History!D35,0,MIN(A216,Career_History!E35)-Career_History!D35+1),0),IF(Career_History!I36=TRUE,IF(A216&lt;Career_History!D36,0,MIN(A216,Career_History!E36)-Career_History!D36+1),0),IF(Career_History!I37=TRUE,IF(A216&lt;Career_History!D37,0,MIN(A216,Career_History!E37)-Career_History!D37+1),0),IF(Career_History!I38=TRUE,IF(A216&lt;Career_History!D38,0,MIN(A216,Career_History!E38)-Career_History!D38+1),0))/365.2425</f>
        <v>5.664729597459222</v>
      </c>
      <c r="AK216" s="9">
        <f>SUM(IF(Career_History!H33=TRUE,IF(A216&lt;Career_History!D33,0,MIN(A216,Career_History!E33)-Career_History!D33+1),0),IF(Career_History!H34=TRUE,IF(A216&lt;Career_History!D34,0,MIN(A216,Career_History!E34)-Career_History!D34+1),0),IF(Career_History!H35=TRUE,IF(A216&lt;Career_History!D35,0,MIN(A216,Career_History!E35)-Career_History!D35+1),0),IF(Career_History!H36=TRUE,IF(A216&lt;Career_History!D36,0,MIN(A216,Career_History!E36)-Career_History!D36+1),0),IF(Career_History!H37=TRUE,IF(A216&lt;Career_History!D37,0,MIN(A216,Career_History!E37)-Career_History!D37+1),0),IF(Career_History!H38=TRUE,IF(A216&lt;Career_History!D38,0,MIN(A216,Career_History!E38)-Career_History!D38+1),0))/365.2425</f>
        <v>26.67269006208204</v>
      </c>
      <c r="AL216" s="9">
        <f>SUM(IF(Career_History!G39=TRUE,IF(A216&lt;Career_History!D39,0,MIN(A216,Career_History!E39)-Career_History!D39+1),0),IF(Career_History!G40=TRUE,IF(A216&lt;Career_History!D40,0,MIN(A216,Career_History!E40)-Career_History!D40+1),0))/365.2425</f>
        <v>19.337837190359828</v>
      </c>
      <c r="AM216" s="9">
        <f>SUM(IF(Career_History!I39=TRUE,IF(A216&lt;Career_History!D39,0,MIN(A216,Career_History!E39)-Career_History!D39+1),0),IF(Career_History!I40=TRUE,IF(A216&lt;Career_History!D40,0,MIN(A216,Career_History!E40)-Career_History!D40+1),0))/365.2425</f>
        <v>0</v>
      </c>
      <c r="AN216" s="9">
        <f>SUM(IF(Career_History!H39=TRUE,IF(A216&lt;Career_History!D39,0,MIN(A216,Career_History!E39)-Career_History!D39+1),0),IF(Career_History!H40=TRUE,IF(A216&lt;Career_History!D40,0,MIN(A216,Career_History!E40)-Career_History!D40+1),0))/365.2425</f>
        <v>19.337837190359828</v>
      </c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/>
      <c r="BO216" s="9"/>
    </row>
    <row r="217" spans="1:67">
      <c r="A217" s="8">
        <v>41243</v>
      </c>
      <c r="B217" s="9">
        <f t="shared" si="9"/>
        <v>32.220237239642159</v>
      </c>
      <c r="C217" s="9">
        <f t="shared" si="10"/>
        <v>5.4341978274707898</v>
      </c>
      <c r="D217" s="9">
        <f t="shared" si="11"/>
        <v>22.80567020541147</v>
      </c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>
        <f>SUM(IF(Career_History!G16=TRUE,IF(A217&lt;Career_History!D16,0,MIN(A217,Career_History!E16)-Career_History!D16+1),0),IF(Career_History!G17=TRUE,IF(A217&lt;Career_History!D17,0,MIN(A217,Career_History!E17)-Career_History!D17+1),0))/365.2425</f>
        <v>37.421712971518922</v>
      </c>
      <c r="U217" s="9">
        <f>SUM(IF(Career_History!I16=TRUE,IF(A217&lt;Career_History!D16,0,MIN(A217,Career_History!E16)-Career_History!D16+1),0),IF(Career_History!I17=TRUE,IF(A217&lt;Career_History!D17,0,MIN(A217,Career_History!E17)-Career_History!D17+1),0))/365.2425</f>
        <v>21.506259539894728</v>
      </c>
      <c r="V217" s="9">
        <f>SUM(IF(Career_History!H16=TRUE,IF(A217&lt;Career_History!D16,0,MIN(A217,Career_History!E16)-Career_History!D16+1),0),IF(Career_History!H17=TRUE,IF(A217&lt;Career_History!D17,0,MIN(A217,Career_History!E17)-Career_History!D17+1),0))/365.2425</f>
        <v>37.421712971518922</v>
      </c>
      <c r="W217" s="9"/>
      <c r="X217" s="9"/>
      <c r="Y217" s="9"/>
      <c r="Z217" s="9"/>
      <c r="AA217" s="9"/>
      <c r="AB217" s="9"/>
      <c r="AC217" s="9">
        <f>SUM(IF(Career_History!G25=TRUE,IF(A217&lt;Career_History!D25,0,MIN(A217,Career_History!E25)-Career_History!D25+1),0),IF(Career_History!G26=TRUE,IF(A217&lt;Career_History!D26,0,MIN(A217,Career_History!E26)-Career_History!D26+1),0),IF(Career_History!G27=TRUE,IF(A217&lt;Career_History!D27,0,MIN(A217,Career_History!E27)-Career_History!D27+1),0),IF(Career_History!G28=TRUE,IF(A217&lt;Career_History!D28,0,MIN(A217,Career_History!E28)-Career_History!D28+1),0),IF(Career_History!G29=TRUE,IF(A217&lt;Career_History!D29,0,MIN(A217,Career_History!E29)-Career_History!D29+1),0))/365.2425</f>
        <v>39.420385086620534</v>
      </c>
      <c r="AD217" s="9">
        <f>SUM(IF(Career_History!I25=TRUE,IF(A217&lt;Career_History!D25,0,MIN(A217,Career_History!E25)-Career_History!D25+1),0),IF(Career_History!I26=TRUE,IF(A217&lt;Career_History!D26,0,MIN(A217,Career_History!E26)-Career_History!D26+1),0),IF(Career_History!I27=TRUE,IF(A217&lt;Career_History!D27,0,MIN(A217,Career_History!E27)-Career_History!D27+1),0),IF(Career_History!I28=TRUE,IF(A217&lt;Career_History!D28,0,MIN(A217,Career_History!E28)-Career_History!D28+1),0),IF(Career_History!I29=TRUE,IF(A217&lt;Career_History!D29,0,MIN(A217,Career_History!E29)-Career_History!D29+1),0))/365.2425</f>
        <v>0</v>
      </c>
      <c r="AE217" s="9">
        <f>SUM(IF(Career_History!H25=TRUE,IF(A217&lt;Career_History!D25,0,MIN(A217,Career_History!E25)-Career_History!D25+1),0),IF(Career_History!H26=TRUE,IF(A217&lt;Career_History!D26,0,MIN(A217,Career_History!E26)-Career_History!D26+1),0),IF(Career_History!H27=TRUE,IF(A217&lt;Career_History!D27,0,MIN(A217,Career_History!E27)-Career_History!D27+1),0),IF(Career_History!H28=TRUE,IF(A217&lt;Career_History!D28,0,MIN(A217,Career_History!E28)-Career_History!D28+1),0),IF(Career_History!H29=TRUE,IF(A217&lt;Career_History!D29,0,MIN(A217,Career_History!E29)-Career_History!D29+1),0))/365.2425</f>
        <v>26.916363785704018</v>
      </c>
      <c r="AF217" s="9">
        <f>SUM(IF(Career_History!G30=TRUE,IF(A217&lt;Career_History!D30,0,MIN(A217,Career_History!E30)-Career_History!D30+1),0),IF(Career_History!G31=TRUE,IF(A217&lt;Career_History!D31,0,MIN(A217,Career_History!E31)-Career_History!D31+1),0),IF(Career_History!G32=TRUE,IF(A217&lt;Career_History!D32,0,MIN(A217,Career_History!E32)-Career_History!D32+1),0))/365.2425</f>
        <v>32.41955686975092</v>
      </c>
      <c r="AG217" s="9">
        <f>SUM(IF(Career_History!I30=TRUE,IF(A217&lt;Career_History!D30,0,MIN(A217,Career_History!E30)-Career_History!D30+1),0),IF(Career_History!I31=TRUE,IF(A217&lt;Career_History!D31,0,MIN(A217,Career_History!E31)-Career_History!D31+1),0),IF(Career_History!I32=TRUE,IF(A217&lt;Career_History!D32,0,MIN(A217,Career_History!E32)-Career_History!D32+1),0))/365.2425</f>
        <v>0</v>
      </c>
      <c r="AH217" s="9">
        <f>SUM(IF(Career_History!H30=TRUE,IF(A217&lt;Career_History!D30,0,MIN(A217,Career_History!E30)-Career_History!D30+1),0),IF(Career_History!H31=TRUE,IF(A217&lt;Career_History!D31,0,MIN(A217,Career_History!E31)-Career_History!D31+1),0),IF(Career_History!H32=TRUE,IF(A217&lt;Career_History!D32,0,MIN(A217,Career_History!E32)-Career_History!D32+1),0))/365.2425</f>
        <v>3.5154725969732437</v>
      </c>
      <c r="AI217" s="9">
        <f>SUM(IF(Career_History!G33=TRUE,IF(A217&lt;Career_History!D33,0,MIN(A217,Career_History!E33)-Career_History!D33+1),0),IF(Career_History!G34=TRUE,IF(A217&lt;Career_History!D34,0,MIN(A217,Career_History!E34)-Career_History!D34+1),0),IF(Career_History!G35=TRUE,IF(A217&lt;Career_History!D35,0,MIN(A217,Career_History!E35)-Career_History!D35+1),0),IF(Career_History!G36=TRUE,IF(A217&lt;Career_History!D36,0,MIN(A217,Career_History!E36)-Career_History!D36+1),0),IF(Career_History!G37=TRUE,IF(A217&lt;Career_History!D37,0,MIN(A217,Career_History!E37)-Career_History!D37+1),0),IF(Career_History!G38=TRUE,IF(A217&lt;Career_History!D38,0,MIN(A217,Career_History!E38)-Career_History!D38+1),0))/365.2425</f>
        <v>32.41955686975092</v>
      </c>
      <c r="AJ217" s="9">
        <f>SUM(IF(Career_History!I33=TRUE,IF(A217&lt;Career_History!D33,0,MIN(A217,Career_History!E33)-Career_History!D33+1),0),IF(Career_History!I34=TRUE,IF(A217&lt;Career_History!D34,0,MIN(A217,Career_History!E34)-Career_History!D34+1),0),IF(Career_History!I35=TRUE,IF(A217&lt;Career_History!D35,0,MIN(A217,Career_History!E35)-Career_History!D35+1),0),IF(Career_History!I36=TRUE,IF(A217&lt;Career_History!D36,0,MIN(A217,Career_History!E36)-Career_History!D36+1),0),IF(Career_History!I37=TRUE,IF(A217&lt;Career_History!D37,0,MIN(A217,Career_History!E37)-Career_History!D37+1),0),IF(Career_History!I38=TRUE,IF(A217&lt;Career_History!D38,0,MIN(A217,Career_History!E38)-Career_History!D38+1),0))/365.2425</f>
        <v>5.664729597459222</v>
      </c>
      <c r="AK217" s="9">
        <f>SUM(IF(Career_History!H33=TRUE,IF(A217&lt;Career_History!D33,0,MIN(A217,Career_History!E33)-Career_History!D33+1),0),IF(Career_History!H34=TRUE,IF(A217&lt;Career_History!D34,0,MIN(A217,Career_History!E34)-Career_History!D34+1),0),IF(Career_History!H35=TRUE,IF(A217&lt;Career_History!D35,0,MIN(A217,Career_History!E35)-Career_History!D35+1),0),IF(Career_History!H36=TRUE,IF(A217&lt;Career_History!D36,0,MIN(A217,Career_History!E36)-Career_History!D36+1),0),IF(Career_History!H37=TRUE,IF(A217&lt;Career_History!D37,0,MIN(A217,Career_History!E37)-Career_History!D37+1),0),IF(Career_History!H38=TRUE,IF(A217&lt;Career_History!D38,0,MIN(A217,Career_History!E38)-Career_History!D38+1),0))/365.2425</f>
        <v>26.754827272291696</v>
      </c>
      <c r="AL217" s="9">
        <f>SUM(IF(Career_History!G39=TRUE,IF(A217&lt;Career_History!D39,0,MIN(A217,Career_History!E39)-Career_History!D39+1),0),IF(Career_History!G40=TRUE,IF(A217&lt;Career_History!D40,0,MIN(A217,Career_History!E40)-Career_History!D40+1),0))/365.2425</f>
        <v>19.419974400569483</v>
      </c>
      <c r="AM217" s="9">
        <f>SUM(IF(Career_History!I39=TRUE,IF(A217&lt;Career_History!D39,0,MIN(A217,Career_History!E39)-Career_History!D39+1),0),IF(Career_History!I40=TRUE,IF(A217&lt;Career_History!D40,0,MIN(A217,Career_History!E40)-Career_History!D40+1),0))/365.2425</f>
        <v>0</v>
      </c>
      <c r="AN217" s="9">
        <f>SUM(IF(Career_History!H39=TRUE,IF(A217&lt;Career_History!D39,0,MIN(A217,Career_History!E39)-Career_History!D39+1),0),IF(Career_History!H40=TRUE,IF(A217&lt;Career_History!D40,0,MIN(A217,Career_History!E40)-Career_History!D40+1),0))/365.2425</f>
        <v>19.419974400569483</v>
      </c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9"/>
      <c r="BN217" s="9"/>
      <c r="BO217" s="9"/>
    </row>
    <row r="218" spans="1:67">
      <c r="A218" s="8">
        <v>41274</v>
      </c>
      <c r="B218" s="9">
        <f t="shared" si="9"/>
        <v>32.3051123568588</v>
      </c>
      <c r="C218" s="9">
        <f t="shared" si="10"/>
        <v>5.4341978274707898</v>
      </c>
      <c r="D218" s="9">
        <f t="shared" si="11"/>
        <v>22.890545322628121</v>
      </c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>
        <f>SUM(IF(Career_History!G16=TRUE,IF(A218&lt;Career_History!D16,0,MIN(A218,Career_History!E16)-Career_History!D16+1),0),IF(Career_History!G17=TRUE,IF(A218&lt;Career_History!D17,0,MIN(A218,Career_History!E17)-Career_History!D17+1),0))/365.2425</f>
        <v>37.506588088735569</v>
      </c>
      <c r="U218" s="9">
        <f>SUM(IF(Career_History!I16=TRUE,IF(A218&lt;Career_History!D16,0,MIN(A218,Career_History!E16)-Career_History!D16+1),0),IF(Career_History!I17=TRUE,IF(A218&lt;Career_History!D17,0,MIN(A218,Career_History!E17)-Career_History!D17+1),0))/365.2425</f>
        <v>21.506259539894728</v>
      </c>
      <c r="V218" s="9">
        <f>SUM(IF(Career_History!H16=TRUE,IF(A218&lt;Career_History!D16,0,MIN(A218,Career_History!E16)-Career_History!D16+1),0),IF(Career_History!H17=TRUE,IF(A218&lt;Career_History!D17,0,MIN(A218,Career_History!E17)-Career_History!D17+1),0))/365.2425</f>
        <v>37.506588088735569</v>
      </c>
      <c r="W218" s="9"/>
      <c r="X218" s="9"/>
      <c r="Y218" s="9"/>
      <c r="Z218" s="9"/>
      <c r="AA218" s="9"/>
      <c r="AB218" s="9"/>
      <c r="AC218" s="9">
        <f>SUM(IF(Career_History!G25=TRUE,IF(A218&lt;Career_History!D25,0,MIN(A218,Career_History!E25)-Career_History!D25+1),0),IF(Career_History!G26=TRUE,IF(A218&lt;Career_History!D26,0,MIN(A218,Career_History!E26)-Career_History!D26+1),0),IF(Career_History!G27=TRUE,IF(A218&lt;Career_History!D27,0,MIN(A218,Career_History!E27)-Career_History!D27+1),0),IF(Career_History!G28=TRUE,IF(A218&lt;Career_History!D28,0,MIN(A218,Career_History!E28)-Career_History!D28+1),0),IF(Career_History!G29=TRUE,IF(A218&lt;Career_History!D29,0,MIN(A218,Career_History!E29)-Career_History!D29+1),0))/365.2425</f>
        <v>39.505260203837175</v>
      </c>
      <c r="AD218" s="9">
        <f>SUM(IF(Career_History!I25=TRUE,IF(A218&lt;Career_History!D25,0,MIN(A218,Career_History!E25)-Career_History!D25+1),0),IF(Career_History!I26=TRUE,IF(A218&lt;Career_History!D26,0,MIN(A218,Career_History!E26)-Career_History!D26+1),0),IF(Career_History!I27=TRUE,IF(A218&lt;Career_History!D27,0,MIN(A218,Career_History!E27)-Career_History!D27+1),0),IF(Career_History!I28=TRUE,IF(A218&lt;Career_History!D28,0,MIN(A218,Career_History!E28)-Career_History!D28+1),0),IF(Career_History!I29=TRUE,IF(A218&lt;Career_History!D29,0,MIN(A218,Career_History!E29)-Career_History!D29+1),0))/365.2425</f>
        <v>0</v>
      </c>
      <c r="AE218" s="9">
        <f>SUM(IF(Career_History!H25=TRUE,IF(A218&lt;Career_History!D25,0,MIN(A218,Career_History!E25)-Career_History!D25+1),0),IF(Career_History!H26=TRUE,IF(A218&lt;Career_History!D26,0,MIN(A218,Career_History!E26)-Career_History!D26+1),0),IF(Career_History!H27=TRUE,IF(A218&lt;Career_History!D27,0,MIN(A218,Career_History!E27)-Career_History!D27+1),0),IF(Career_History!H28=TRUE,IF(A218&lt;Career_History!D28,0,MIN(A218,Career_History!E28)-Career_History!D28+1),0),IF(Career_History!H29=TRUE,IF(A218&lt;Career_History!D29,0,MIN(A218,Career_History!E29)-Career_History!D29+1),0))/365.2425</f>
        <v>27.001238902920662</v>
      </c>
      <c r="AF218" s="9">
        <f>SUM(IF(Career_History!G30=TRUE,IF(A218&lt;Career_History!D30,0,MIN(A218,Career_History!E30)-Career_History!D30+1),0),IF(Career_History!G31=TRUE,IF(A218&lt;Career_History!D31,0,MIN(A218,Career_History!E31)-Career_History!D31+1),0),IF(Career_History!G32=TRUE,IF(A218&lt;Career_History!D32,0,MIN(A218,Career_History!E32)-Career_History!D32+1),0))/365.2425</f>
        <v>32.50443198696756</v>
      </c>
      <c r="AG218" s="9">
        <f>SUM(IF(Career_History!I30=TRUE,IF(A218&lt;Career_History!D30,0,MIN(A218,Career_History!E30)-Career_History!D30+1),0),IF(Career_History!I31=TRUE,IF(A218&lt;Career_History!D31,0,MIN(A218,Career_History!E31)-Career_History!D31+1),0),IF(Career_History!I32=TRUE,IF(A218&lt;Career_History!D32,0,MIN(A218,Career_History!E32)-Career_History!D32+1),0))/365.2425</f>
        <v>0</v>
      </c>
      <c r="AH218" s="9">
        <f>SUM(IF(Career_History!H30=TRUE,IF(A218&lt;Career_History!D30,0,MIN(A218,Career_History!E30)-Career_History!D30+1),0),IF(Career_History!H31=TRUE,IF(A218&lt;Career_History!D31,0,MIN(A218,Career_History!E31)-Career_History!D31+1),0),IF(Career_History!H32=TRUE,IF(A218&lt;Career_History!D32,0,MIN(A218,Career_History!E32)-Career_History!D32+1),0))/365.2425</f>
        <v>3.6003477141898874</v>
      </c>
      <c r="AI218" s="9">
        <f>SUM(IF(Career_History!G33=TRUE,IF(A218&lt;Career_History!D33,0,MIN(A218,Career_History!E33)-Career_History!D33+1),0),IF(Career_History!G34=TRUE,IF(A218&lt;Career_History!D34,0,MIN(A218,Career_History!E34)-Career_History!D34+1),0),IF(Career_History!G35=TRUE,IF(A218&lt;Career_History!D35,0,MIN(A218,Career_History!E35)-Career_History!D35+1),0),IF(Career_History!G36=TRUE,IF(A218&lt;Career_History!D36,0,MIN(A218,Career_History!E36)-Career_History!D36+1),0),IF(Career_History!G37=TRUE,IF(A218&lt;Career_History!D37,0,MIN(A218,Career_History!E37)-Career_History!D37+1),0),IF(Career_History!G38=TRUE,IF(A218&lt;Career_History!D38,0,MIN(A218,Career_History!E38)-Career_History!D38+1),0))/365.2425</f>
        <v>32.50443198696756</v>
      </c>
      <c r="AJ218" s="9">
        <f>SUM(IF(Career_History!I33=TRUE,IF(A218&lt;Career_History!D33,0,MIN(A218,Career_History!E33)-Career_History!D33+1),0),IF(Career_History!I34=TRUE,IF(A218&lt;Career_History!D34,0,MIN(A218,Career_History!E34)-Career_History!D34+1),0),IF(Career_History!I35=TRUE,IF(A218&lt;Career_History!D35,0,MIN(A218,Career_History!E35)-Career_History!D35+1),0),IF(Career_History!I36=TRUE,IF(A218&lt;Career_History!D36,0,MIN(A218,Career_History!E36)-Career_History!D36+1),0),IF(Career_History!I37=TRUE,IF(A218&lt;Career_History!D37,0,MIN(A218,Career_History!E37)-Career_History!D37+1),0),IF(Career_History!I38=TRUE,IF(A218&lt;Career_History!D38,0,MIN(A218,Career_History!E38)-Career_History!D38+1),0))/365.2425</f>
        <v>5.664729597459222</v>
      </c>
      <c r="AK218" s="9">
        <f>SUM(IF(Career_History!H33=TRUE,IF(A218&lt;Career_History!D33,0,MIN(A218,Career_History!E33)-Career_History!D33+1),0),IF(Career_History!H34=TRUE,IF(A218&lt;Career_History!D34,0,MIN(A218,Career_History!E34)-Career_History!D34+1),0),IF(Career_History!H35=TRUE,IF(A218&lt;Career_History!D35,0,MIN(A218,Career_History!E35)-Career_History!D35+1),0),IF(Career_History!H36=TRUE,IF(A218&lt;Career_History!D36,0,MIN(A218,Career_History!E36)-Career_History!D36+1),0),IF(Career_History!H37=TRUE,IF(A218&lt;Career_History!D37,0,MIN(A218,Career_History!E37)-Career_History!D37+1),0),IF(Career_History!H38=TRUE,IF(A218&lt;Career_History!D38,0,MIN(A218,Career_History!E38)-Career_History!D38+1),0))/365.2425</f>
        <v>26.839702389508339</v>
      </c>
      <c r="AL218" s="9">
        <f>SUM(IF(Career_History!G39=TRUE,IF(A218&lt;Career_History!D39,0,MIN(A218,Career_History!E39)-Career_History!D39+1),0),IF(Career_History!G40=TRUE,IF(A218&lt;Career_History!D40,0,MIN(A218,Career_History!E40)-Career_History!D40+1),0))/365.2425</f>
        <v>19.504849517786127</v>
      </c>
      <c r="AM218" s="9">
        <f>SUM(IF(Career_History!I39=TRUE,IF(A218&lt;Career_History!D39,0,MIN(A218,Career_History!E39)-Career_History!D39+1),0),IF(Career_History!I40=TRUE,IF(A218&lt;Career_History!D40,0,MIN(A218,Career_History!E40)-Career_History!D40+1),0))/365.2425</f>
        <v>0</v>
      </c>
      <c r="AN218" s="9">
        <f>SUM(IF(Career_History!H39=TRUE,IF(A218&lt;Career_History!D39,0,MIN(A218,Career_History!E39)-Career_History!D39+1),0),IF(Career_History!H40=TRUE,IF(A218&lt;Career_History!D40,0,MIN(A218,Career_History!E40)-Career_History!D40+1),0))/365.2425</f>
        <v>19.504849517786127</v>
      </c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/>
      <c r="BO218" s="9"/>
    </row>
    <row r="219" spans="1:67">
      <c r="A219" s="8">
        <v>41305</v>
      </c>
      <c r="B219" s="9">
        <f t="shared" si="9"/>
        <v>31.389556253721839</v>
      </c>
      <c r="C219" s="9">
        <f t="shared" si="10"/>
        <v>1.1329459194918443</v>
      </c>
      <c r="D219" s="9">
        <f t="shared" si="11"/>
        <v>21.974989219491157</v>
      </c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>
        <f>SUM(IF(Career_History!G25=TRUE,IF(A219&lt;Career_History!D25,0,MIN(A219,Career_History!E25)-Career_History!D25+1),0),IF(Career_History!G26=TRUE,IF(A219&lt;Career_History!D26,0,MIN(A219,Career_History!E26)-Career_History!D26+1),0),IF(Career_History!G27=TRUE,IF(A219&lt;Career_History!D27,0,MIN(A219,Career_History!E27)-Career_History!D27+1),0),IF(Career_History!G28=TRUE,IF(A219&lt;Career_History!D28,0,MIN(A219,Career_History!E28)-Career_History!D28+1),0),IF(Career_History!G29=TRUE,IF(A219&lt;Career_History!D29,0,MIN(A219,Career_History!E29)-Career_History!D29+1),0))/365.2425</f>
        <v>39.590135321053822</v>
      </c>
      <c r="AD219" s="9">
        <f>SUM(IF(Career_History!I25=TRUE,IF(A219&lt;Career_History!D25,0,MIN(A219,Career_History!E25)-Career_History!D25+1),0),IF(Career_History!I26=TRUE,IF(A219&lt;Career_History!D26,0,MIN(A219,Career_History!E26)-Career_History!D26+1),0),IF(Career_History!I27=TRUE,IF(A219&lt;Career_History!D27,0,MIN(A219,Career_History!E27)-Career_History!D27+1),0),IF(Career_History!I28=TRUE,IF(A219&lt;Career_History!D28,0,MIN(A219,Career_History!E28)-Career_History!D28+1),0),IF(Career_History!I29=TRUE,IF(A219&lt;Career_History!D29,0,MIN(A219,Career_History!E29)-Career_History!D29+1),0))/365.2425</f>
        <v>0</v>
      </c>
      <c r="AE219" s="9">
        <f>SUM(IF(Career_History!H25=TRUE,IF(A219&lt;Career_History!D25,0,MIN(A219,Career_History!E25)-Career_History!D25+1),0),IF(Career_History!H26=TRUE,IF(A219&lt;Career_History!D26,0,MIN(A219,Career_History!E26)-Career_History!D26+1),0),IF(Career_History!H27=TRUE,IF(A219&lt;Career_History!D27,0,MIN(A219,Career_History!E27)-Career_History!D27+1),0),IF(Career_History!H28=TRUE,IF(A219&lt;Career_History!D28,0,MIN(A219,Career_History!E28)-Career_History!D28+1),0),IF(Career_History!H29=TRUE,IF(A219&lt;Career_History!D29,0,MIN(A219,Career_History!E29)-Career_History!D29+1),0))/365.2425</f>
        <v>27.086114020137305</v>
      </c>
      <c r="AF219" s="9">
        <f>SUM(IF(Career_History!G30=TRUE,IF(A219&lt;Career_History!D30,0,MIN(A219,Career_History!E30)-Career_History!D30+1),0),IF(Career_History!G31=TRUE,IF(A219&lt;Career_History!D31,0,MIN(A219,Career_History!E31)-Career_History!D31+1),0),IF(Career_History!G32=TRUE,IF(A219&lt;Career_History!D32,0,MIN(A219,Career_History!E32)-Career_History!D32+1),0))/365.2425</f>
        <v>32.589307104184208</v>
      </c>
      <c r="AG219" s="9">
        <f>SUM(IF(Career_History!I30=TRUE,IF(A219&lt;Career_History!D30,0,MIN(A219,Career_History!E30)-Career_History!D30+1),0),IF(Career_History!I31=TRUE,IF(A219&lt;Career_History!D31,0,MIN(A219,Career_History!E31)-Career_History!D31+1),0),IF(Career_History!I32=TRUE,IF(A219&lt;Career_History!D32,0,MIN(A219,Career_History!E32)-Career_History!D32+1),0))/365.2425</f>
        <v>0</v>
      </c>
      <c r="AH219" s="9">
        <f>SUM(IF(Career_History!H30=TRUE,IF(A219&lt;Career_History!D30,0,MIN(A219,Career_History!E30)-Career_History!D30+1),0),IF(Career_History!H31=TRUE,IF(A219&lt;Career_History!D31,0,MIN(A219,Career_History!E31)-Career_History!D31+1),0),IF(Career_History!H32=TRUE,IF(A219&lt;Career_History!D32,0,MIN(A219,Career_History!E32)-Career_History!D32+1),0))/365.2425</f>
        <v>3.6852228314065312</v>
      </c>
      <c r="AI219" s="9">
        <f>SUM(IF(Career_History!G33=TRUE,IF(A219&lt;Career_History!D33,0,MIN(A219,Career_History!E33)-Career_History!D33+1),0),IF(Career_History!G34=TRUE,IF(A219&lt;Career_History!D34,0,MIN(A219,Career_History!E34)-Career_History!D34+1),0),IF(Career_History!G35=TRUE,IF(A219&lt;Career_History!D35,0,MIN(A219,Career_History!E35)-Career_History!D35+1),0),IF(Career_History!G36=TRUE,IF(A219&lt;Career_History!D36,0,MIN(A219,Career_History!E36)-Career_History!D36+1),0),IF(Career_History!G37=TRUE,IF(A219&lt;Career_History!D37,0,MIN(A219,Career_History!E37)-Career_History!D37+1),0),IF(Career_History!G38=TRUE,IF(A219&lt;Career_History!D38,0,MIN(A219,Career_History!E38)-Career_History!D38+1),0))/365.2425</f>
        <v>32.589307104184208</v>
      </c>
      <c r="AJ219" s="9">
        <f>SUM(IF(Career_History!I33=TRUE,IF(A219&lt;Career_History!D33,0,MIN(A219,Career_History!E33)-Career_History!D33+1),0),IF(Career_History!I34=TRUE,IF(A219&lt;Career_History!D34,0,MIN(A219,Career_History!E34)-Career_History!D34+1),0),IF(Career_History!I35=TRUE,IF(A219&lt;Career_History!D35,0,MIN(A219,Career_History!E35)-Career_History!D35+1),0),IF(Career_History!I36=TRUE,IF(A219&lt;Career_History!D36,0,MIN(A219,Career_History!E36)-Career_History!D36+1),0),IF(Career_History!I37=TRUE,IF(A219&lt;Career_History!D37,0,MIN(A219,Career_History!E37)-Career_History!D37+1),0),IF(Career_History!I38=TRUE,IF(A219&lt;Career_History!D38,0,MIN(A219,Career_History!E38)-Career_History!D38+1),0))/365.2425</f>
        <v>5.664729597459222</v>
      </c>
      <c r="AK219" s="9">
        <f>SUM(IF(Career_History!H33=TRUE,IF(A219&lt;Career_History!D33,0,MIN(A219,Career_History!E33)-Career_History!D33+1),0),IF(Career_History!H34=TRUE,IF(A219&lt;Career_History!D34,0,MIN(A219,Career_History!E34)-Career_History!D34+1),0),IF(Career_History!H35=TRUE,IF(A219&lt;Career_History!D35,0,MIN(A219,Career_History!E35)-Career_History!D35+1),0),IF(Career_History!H36=TRUE,IF(A219&lt;Career_History!D36,0,MIN(A219,Career_History!E36)-Career_History!D36+1),0),IF(Career_History!H37=TRUE,IF(A219&lt;Career_History!D37,0,MIN(A219,Career_History!E37)-Career_History!D37+1),0),IF(Career_History!H38=TRUE,IF(A219&lt;Career_History!D38,0,MIN(A219,Career_History!E38)-Career_History!D38+1),0))/365.2425</f>
        <v>26.924577506724983</v>
      </c>
      <c r="AL219" s="9">
        <f>SUM(IF(Career_History!G39=TRUE,IF(A219&lt;Career_History!D39,0,MIN(A219,Career_History!E39)-Career_History!D39+1),0),IF(Career_History!G40=TRUE,IF(A219&lt;Career_History!D40,0,MIN(A219,Career_History!E40)-Career_History!D40+1),0))/365.2425</f>
        <v>19.589724635002771</v>
      </c>
      <c r="AM219" s="9">
        <f>SUM(IF(Career_History!I39=TRUE,IF(A219&lt;Career_History!D39,0,MIN(A219,Career_History!E39)-Career_History!D39+1),0),IF(Career_History!I40=TRUE,IF(A219&lt;Career_History!D40,0,MIN(A219,Career_History!E40)-Career_History!D40+1),0))/365.2425</f>
        <v>0</v>
      </c>
      <c r="AN219" s="9">
        <f>SUM(IF(Career_History!H39=TRUE,IF(A219&lt;Career_History!D39,0,MIN(A219,Career_History!E39)-Career_History!D39+1),0),IF(Career_History!H40=TRUE,IF(A219&lt;Career_History!D40,0,MIN(A219,Career_History!E40)-Career_History!D40+1),0))/365.2425</f>
        <v>19.589724635002771</v>
      </c>
      <c r="AO219" s="9">
        <f>SUM(IF(Career_History!G41=TRUE,IF(A219&lt;Career_History!D41,0,MIN(A219,Career_History!E41)-Career_History!D41+1),0),IF(Career_History!G42=TRUE,IF(A219&lt;Career_History!D42,0,MIN(A219,Career_History!E42)-Career_History!D42+1),0))/365.2425</f>
        <v>32.589307104184208</v>
      </c>
      <c r="AP219" s="9">
        <f>SUM(IF(Career_History!I41=TRUE,IF(A219&lt;Career_History!D41,0,MIN(A219,Career_History!E41)-Career_History!D41+1),0),IF(Career_History!I42=TRUE,IF(A219&lt;Career_History!D42,0,MIN(A219,Career_History!E42)-Career_History!D42+1),0))/365.2425</f>
        <v>0</v>
      </c>
      <c r="AQ219" s="9">
        <f>SUM(IF(Career_History!H41=TRUE,IF(A219&lt;Career_History!D41,0,MIN(A219,Career_History!E41)-Career_History!D41+1),0),IF(Career_History!H42=TRUE,IF(A219&lt;Career_History!D42,0,MIN(A219,Career_History!E42)-Career_History!D42+1),0))/365.2425</f>
        <v>32.589307104184208</v>
      </c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/>
      <c r="BO219" s="9"/>
    </row>
    <row r="220" spans="1:67">
      <c r="A220" s="8">
        <v>41333</v>
      </c>
      <c r="B220" s="9">
        <f t="shared" si="9"/>
        <v>31.466217649917514</v>
      </c>
      <c r="C220" s="9">
        <f t="shared" si="10"/>
        <v>1.1329459194918443</v>
      </c>
      <c r="D220" s="9">
        <f t="shared" si="11"/>
        <v>22.051650615686839</v>
      </c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>
        <f>SUM(IF(Career_History!G25=TRUE,IF(A220&lt;Career_History!D25,0,MIN(A220,Career_History!E25)-Career_History!D25+1),0),IF(Career_History!G26=TRUE,IF(A220&lt;Career_History!D26,0,MIN(A220,Career_History!E26)-Career_History!D26+1),0),IF(Career_History!G27=TRUE,IF(A220&lt;Career_History!D27,0,MIN(A220,Career_History!E27)-Career_History!D27+1),0),IF(Career_History!G28=TRUE,IF(A220&lt;Career_History!D28,0,MIN(A220,Career_History!E28)-Career_History!D28+1),0),IF(Career_History!G29=TRUE,IF(A220&lt;Career_History!D29,0,MIN(A220,Career_History!E29)-Career_History!D29+1),0))/365.2425</f>
        <v>39.666796717249497</v>
      </c>
      <c r="AD220" s="9">
        <f>SUM(IF(Career_History!I25=TRUE,IF(A220&lt;Career_History!D25,0,MIN(A220,Career_History!E25)-Career_History!D25+1),0),IF(Career_History!I26=TRUE,IF(A220&lt;Career_History!D26,0,MIN(A220,Career_History!E26)-Career_History!D26+1),0),IF(Career_History!I27=TRUE,IF(A220&lt;Career_History!D27,0,MIN(A220,Career_History!E27)-Career_History!D27+1),0),IF(Career_History!I28=TRUE,IF(A220&lt;Career_History!D28,0,MIN(A220,Career_History!E28)-Career_History!D28+1),0),IF(Career_History!I29=TRUE,IF(A220&lt;Career_History!D29,0,MIN(A220,Career_History!E29)-Career_History!D29+1),0))/365.2425</f>
        <v>0</v>
      </c>
      <c r="AE220" s="9">
        <f>SUM(IF(Career_History!H25=TRUE,IF(A220&lt;Career_History!D25,0,MIN(A220,Career_History!E25)-Career_History!D25+1),0),IF(Career_History!H26=TRUE,IF(A220&lt;Career_History!D26,0,MIN(A220,Career_History!E26)-Career_History!D26+1),0),IF(Career_History!H27=TRUE,IF(A220&lt;Career_History!D27,0,MIN(A220,Career_History!E27)-Career_History!D27+1),0),IF(Career_History!H28=TRUE,IF(A220&lt;Career_History!D28,0,MIN(A220,Career_History!E28)-Career_History!D28+1),0),IF(Career_History!H29=TRUE,IF(A220&lt;Career_History!D29,0,MIN(A220,Career_History!E29)-Career_History!D29+1),0))/365.2425</f>
        <v>27.162775416332984</v>
      </c>
      <c r="AF220" s="9">
        <f>SUM(IF(Career_History!G30=TRUE,IF(A220&lt;Career_History!D30,0,MIN(A220,Career_History!E30)-Career_History!D30+1),0),IF(Career_History!G31=TRUE,IF(A220&lt;Career_History!D31,0,MIN(A220,Career_History!E31)-Career_History!D31+1),0),IF(Career_History!G32=TRUE,IF(A220&lt;Career_History!D32,0,MIN(A220,Career_History!E32)-Career_History!D32+1),0))/365.2425</f>
        <v>32.665968500379883</v>
      </c>
      <c r="AG220" s="9">
        <f>SUM(IF(Career_History!I30=TRUE,IF(A220&lt;Career_History!D30,0,MIN(A220,Career_History!E30)-Career_History!D30+1),0),IF(Career_History!I31=TRUE,IF(A220&lt;Career_History!D31,0,MIN(A220,Career_History!E31)-Career_History!D31+1),0),IF(Career_History!I32=TRUE,IF(A220&lt;Career_History!D32,0,MIN(A220,Career_History!E32)-Career_History!D32+1),0))/365.2425</f>
        <v>0</v>
      </c>
      <c r="AH220" s="9">
        <f>SUM(IF(Career_History!H30=TRUE,IF(A220&lt;Career_History!D30,0,MIN(A220,Career_History!E30)-Career_History!D30+1),0),IF(Career_History!H31=TRUE,IF(A220&lt;Career_History!D31,0,MIN(A220,Career_History!E31)-Career_History!D31+1),0),IF(Career_History!H32=TRUE,IF(A220&lt;Career_History!D32,0,MIN(A220,Career_History!E32)-Career_History!D32+1),0))/365.2425</f>
        <v>3.7618842276022093</v>
      </c>
      <c r="AI220" s="9">
        <f>SUM(IF(Career_History!G33=TRUE,IF(A220&lt;Career_History!D33,0,MIN(A220,Career_History!E33)-Career_History!D33+1),0),IF(Career_History!G34=TRUE,IF(A220&lt;Career_History!D34,0,MIN(A220,Career_History!E34)-Career_History!D34+1),0),IF(Career_History!G35=TRUE,IF(A220&lt;Career_History!D35,0,MIN(A220,Career_History!E35)-Career_History!D35+1),0),IF(Career_History!G36=TRUE,IF(A220&lt;Career_History!D36,0,MIN(A220,Career_History!E36)-Career_History!D36+1),0),IF(Career_History!G37=TRUE,IF(A220&lt;Career_History!D37,0,MIN(A220,Career_History!E37)-Career_History!D37+1),0),IF(Career_History!G38=TRUE,IF(A220&lt;Career_History!D38,0,MIN(A220,Career_History!E38)-Career_History!D38+1),0))/365.2425</f>
        <v>32.665968500379883</v>
      </c>
      <c r="AJ220" s="9">
        <f>SUM(IF(Career_History!I33=TRUE,IF(A220&lt;Career_History!D33,0,MIN(A220,Career_History!E33)-Career_History!D33+1),0),IF(Career_History!I34=TRUE,IF(A220&lt;Career_History!D34,0,MIN(A220,Career_History!E34)-Career_History!D34+1),0),IF(Career_History!I35=TRUE,IF(A220&lt;Career_History!D35,0,MIN(A220,Career_History!E35)-Career_History!D35+1),0),IF(Career_History!I36=TRUE,IF(A220&lt;Career_History!D36,0,MIN(A220,Career_History!E36)-Career_History!D36+1),0),IF(Career_History!I37=TRUE,IF(A220&lt;Career_History!D37,0,MIN(A220,Career_History!E37)-Career_History!D37+1),0),IF(Career_History!I38=TRUE,IF(A220&lt;Career_History!D38,0,MIN(A220,Career_History!E38)-Career_History!D38+1),0))/365.2425</f>
        <v>5.664729597459222</v>
      </c>
      <c r="AK220" s="9">
        <f>SUM(IF(Career_History!H33=TRUE,IF(A220&lt;Career_History!D33,0,MIN(A220,Career_History!E33)-Career_History!D33+1),0),IF(Career_History!H34=TRUE,IF(A220&lt;Career_History!D34,0,MIN(A220,Career_History!E34)-Career_History!D34+1),0),IF(Career_History!H35=TRUE,IF(A220&lt;Career_History!D35,0,MIN(A220,Career_History!E35)-Career_History!D35+1),0),IF(Career_History!H36=TRUE,IF(A220&lt;Career_History!D36,0,MIN(A220,Career_History!E36)-Career_History!D36+1),0),IF(Career_History!H37=TRUE,IF(A220&lt;Career_History!D37,0,MIN(A220,Career_History!E37)-Career_History!D37+1),0),IF(Career_History!H38=TRUE,IF(A220&lt;Career_History!D38,0,MIN(A220,Career_History!E38)-Career_History!D38+1),0))/365.2425</f>
        <v>27.001238902920662</v>
      </c>
      <c r="AL220" s="9">
        <f>SUM(IF(Career_History!G39=TRUE,IF(A220&lt;Career_History!D39,0,MIN(A220,Career_History!E39)-Career_History!D39+1),0),IF(Career_History!G40=TRUE,IF(A220&lt;Career_History!D40,0,MIN(A220,Career_History!E40)-Career_History!D40+1),0))/365.2425</f>
        <v>19.666386031198449</v>
      </c>
      <c r="AM220" s="9">
        <f>SUM(IF(Career_History!I39=TRUE,IF(A220&lt;Career_History!D39,0,MIN(A220,Career_History!E39)-Career_History!D39+1),0),IF(Career_History!I40=TRUE,IF(A220&lt;Career_History!D40,0,MIN(A220,Career_History!E40)-Career_History!D40+1),0))/365.2425</f>
        <v>0</v>
      </c>
      <c r="AN220" s="9">
        <f>SUM(IF(Career_History!H39=TRUE,IF(A220&lt;Career_History!D39,0,MIN(A220,Career_History!E39)-Career_History!D39+1),0),IF(Career_History!H40=TRUE,IF(A220&lt;Career_History!D40,0,MIN(A220,Career_History!E40)-Career_History!D40+1),0))/365.2425</f>
        <v>19.666386031198449</v>
      </c>
      <c r="AO220" s="9">
        <f>SUM(IF(Career_History!G41=TRUE,IF(A220&lt;Career_History!D41,0,MIN(A220,Career_History!E41)-Career_History!D41+1),0),IF(Career_History!G42=TRUE,IF(A220&lt;Career_History!D42,0,MIN(A220,Career_History!E42)-Career_History!D42+1),0))/365.2425</f>
        <v>32.665968500379883</v>
      </c>
      <c r="AP220" s="9">
        <f>SUM(IF(Career_History!I41=TRUE,IF(A220&lt;Career_History!D41,0,MIN(A220,Career_History!E41)-Career_History!D41+1),0),IF(Career_History!I42=TRUE,IF(A220&lt;Career_History!D42,0,MIN(A220,Career_History!E42)-Career_History!D42+1),0))/365.2425</f>
        <v>0</v>
      </c>
      <c r="AQ220" s="9">
        <f>SUM(IF(Career_History!H41=TRUE,IF(A220&lt;Career_History!D41,0,MIN(A220,Career_History!E41)-Career_History!D41+1),0),IF(Career_History!H42=TRUE,IF(A220&lt;Career_History!D42,0,MIN(A220,Career_History!E42)-Career_History!D42+1),0))/365.2425</f>
        <v>32.665968500379883</v>
      </c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  <c r="BG220" s="9"/>
      <c r="BH220" s="9"/>
      <c r="BI220" s="9"/>
      <c r="BJ220" s="9"/>
      <c r="BK220" s="9"/>
      <c r="BL220" s="9"/>
      <c r="BM220" s="9"/>
      <c r="BN220" s="9"/>
      <c r="BO220" s="9"/>
    </row>
    <row r="221" spans="1:67">
      <c r="A221" s="8">
        <v>41364</v>
      </c>
      <c r="B221" s="9">
        <f t="shared" si="9"/>
        <v>31.551092767134168</v>
      </c>
      <c r="C221" s="9">
        <f t="shared" si="10"/>
        <v>1.1329459194918443</v>
      </c>
      <c r="D221" s="9">
        <f t="shared" si="11"/>
        <v>22.136525732903483</v>
      </c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>
        <f>SUM(IF(Career_History!G25=TRUE,IF(A221&lt;Career_History!D25,0,MIN(A221,Career_History!E25)-Career_History!D25+1),0),IF(Career_History!G26=TRUE,IF(A221&lt;Career_History!D26,0,MIN(A221,Career_History!E26)-Career_History!D26+1),0),IF(Career_History!G27=TRUE,IF(A221&lt;Career_History!D27,0,MIN(A221,Career_History!E27)-Career_History!D27+1),0),IF(Career_History!G28=TRUE,IF(A221&lt;Career_History!D28,0,MIN(A221,Career_History!E28)-Career_History!D28+1),0),IF(Career_History!G29=TRUE,IF(A221&lt;Career_History!D29,0,MIN(A221,Career_History!E29)-Career_History!D29+1),0))/365.2425</f>
        <v>39.751671834466144</v>
      </c>
      <c r="AD221" s="9">
        <f>SUM(IF(Career_History!I25=TRUE,IF(A221&lt;Career_History!D25,0,MIN(A221,Career_History!E25)-Career_History!D25+1),0),IF(Career_History!I26=TRUE,IF(A221&lt;Career_History!D26,0,MIN(A221,Career_History!E26)-Career_History!D26+1),0),IF(Career_History!I27=TRUE,IF(A221&lt;Career_History!D27,0,MIN(A221,Career_History!E27)-Career_History!D27+1),0),IF(Career_History!I28=TRUE,IF(A221&lt;Career_History!D28,0,MIN(A221,Career_History!E28)-Career_History!D28+1),0),IF(Career_History!I29=TRUE,IF(A221&lt;Career_History!D29,0,MIN(A221,Career_History!E29)-Career_History!D29+1),0))/365.2425</f>
        <v>0</v>
      </c>
      <c r="AE221" s="9">
        <f>SUM(IF(Career_History!H25=TRUE,IF(A221&lt;Career_History!D25,0,MIN(A221,Career_History!E25)-Career_History!D25+1),0),IF(Career_History!H26=TRUE,IF(A221&lt;Career_History!D26,0,MIN(A221,Career_History!E26)-Career_History!D26+1),0),IF(Career_History!H27=TRUE,IF(A221&lt;Career_History!D27,0,MIN(A221,Career_History!E27)-Career_History!D27+1),0),IF(Career_History!H28=TRUE,IF(A221&lt;Career_History!D28,0,MIN(A221,Career_History!E28)-Career_History!D28+1),0),IF(Career_History!H29=TRUE,IF(A221&lt;Career_History!D29,0,MIN(A221,Career_History!E29)-Career_History!D29+1),0))/365.2425</f>
        <v>27.247650533549628</v>
      </c>
      <c r="AF221" s="9">
        <f>SUM(IF(Career_History!G30=TRUE,IF(A221&lt;Career_History!D30,0,MIN(A221,Career_History!E30)-Career_History!D30+1),0),IF(Career_History!G31=TRUE,IF(A221&lt;Career_History!D31,0,MIN(A221,Career_History!E31)-Career_History!D31+1),0),IF(Career_History!G32=TRUE,IF(A221&lt;Career_History!D32,0,MIN(A221,Career_History!E32)-Career_History!D32+1),0))/365.2425</f>
        <v>32.75084361759653</v>
      </c>
      <c r="AG221" s="9">
        <f>SUM(IF(Career_History!I30=TRUE,IF(A221&lt;Career_History!D30,0,MIN(A221,Career_History!E30)-Career_History!D30+1),0),IF(Career_History!I31=TRUE,IF(A221&lt;Career_History!D31,0,MIN(A221,Career_History!E31)-Career_History!D31+1),0),IF(Career_History!I32=TRUE,IF(A221&lt;Career_History!D32,0,MIN(A221,Career_History!E32)-Career_History!D32+1),0))/365.2425</f>
        <v>0</v>
      </c>
      <c r="AH221" s="9">
        <f>SUM(IF(Career_History!H30=TRUE,IF(A221&lt;Career_History!D30,0,MIN(A221,Career_History!E30)-Career_History!D30+1),0),IF(Career_History!H31=TRUE,IF(A221&lt;Career_History!D31,0,MIN(A221,Career_History!E31)-Career_History!D31+1),0),IF(Career_History!H32=TRUE,IF(A221&lt;Career_History!D32,0,MIN(A221,Career_History!E32)-Career_History!D32+1),0))/365.2425</f>
        <v>3.8467593448188531</v>
      </c>
      <c r="AI221" s="9">
        <f>SUM(IF(Career_History!G33=TRUE,IF(A221&lt;Career_History!D33,0,MIN(A221,Career_History!E33)-Career_History!D33+1),0),IF(Career_History!G34=TRUE,IF(A221&lt;Career_History!D34,0,MIN(A221,Career_History!E34)-Career_History!D34+1),0),IF(Career_History!G35=TRUE,IF(A221&lt;Career_History!D35,0,MIN(A221,Career_History!E35)-Career_History!D35+1),0),IF(Career_History!G36=TRUE,IF(A221&lt;Career_History!D36,0,MIN(A221,Career_History!E36)-Career_History!D36+1),0),IF(Career_History!G37=TRUE,IF(A221&lt;Career_History!D37,0,MIN(A221,Career_History!E37)-Career_History!D37+1),0),IF(Career_History!G38=TRUE,IF(A221&lt;Career_History!D38,0,MIN(A221,Career_History!E38)-Career_History!D38+1),0))/365.2425</f>
        <v>32.75084361759653</v>
      </c>
      <c r="AJ221" s="9">
        <f>SUM(IF(Career_History!I33=TRUE,IF(A221&lt;Career_History!D33,0,MIN(A221,Career_History!E33)-Career_History!D33+1),0),IF(Career_History!I34=TRUE,IF(A221&lt;Career_History!D34,0,MIN(A221,Career_History!E34)-Career_History!D34+1),0),IF(Career_History!I35=TRUE,IF(A221&lt;Career_History!D35,0,MIN(A221,Career_History!E35)-Career_History!D35+1),0),IF(Career_History!I36=TRUE,IF(A221&lt;Career_History!D36,0,MIN(A221,Career_History!E36)-Career_History!D36+1),0),IF(Career_History!I37=TRUE,IF(A221&lt;Career_History!D37,0,MIN(A221,Career_History!E37)-Career_History!D37+1),0),IF(Career_History!I38=TRUE,IF(A221&lt;Career_History!D38,0,MIN(A221,Career_History!E38)-Career_History!D38+1),0))/365.2425</f>
        <v>5.664729597459222</v>
      </c>
      <c r="AK221" s="9">
        <f>SUM(IF(Career_History!H33=TRUE,IF(A221&lt;Career_History!D33,0,MIN(A221,Career_History!E33)-Career_History!D33+1),0),IF(Career_History!H34=TRUE,IF(A221&lt;Career_History!D34,0,MIN(A221,Career_History!E34)-Career_History!D34+1),0),IF(Career_History!H35=TRUE,IF(A221&lt;Career_History!D35,0,MIN(A221,Career_History!E35)-Career_History!D35+1),0),IF(Career_History!H36=TRUE,IF(A221&lt;Career_History!D36,0,MIN(A221,Career_History!E36)-Career_History!D36+1),0),IF(Career_History!H37=TRUE,IF(A221&lt;Career_History!D37,0,MIN(A221,Career_History!E37)-Career_History!D37+1),0),IF(Career_History!H38=TRUE,IF(A221&lt;Career_History!D38,0,MIN(A221,Career_History!E38)-Career_History!D38+1),0))/365.2425</f>
        <v>27.086114020137305</v>
      </c>
      <c r="AL221" s="9">
        <f>SUM(IF(Career_History!G39=TRUE,IF(A221&lt;Career_History!D39,0,MIN(A221,Career_History!E39)-Career_History!D39+1),0),IF(Career_History!G40=TRUE,IF(A221&lt;Career_History!D40,0,MIN(A221,Career_History!E40)-Career_History!D40+1),0))/365.2425</f>
        <v>19.751261148415093</v>
      </c>
      <c r="AM221" s="9">
        <f>SUM(IF(Career_History!I39=TRUE,IF(A221&lt;Career_History!D39,0,MIN(A221,Career_History!E39)-Career_History!D39+1),0),IF(Career_History!I40=TRUE,IF(A221&lt;Career_History!D40,0,MIN(A221,Career_History!E40)-Career_History!D40+1),0))/365.2425</f>
        <v>0</v>
      </c>
      <c r="AN221" s="9">
        <f>SUM(IF(Career_History!H39=TRUE,IF(A221&lt;Career_History!D39,0,MIN(A221,Career_History!E39)-Career_History!D39+1),0),IF(Career_History!H40=TRUE,IF(A221&lt;Career_History!D40,0,MIN(A221,Career_History!E40)-Career_History!D40+1),0))/365.2425</f>
        <v>19.751261148415093</v>
      </c>
      <c r="AO221" s="9">
        <f>SUM(IF(Career_History!G41=TRUE,IF(A221&lt;Career_History!D41,0,MIN(A221,Career_History!E41)-Career_History!D41+1),0),IF(Career_History!G42=TRUE,IF(A221&lt;Career_History!D42,0,MIN(A221,Career_History!E42)-Career_History!D42+1),0))/365.2425</f>
        <v>32.75084361759653</v>
      </c>
      <c r="AP221" s="9">
        <f>SUM(IF(Career_History!I41=TRUE,IF(A221&lt;Career_History!D41,0,MIN(A221,Career_History!E41)-Career_History!D41+1),0),IF(Career_History!I42=TRUE,IF(A221&lt;Career_History!D42,0,MIN(A221,Career_History!E42)-Career_History!D42+1),0))/365.2425</f>
        <v>0</v>
      </c>
      <c r="AQ221" s="9">
        <f>SUM(IF(Career_History!H41=TRUE,IF(A221&lt;Career_History!D41,0,MIN(A221,Career_History!E41)-Career_History!D41+1),0),IF(Career_History!H42=TRUE,IF(A221&lt;Career_History!D42,0,MIN(A221,Career_History!E42)-Career_History!D42+1),0))/365.2425</f>
        <v>32.75084361759653</v>
      </c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/>
      <c r="BO221" s="9"/>
    </row>
    <row r="222" spans="1:67">
      <c r="A222" s="8">
        <v>41394</v>
      </c>
      <c r="B222" s="9">
        <f t="shared" si="9"/>
        <v>31.63322997734382</v>
      </c>
      <c r="C222" s="9">
        <f t="shared" si="10"/>
        <v>1.1329459194918443</v>
      </c>
      <c r="D222" s="9">
        <f t="shared" si="11"/>
        <v>22.218662943113138</v>
      </c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>
        <f>SUM(IF(Career_History!G25=TRUE,IF(A222&lt;Career_History!D25,0,MIN(A222,Career_History!E25)-Career_History!D25+1),0),IF(Career_History!G26=TRUE,IF(A222&lt;Career_History!D26,0,MIN(A222,Career_History!E26)-Career_History!D26+1),0),IF(Career_History!G27=TRUE,IF(A222&lt;Career_History!D27,0,MIN(A222,Career_History!E27)-Career_History!D27+1),0),IF(Career_History!G28=TRUE,IF(A222&lt;Career_History!D28,0,MIN(A222,Career_History!E28)-Career_History!D28+1),0),IF(Career_History!G29=TRUE,IF(A222&lt;Career_History!D29,0,MIN(A222,Career_History!E29)-Career_History!D29+1),0))/365.2425</f>
        <v>39.833809044675796</v>
      </c>
      <c r="AD222" s="9">
        <f>SUM(IF(Career_History!I25=TRUE,IF(A222&lt;Career_History!D25,0,MIN(A222,Career_History!E25)-Career_History!D25+1),0),IF(Career_History!I26=TRUE,IF(A222&lt;Career_History!D26,0,MIN(A222,Career_History!E26)-Career_History!D26+1),0),IF(Career_History!I27=TRUE,IF(A222&lt;Career_History!D27,0,MIN(A222,Career_History!E27)-Career_History!D27+1),0),IF(Career_History!I28=TRUE,IF(A222&lt;Career_History!D28,0,MIN(A222,Career_History!E28)-Career_History!D28+1),0),IF(Career_History!I29=TRUE,IF(A222&lt;Career_History!D29,0,MIN(A222,Career_History!E29)-Career_History!D29+1),0))/365.2425</f>
        <v>0</v>
      </c>
      <c r="AE222" s="9">
        <f>SUM(IF(Career_History!H25=TRUE,IF(A222&lt;Career_History!D25,0,MIN(A222,Career_History!E25)-Career_History!D25+1),0),IF(Career_History!H26=TRUE,IF(A222&lt;Career_History!D26,0,MIN(A222,Career_History!E26)-Career_History!D26+1),0),IF(Career_History!H27=TRUE,IF(A222&lt;Career_History!D27,0,MIN(A222,Career_History!E27)-Career_History!D27+1),0),IF(Career_History!H28=TRUE,IF(A222&lt;Career_History!D28,0,MIN(A222,Career_History!E28)-Career_History!D28+1),0),IF(Career_History!H29=TRUE,IF(A222&lt;Career_History!D29,0,MIN(A222,Career_History!E29)-Career_History!D29+1),0))/365.2425</f>
        <v>27.329787743759283</v>
      </c>
      <c r="AF222" s="9">
        <f>SUM(IF(Career_History!G30=TRUE,IF(A222&lt;Career_History!D30,0,MIN(A222,Career_History!E30)-Career_History!D30+1),0),IF(Career_History!G31=TRUE,IF(A222&lt;Career_History!D31,0,MIN(A222,Career_History!E31)-Career_History!D31+1),0),IF(Career_History!G32=TRUE,IF(A222&lt;Career_History!D32,0,MIN(A222,Career_History!E32)-Career_History!D32+1),0))/365.2425</f>
        <v>32.832980827806182</v>
      </c>
      <c r="AG222" s="9">
        <f>SUM(IF(Career_History!I30=TRUE,IF(A222&lt;Career_History!D30,0,MIN(A222,Career_History!E30)-Career_History!D30+1),0),IF(Career_History!I31=TRUE,IF(A222&lt;Career_History!D31,0,MIN(A222,Career_History!E31)-Career_History!D31+1),0),IF(Career_History!I32=TRUE,IF(A222&lt;Career_History!D32,0,MIN(A222,Career_History!E32)-Career_History!D32+1),0))/365.2425</f>
        <v>0</v>
      </c>
      <c r="AH222" s="9">
        <f>SUM(IF(Career_History!H30=TRUE,IF(A222&lt;Career_History!D30,0,MIN(A222,Career_History!E30)-Career_History!D30+1),0),IF(Career_History!H31=TRUE,IF(A222&lt;Career_History!D31,0,MIN(A222,Career_History!E31)-Career_History!D31+1),0),IF(Career_History!H32=TRUE,IF(A222&lt;Career_History!D32,0,MIN(A222,Career_History!E32)-Career_History!D32+1),0))/365.2425</f>
        <v>3.9288965550285084</v>
      </c>
      <c r="AI222" s="9">
        <f>SUM(IF(Career_History!G33=TRUE,IF(A222&lt;Career_History!D33,0,MIN(A222,Career_History!E33)-Career_History!D33+1),0),IF(Career_History!G34=TRUE,IF(A222&lt;Career_History!D34,0,MIN(A222,Career_History!E34)-Career_History!D34+1),0),IF(Career_History!G35=TRUE,IF(A222&lt;Career_History!D35,0,MIN(A222,Career_History!E35)-Career_History!D35+1),0),IF(Career_History!G36=TRUE,IF(A222&lt;Career_History!D36,0,MIN(A222,Career_History!E36)-Career_History!D36+1),0),IF(Career_History!G37=TRUE,IF(A222&lt;Career_History!D37,0,MIN(A222,Career_History!E37)-Career_History!D37+1),0),IF(Career_History!G38=TRUE,IF(A222&lt;Career_History!D38,0,MIN(A222,Career_History!E38)-Career_History!D38+1),0))/365.2425</f>
        <v>32.832980827806182</v>
      </c>
      <c r="AJ222" s="9">
        <f>SUM(IF(Career_History!I33=TRUE,IF(A222&lt;Career_History!D33,0,MIN(A222,Career_History!E33)-Career_History!D33+1),0),IF(Career_History!I34=TRUE,IF(A222&lt;Career_History!D34,0,MIN(A222,Career_History!E34)-Career_History!D34+1),0),IF(Career_History!I35=TRUE,IF(A222&lt;Career_History!D35,0,MIN(A222,Career_History!E35)-Career_History!D35+1),0),IF(Career_History!I36=TRUE,IF(A222&lt;Career_History!D36,0,MIN(A222,Career_History!E36)-Career_History!D36+1),0),IF(Career_History!I37=TRUE,IF(A222&lt;Career_History!D37,0,MIN(A222,Career_History!E37)-Career_History!D37+1),0),IF(Career_History!I38=TRUE,IF(A222&lt;Career_History!D38,0,MIN(A222,Career_History!E38)-Career_History!D38+1),0))/365.2425</f>
        <v>5.664729597459222</v>
      </c>
      <c r="AK222" s="9">
        <f>SUM(IF(Career_History!H33=TRUE,IF(A222&lt;Career_History!D33,0,MIN(A222,Career_History!E33)-Career_History!D33+1),0),IF(Career_History!H34=TRUE,IF(A222&lt;Career_History!D34,0,MIN(A222,Career_History!E34)-Career_History!D34+1),0),IF(Career_History!H35=TRUE,IF(A222&lt;Career_History!D35,0,MIN(A222,Career_History!E35)-Career_History!D35+1),0),IF(Career_History!H36=TRUE,IF(A222&lt;Career_History!D36,0,MIN(A222,Career_History!E36)-Career_History!D36+1),0),IF(Career_History!H37=TRUE,IF(A222&lt;Career_History!D37,0,MIN(A222,Career_History!E37)-Career_History!D37+1),0),IF(Career_History!H38=TRUE,IF(A222&lt;Career_History!D38,0,MIN(A222,Career_History!E38)-Career_History!D38+1),0))/365.2425</f>
        <v>27.168251230346961</v>
      </c>
      <c r="AL222" s="9">
        <f>SUM(IF(Career_History!G39=TRUE,IF(A222&lt;Career_History!D39,0,MIN(A222,Career_History!E39)-Career_History!D39+1),0),IF(Career_History!G40=TRUE,IF(A222&lt;Career_History!D40,0,MIN(A222,Career_History!E40)-Career_History!D40+1),0))/365.2425</f>
        <v>19.833398358624748</v>
      </c>
      <c r="AM222" s="9">
        <f>SUM(IF(Career_History!I39=TRUE,IF(A222&lt;Career_History!D39,0,MIN(A222,Career_History!E39)-Career_History!D39+1),0),IF(Career_History!I40=TRUE,IF(A222&lt;Career_History!D40,0,MIN(A222,Career_History!E40)-Career_History!D40+1),0))/365.2425</f>
        <v>0</v>
      </c>
      <c r="AN222" s="9">
        <f>SUM(IF(Career_History!H39=TRUE,IF(A222&lt;Career_History!D39,0,MIN(A222,Career_History!E39)-Career_History!D39+1),0),IF(Career_History!H40=TRUE,IF(A222&lt;Career_History!D40,0,MIN(A222,Career_History!E40)-Career_History!D40+1),0))/365.2425</f>
        <v>19.833398358624748</v>
      </c>
      <c r="AO222" s="9">
        <f>SUM(IF(Career_History!G41=TRUE,IF(A222&lt;Career_History!D41,0,MIN(A222,Career_History!E41)-Career_History!D41+1),0),IF(Career_History!G42=TRUE,IF(A222&lt;Career_History!D42,0,MIN(A222,Career_History!E42)-Career_History!D42+1),0))/365.2425</f>
        <v>32.832980827806182</v>
      </c>
      <c r="AP222" s="9">
        <f>SUM(IF(Career_History!I41=TRUE,IF(A222&lt;Career_History!D41,0,MIN(A222,Career_History!E41)-Career_History!D41+1),0),IF(Career_History!I42=TRUE,IF(A222&lt;Career_History!D42,0,MIN(A222,Career_History!E42)-Career_History!D42+1),0))/365.2425</f>
        <v>0</v>
      </c>
      <c r="AQ222" s="9">
        <f>SUM(IF(Career_History!H41=TRUE,IF(A222&lt;Career_History!D41,0,MIN(A222,Career_History!E41)-Career_History!D41+1),0),IF(Career_History!H42=TRUE,IF(A222&lt;Career_History!D42,0,MIN(A222,Career_History!E42)-Career_History!D42+1),0))/365.2425</f>
        <v>32.832980827806182</v>
      </c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/>
      <c r="BO222" s="9"/>
    </row>
    <row r="223" spans="1:67">
      <c r="A223" s="8">
        <v>41425</v>
      </c>
      <c r="B223" s="9">
        <f t="shared" si="9"/>
        <v>31.718105094560464</v>
      </c>
      <c r="C223" s="9">
        <f t="shared" si="10"/>
        <v>1.1329459194918443</v>
      </c>
      <c r="D223" s="9">
        <f t="shared" si="11"/>
        <v>22.303538060329782</v>
      </c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>
        <f>SUM(IF(Career_History!G25=TRUE,IF(A223&lt;Career_History!D25,0,MIN(A223,Career_History!E25)-Career_History!D25+1),0),IF(Career_History!G26=TRUE,IF(A223&lt;Career_History!D26,0,MIN(A223,Career_History!E26)-Career_History!D26+1),0),IF(Career_History!G27=TRUE,IF(A223&lt;Career_History!D27,0,MIN(A223,Career_History!E27)-Career_History!D27+1),0),IF(Career_History!G28=TRUE,IF(A223&lt;Career_History!D28,0,MIN(A223,Career_History!E28)-Career_History!D28+1),0),IF(Career_History!G29=TRUE,IF(A223&lt;Career_History!D29,0,MIN(A223,Career_History!E29)-Career_History!D29+1),0))/365.2425</f>
        <v>39.918684161892443</v>
      </c>
      <c r="AD223" s="9">
        <f>SUM(IF(Career_History!I25=TRUE,IF(A223&lt;Career_History!D25,0,MIN(A223,Career_History!E25)-Career_History!D25+1),0),IF(Career_History!I26=TRUE,IF(A223&lt;Career_History!D26,0,MIN(A223,Career_History!E26)-Career_History!D26+1),0),IF(Career_History!I27=TRUE,IF(A223&lt;Career_History!D27,0,MIN(A223,Career_History!E27)-Career_History!D27+1),0),IF(Career_History!I28=TRUE,IF(A223&lt;Career_History!D28,0,MIN(A223,Career_History!E28)-Career_History!D28+1),0),IF(Career_History!I29=TRUE,IF(A223&lt;Career_History!D29,0,MIN(A223,Career_History!E29)-Career_History!D29+1),0))/365.2425</f>
        <v>0</v>
      </c>
      <c r="AE223" s="9">
        <f>SUM(IF(Career_History!H25=TRUE,IF(A223&lt;Career_History!D25,0,MIN(A223,Career_History!E25)-Career_History!D25+1),0),IF(Career_History!H26=TRUE,IF(A223&lt;Career_History!D26,0,MIN(A223,Career_History!E26)-Career_History!D26+1),0),IF(Career_History!H27=TRUE,IF(A223&lt;Career_History!D27,0,MIN(A223,Career_History!E27)-Career_History!D27+1),0),IF(Career_History!H28=TRUE,IF(A223&lt;Career_History!D28,0,MIN(A223,Career_History!E28)-Career_History!D28+1),0),IF(Career_History!H29=TRUE,IF(A223&lt;Career_History!D29,0,MIN(A223,Career_History!E29)-Career_History!D29+1),0))/365.2425</f>
        <v>27.414662860975927</v>
      </c>
      <c r="AF223" s="9">
        <f>SUM(IF(Career_History!G30=TRUE,IF(A223&lt;Career_History!D30,0,MIN(A223,Career_History!E30)-Career_History!D30+1),0),IF(Career_History!G31=TRUE,IF(A223&lt;Career_History!D31,0,MIN(A223,Career_History!E31)-Career_History!D31+1),0),IF(Career_History!G32=TRUE,IF(A223&lt;Career_History!D32,0,MIN(A223,Career_History!E32)-Career_History!D32+1),0))/365.2425</f>
        <v>32.917855945022829</v>
      </c>
      <c r="AG223" s="9">
        <f>SUM(IF(Career_History!I30=TRUE,IF(A223&lt;Career_History!D30,0,MIN(A223,Career_History!E30)-Career_History!D30+1),0),IF(Career_History!I31=TRUE,IF(A223&lt;Career_History!D31,0,MIN(A223,Career_History!E31)-Career_History!D31+1),0),IF(Career_History!I32=TRUE,IF(A223&lt;Career_History!D32,0,MIN(A223,Career_History!E32)-Career_History!D32+1),0))/365.2425</f>
        <v>0</v>
      </c>
      <c r="AH223" s="9">
        <f>SUM(IF(Career_History!H30=TRUE,IF(A223&lt;Career_History!D30,0,MIN(A223,Career_History!E30)-Career_History!D30+1),0),IF(Career_History!H31=TRUE,IF(A223&lt;Career_History!D31,0,MIN(A223,Career_History!E31)-Career_History!D31+1),0),IF(Career_History!H32=TRUE,IF(A223&lt;Career_History!D32,0,MIN(A223,Career_History!E32)-Career_History!D32+1),0))/365.2425</f>
        <v>4.0137716722451522</v>
      </c>
      <c r="AI223" s="9">
        <f>SUM(IF(Career_History!G33=TRUE,IF(A223&lt;Career_History!D33,0,MIN(A223,Career_History!E33)-Career_History!D33+1),0),IF(Career_History!G34=TRUE,IF(A223&lt;Career_History!D34,0,MIN(A223,Career_History!E34)-Career_History!D34+1),0),IF(Career_History!G35=TRUE,IF(A223&lt;Career_History!D35,0,MIN(A223,Career_History!E35)-Career_History!D35+1),0),IF(Career_History!G36=TRUE,IF(A223&lt;Career_History!D36,0,MIN(A223,Career_History!E36)-Career_History!D36+1),0),IF(Career_History!G37=TRUE,IF(A223&lt;Career_History!D37,0,MIN(A223,Career_History!E37)-Career_History!D37+1),0),IF(Career_History!G38=TRUE,IF(A223&lt;Career_History!D38,0,MIN(A223,Career_History!E38)-Career_History!D38+1),0))/365.2425</f>
        <v>32.917855945022829</v>
      </c>
      <c r="AJ223" s="9">
        <f>SUM(IF(Career_History!I33=TRUE,IF(A223&lt;Career_History!D33,0,MIN(A223,Career_History!E33)-Career_History!D33+1),0),IF(Career_History!I34=TRUE,IF(A223&lt;Career_History!D34,0,MIN(A223,Career_History!E34)-Career_History!D34+1),0),IF(Career_History!I35=TRUE,IF(A223&lt;Career_History!D35,0,MIN(A223,Career_History!E35)-Career_History!D35+1),0),IF(Career_History!I36=TRUE,IF(A223&lt;Career_History!D36,0,MIN(A223,Career_History!E36)-Career_History!D36+1),0),IF(Career_History!I37=TRUE,IF(A223&lt;Career_History!D37,0,MIN(A223,Career_History!E37)-Career_History!D37+1),0),IF(Career_History!I38=TRUE,IF(A223&lt;Career_History!D38,0,MIN(A223,Career_History!E38)-Career_History!D38+1),0))/365.2425</f>
        <v>5.664729597459222</v>
      </c>
      <c r="AK223" s="9">
        <f>SUM(IF(Career_History!H33=TRUE,IF(A223&lt;Career_History!D33,0,MIN(A223,Career_History!E33)-Career_History!D33+1),0),IF(Career_History!H34=TRUE,IF(A223&lt;Career_History!D34,0,MIN(A223,Career_History!E34)-Career_History!D34+1),0),IF(Career_History!H35=TRUE,IF(A223&lt;Career_History!D35,0,MIN(A223,Career_History!E35)-Career_History!D35+1),0),IF(Career_History!H36=TRUE,IF(A223&lt;Career_History!D36,0,MIN(A223,Career_History!E36)-Career_History!D36+1),0),IF(Career_History!H37=TRUE,IF(A223&lt;Career_History!D37,0,MIN(A223,Career_History!E37)-Career_History!D37+1),0),IF(Career_History!H38=TRUE,IF(A223&lt;Career_History!D38,0,MIN(A223,Career_History!E38)-Career_History!D38+1),0))/365.2425</f>
        <v>27.253126347563605</v>
      </c>
      <c r="AL223" s="9">
        <f>SUM(IF(Career_History!G39=TRUE,IF(A223&lt;Career_History!D39,0,MIN(A223,Career_History!E39)-Career_History!D39+1),0),IF(Career_History!G40=TRUE,IF(A223&lt;Career_History!D40,0,MIN(A223,Career_History!E40)-Career_History!D40+1),0))/365.2425</f>
        <v>19.918273475841392</v>
      </c>
      <c r="AM223" s="9">
        <f>SUM(IF(Career_History!I39=TRUE,IF(A223&lt;Career_History!D39,0,MIN(A223,Career_History!E39)-Career_History!D39+1),0),IF(Career_History!I40=TRUE,IF(A223&lt;Career_History!D40,0,MIN(A223,Career_History!E40)-Career_History!D40+1),0))/365.2425</f>
        <v>0</v>
      </c>
      <c r="AN223" s="9">
        <f>SUM(IF(Career_History!H39=TRUE,IF(A223&lt;Career_History!D39,0,MIN(A223,Career_History!E39)-Career_History!D39+1),0),IF(Career_History!H40=TRUE,IF(A223&lt;Career_History!D40,0,MIN(A223,Career_History!E40)-Career_History!D40+1),0))/365.2425</f>
        <v>19.918273475841392</v>
      </c>
      <c r="AO223" s="9">
        <f>SUM(IF(Career_History!G41=TRUE,IF(A223&lt;Career_History!D41,0,MIN(A223,Career_History!E41)-Career_History!D41+1),0),IF(Career_History!G42=TRUE,IF(A223&lt;Career_History!D42,0,MIN(A223,Career_History!E42)-Career_History!D42+1),0))/365.2425</f>
        <v>32.917855945022829</v>
      </c>
      <c r="AP223" s="9">
        <f>SUM(IF(Career_History!I41=TRUE,IF(A223&lt;Career_History!D41,0,MIN(A223,Career_History!E41)-Career_History!D41+1),0),IF(Career_History!I42=TRUE,IF(A223&lt;Career_History!D42,0,MIN(A223,Career_History!E42)-Career_History!D42+1),0))/365.2425</f>
        <v>0</v>
      </c>
      <c r="AQ223" s="9">
        <f>SUM(IF(Career_History!H41=TRUE,IF(A223&lt;Career_History!D41,0,MIN(A223,Career_History!E41)-Career_History!D41+1),0),IF(Career_History!H42=TRUE,IF(A223&lt;Career_History!D42,0,MIN(A223,Career_History!E42)-Career_History!D42+1),0))/365.2425</f>
        <v>32.917855945022829</v>
      </c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9"/>
      <c r="BG223" s="9"/>
      <c r="BH223" s="9"/>
      <c r="BI223" s="9"/>
      <c r="BJ223" s="9"/>
      <c r="BK223" s="9"/>
      <c r="BL223" s="9"/>
      <c r="BM223" s="9"/>
      <c r="BN223" s="9"/>
      <c r="BO223" s="9"/>
    </row>
    <row r="224" spans="1:67">
      <c r="A224" s="8">
        <v>41455</v>
      </c>
      <c r="B224" s="9">
        <f t="shared" si="9"/>
        <v>31.800242304770119</v>
      </c>
      <c r="C224" s="9">
        <f t="shared" si="10"/>
        <v>1.1329459194918443</v>
      </c>
      <c r="D224" s="9">
        <f t="shared" si="11"/>
        <v>22.385675270539434</v>
      </c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>
        <f>SUM(IF(Career_History!G25=TRUE,IF(A224&lt;Career_History!D25,0,MIN(A224,Career_History!E25)-Career_History!D25+1),0),IF(Career_History!G26=TRUE,IF(A224&lt;Career_History!D26,0,MIN(A224,Career_History!E26)-Career_History!D26+1),0),IF(Career_History!G27=TRUE,IF(A224&lt;Career_History!D27,0,MIN(A224,Career_History!E27)-Career_History!D27+1),0),IF(Career_History!G28=TRUE,IF(A224&lt;Career_History!D28,0,MIN(A224,Career_History!E28)-Career_History!D28+1),0),IF(Career_History!G29=TRUE,IF(A224&lt;Career_History!D29,0,MIN(A224,Career_History!E29)-Career_History!D29+1),0))/365.2425</f>
        <v>40.000821372102095</v>
      </c>
      <c r="AD224" s="9">
        <f>SUM(IF(Career_History!I25=TRUE,IF(A224&lt;Career_History!D25,0,MIN(A224,Career_History!E25)-Career_History!D25+1),0),IF(Career_History!I26=TRUE,IF(A224&lt;Career_History!D26,0,MIN(A224,Career_History!E26)-Career_History!D26+1),0),IF(Career_History!I27=TRUE,IF(A224&lt;Career_History!D27,0,MIN(A224,Career_History!E27)-Career_History!D27+1),0),IF(Career_History!I28=TRUE,IF(A224&lt;Career_History!D28,0,MIN(A224,Career_History!E28)-Career_History!D28+1),0),IF(Career_History!I29=TRUE,IF(A224&lt;Career_History!D29,0,MIN(A224,Career_History!E29)-Career_History!D29+1),0))/365.2425</f>
        <v>0</v>
      </c>
      <c r="AE224" s="9">
        <f>SUM(IF(Career_History!H25=TRUE,IF(A224&lt;Career_History!D25,0,MIN(A224,Career_History!E25)-Career_History!D25+1),0),IF(Career_History!H26=TRUE,IF(A224&lt;Career_History!D26,0,MIN(A224,Career_History!E26)-Career_History!D26+1),0),IF(Career_History!H27=TRUE,IF(A224&lt;Career_History!D27,0,MIN(A224,Career_History!E27)-Career_History!D27+1),0),IF(Career_History!H28=TRUE,IF(A224&lt;Career_History!D28,0,MIN(A224,Career_History!E28)-Career_History!D28+1),0),IF(Career_History!H29=TRUE,IF(A224&lt;Career_History!D29,0,MIN(A224,Career_History!E29)-Career_History!D29+1),0))/365.2425</f>
        <v>27.496800071185582</v>
      </c>
      <c r="AF224" s="9">
        <f>SUM(IF(Career_History!G30=TRUE,IF(A224&lt;Career_History!D30,0,MIN(A224,Career_History!E30)-Career_History!D30+1),0),IF(Career_History!G31=TRUE,IF(A224&lt;Career_History!D31,0,MIN(A224,Career_History!E31)-Career_History!D31+1),0),IF(Career_History!G32=TRUE,IF(A224&lt;Career_History!D32,0,MIN(A224,Career_History!E32)-Career_History!D32+1),0))/365.2425</f>
        <v>32.999993155232481</v>
      </c>
      <c r="AG224" s="9">
        <f>SUM(IF(Career_History!I30=TRUE,IF(A224&lt;Career_History!D30,0,MIN(A224,Career_History!E30)-Career_History!D30+1),0),IF(Career_History!I31=TRUE,IF(A224&lt;Career_History!D31,0,MIN(A224,Career_History!E31)-Career_History!D31+1),0),IF(Career_History!I32=TRUE,IF(A224&lt;Career_History!D32,0,MIN(A224,Career_History!E32)-Career_History!D32+1),0))/365.2425</f>
        <v>0</v>
      </c>
      <c r="AH224" s="9">
        <f>SUM(IF(Career_History!H30=TRUE,IF(A224&lt;Career_History!D30,0,MIN(A224,Career_History!E30)-Career_History!D30+1),0),IF(Career_History!H31=TRUE,IF(A224&lt;Career_History!D31,0,MIN(A224,Career_History!E31)-Career_History!D31+1),0),IF(Career_History!H32=TRUE,IF(A224&lt;Career_History!D32,0,MIN(A224,Career_History!E32)-Career_History!D32+1),0))/365.2425</f>
        <v>4.0959088824548076</v>
      </c>
      <c r="AI224" s="9">
        <f>SUM(IF(Career_History!G33=TRUE,IF(A224&lt;Career_History!D33,0,MIN(A224,Career_History!E33)-Career_History!D33+1),0),IF(Career_History!G34=TRUE,IF(A224&lt;Career_History!D34,0,MIN(A224,Career_History!E34)-Career_History!D34+1),0),IF(Career_History!G35=TRUE,IF(A224&lt;Career_History!D35,0,MIN(A224,Career_History!E35)-Career_History!D35+1),0),IF(Career_History!G36=TRUE,IF(A224&lt;Career_History!D36,0,MIN(A224,Career_History!E36)-Career_History!D36+1),0),IF(Career_History!G37=TRUE,IF(A224&lt;Career_History!D37,0,MIN(A224,Career_History!E37)-Career_History!D37+1),0),IF(Career_History!G38=TRUE,IF(A224&lt;Career_History!D38,0,MIN(A224,Career_History!E38)-Career_History!D38+1),0))/365.2425</f>
        <v>32.999993155232481</v>
      </c>
      <c r="AJ224" s="9">
        <f>SUM(IF(Career_History!I33=TRUE,IF(A224&lt;Career_History!D33,0,MIN(A224,Career_History!E33)-Career_History!D33+1),0),IF(Career_History!I34=TRUE,IF(A224&lt;Career_History!D34,0,MIN(A224,Career_History!E34)-Career_History!D34+1),0),IF(Career_History!I35=TRUE,IF(A224&lt;Career_History!D35,0,MIN(A224,Career_History!E35)-Career_History!D35+1),0),IF(Career_History!I36=TRUE,IF(A224&lt;Career_History!D36,0,MIN(A224,Career_History!E36)-Career_History!D36+1),0),IF(Career_History!I37=TRUE,IF(A224&lt;Career_History!D37,0,MIN(A224,Career_History!E37)-Career_History!D37+1),0),IF(Career_History!I38=TRUE,IF(A224&lt;Career_History!D38,0,MIN(A224,Career_History!E38)-Career_History!D38+1),0))/365.2425</f>
        <v>5.664729597459222</v>
      </c>
      <c r="AK224" s="9">
        <f>SUM(IF(Career_History!H33=TRUE,IF(A224&lt;Career_History!D33,0,MIN(A224,Career_History!E33)-Career_History!D33+1),0),IF(Career_History!H34=TRUE,IF(A224&lt;Career_History!D34,0,MIN(A224,Career_History!E34)-Career_History!D34+1),0),IF(Career_History!H35=TRUE,IF(A224&lt;Career_History!D35,0,MIN(A224,Career_History!E35)-Career_History!D35+1),0),IF(Career_History!H36=TRUE,IF(A224&lt;Career_History!D36,0,MIN(A224,Career_History!E36)-Career_History!D36+1),0),IF(Career_History!H37=TRUE,IF(A224&lt;Career_History!D37,0,MIN(A224,Career_History!E37)-Career_History!D37+1),0),IF(Career_History!H38=TRUE,IF(A224&lt;Career_History!D38,0,MIN(A224,Career_History!E38)-Career_History!D38+1),0))/365.2425</f>
        <v>27.33526355777326</v>
      </c>
      <c r="AL224" s="9">
        <f>SUM(IF(Career_History!G39=TRUE,IF(A224&lt;Career_History!D39,0,MIN(A224,Career_History!E39)-Career_History!D39+1),0),IF(Career_History!G40=TRUE,IF(A224&lt;Career_History!D40,0,MIN(A224,Career_History!E40)-Career_History!D40+1),0))/365.2425</f>
        <v>20.000410686051048</v>
      </c>
      <c r="AM224" s="9">
        <f>SUM(IF(Career_History!I39=TRUE,IF(A224&lt;Career_History!D39,0,MIN(A224,Career_History!E39)-Career_History!D39+1),0),IF(Career_History!I40=TRUE,IF(A224&lt;Career_History!D40,0,MIN(A224,Career_History!E40)-Career_History!D40+1),0))/365.2425</f>
        <v>0</v>
      </c>
      <c r="AN224" s="9">
        <f>SUM(IF(Career_History!H39=TRUE,IF(A224&lt;Career_History!D39,0,MIN(A224,Career_History!E39)-Career_History!D39+1),0),IF(Career_History!H40=TRUE,IF(A224&lt;Career_History!D40,0,MIN(A224,Career_History!E40)-Career_History!D40+1),0))/365.2425</f>
        <v>20.000410686051048</v>
      </c>
      <c r="AO224" s="9">
        <f>SUM(IF(Career_History!G41=TRUE,IF(A224&lt;Career_History!D41,0,MIN(A224,Career_History!E41)-Career_History!D41+1),0),IF(Career_History!G42=TRUE,IF(A224&lt;Career_History!D42,0,MIN(A224,Career_History!E42)-Career_History!D42+1),0))/365.2425</f>
        <v>32.999993155232481</v>
      </c>
      <c r="AP224" s="9">
        <f>SUM(IF(Career_History!I41=TRUE,IF(A224&lt;Career_History!D41,0,MIN(A224,Career_History!E41)-Career_History!D41+1),0),IF(Career_History!I42=TRUE,IF(A224&lt;Career_History!D42,0,MIN(A224,Career_History!E42)-Career_History!D42+1),0))/365.2425</f>
        <v>0</v>
      </c>
      <c r="AQ224" s="9">
        <f>SUM(IF(Career_History!H41=TRUE,IF(A224&lt;Career_History!D41,0,MIN(A224,Career_History!E41)-Career_History!D41+1),0),IF(Career_History!H42=TRUE,IF(A224&lt;Career_History!D42,0,MIN(A224,Career_History!E42)-Career_History!D42+1),0))/365.2425</f>
        <v>32.999993155232481</v>
      </c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/>
      <c r="BO224" s="9"/>
    </row>
    <row r="225" spans="1:67">
      <c r="A225" s="8">
        <v>41486</v>
      </c>
      <c r="B225" s="9">
        <f t="shared" si="9"/>
        <v>31.885117421986763</v>
      </c>
      <c r="C225" s="9">
        <f t="shared" si="10"/>
        <v>1.1329459194918443</v>
      </c>
      <c r="D225" s="9">
        <f t="shared" si="11"/>
        <v>22.470550387756081</v>
      </c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>
        <f>SUM(IF(Career_History!G25=TRUE,IF(A225&lt;Career_History!D25,0,MIN(A225,Career_History!E25)-Career_History!D25+1),0),IF(Career_History!G26=TRUE,IF(A225&lt;Career_History!D26,0,MIN(A225,Career_History!E26)-Career_History!D26+1),0),IF(Career_History!G27=TRUE,IF(A225&lt;Career_History!D27,0,MIN(A225,Career_History!E27)-Career_History!D27+1),0),IF(Career_History!G28=TRUE,IF(A225&lt;Career_History!D28,0,MIN(A225,Career_History!E28)-Career_History!D28+1),0),IF(Career_History!G29=TRUE,IF(A225&lt;Career_History!D29,0,MIN(A225,Career_History!E29)-Career_History!D29+1),0))/365.2425</f>
        <v>40.085696489318742</v>
      </c>
      <c r="AD225" s="9">
        <f>SUM(IF(Career_History!I25=TRUE,IF(A225&lt;Career_History!D25,0,MIN(A225,Career_History!E25)-Career_History!D25+1),0),IF(Career_History!I26=TRUE,IF(A225&lt;Career_History!D26,0,MIN(A225,Career_History!E26)-Career_History!D26+1),0),IF(Career_History!I27=TRUE,IF(A225&lt;Career_History!D27,0,MIN(A225,Career_History!E27)-Career_History!D27+1),0),IF(Career_History!I28=TRUE,IF(A225&lt;Career_History!D28,0,MIN(A225,Career_History!E28)-Career_History!D28+1),0),IF(Career_History!I29=TRUE,IF(A225&lt;Career_History!D29,0,MIN(A225,Career_History!E29)-Career_History!D29+1),0))/365.2425</f>
        <v>0</v>
      </c>
      <c r="AE225" s="9">
        <f>SUM(IF(Career_History!H25=TRUE,IF(A225&lt;Career_History!D25,0,MIN(A225,Career_History!E25)-Career_History!D25+1),0),IF(Career_History!H26=TRUE,IF(A225&lt;Career_History!D26,0,MIN(A225,Career_History!E26)-Career_History!D26+1),0),IF(Career_History!H27=TRUE,IF(A225&lt;Career_History!D27,0,MIN(A225,Career_History!E27)-Career_History!D27+1),0),IF(Career_History!H28=TRUE,IF(A225&lt;Career_History!D28,0,MIN(A225,Career_History!E28)-Career_History!D28+1),0),IF(Career_History!H29=TRUE,IF(A225&lt;Career_History!D29,0,MIN(A225,Career_History!E29)-Career_History!D29+1),0))/365.2425</f>
        <v>27.581675188402226</v>
      </c>
      <c r="AF225" s="9">
        <f>SUM(IF(Career_History!G30=TRUE,IF(A225&lt;Career_History!D30,0,MIN(A225,Career_History!E30)-Career_History!D30+1),0),IF(Career_History!G31=TRUE,IF(A225&lt;Career_History!D31,0,MIN(A225,Career_History!E31)-Career_History!D31+1),0),IF(Career_History!G32=TRUE,IF(A225&lt;Career_History!D32,0,MIN(A225,Career_History!E32)-Career_History!D32+1),0))/365.2425</f>
        <v>33.084868272449128</v>
      </c>
      <c r="AG225" s="9">
        <f>SUM(IF(Career_History!I30=TRUE,IF(A225&lt;Career_History!D30,0,MIN(A225,Career_History!E30)-Career_History!D30+1),0),IF(Career_History!I31=TRUE,IF(A225&lt;Career_History!D31,0,MIN(A225,Career_History!E31)-Career_History!D31+1),0),IF(Career_History!I32=TRUE,IF(A225&lt;Career_History!D32,0,MIN(A225,Career_History!E32)-Career_History!D32+1),0))/365.2425</f>
        <v>0</v>
      </c>
      <c r="AH225" s="9">
        <f>SUM(IF(Career_History!H30=TRUE,IF(A225&lt;Career_History!D30,0,MIN(A225,Career_History!E30)-Career_History!D30+1),0),IF(Career_History!H31=TRUE,IF(A225&lt;Career_History!D31,0,MIN(A225,Career_History!E31)-Career_History!D31+1),0),IF(Career_History!H32=TRUE,IF(A225&lt;Career_History!D32,0,MIN(A225,Career_History!E32)-Career_History!D32+1),0))/365.2425</f>
        <v>4.1807839996714513</v>
      </c>
      <c r="AI225" s="9">
        <f>SUM(IF(Career_History!G33=TRUE,IF(A225&lt;Career_History!D33,0,MIN(A225,Career_History!E33)-Career_History!D33+1),0),IF(Career_History!G34=TRUE,IF(A225&lt;Career_History!D34,0,MIN(A225,Career_History!E34)-Career_History!D34+1),0),IF(Career_History!G35=TRUE,IF(A225&lt;Career_History!D35,0,MIN(A225,Career_History!E35)-Career_History!D35+1),0),IF(Career_History!G36=TRUE,IF(A225&lt;Career_History!D36,0,MIN(A225,Career_History!E36)-Career_History!D36+1),0),IF(Career_History!G37=TRUE,IF(A225&lt;Career_History!D37,0,MIN(A225,Career_History!E37)-Career_History!D37+1),0),IF(Career_History!G38=TRUE,IF(A225&lt;Career_History!D38,0,MIN(A225,Career_History!E38)-Career_History!D38+1),0))/365.2425</f>
        <v>33.084868272449128</v>
      </c>
      <c r="AJ225" s="9">
        <f>SUM(IF(Career_History!I33=TRUE,IF(A225&lt;Career_History!D33,0,MIN(A225,Career_History!E33)-Career_History!D33+1),0),IF(Career_History!I34=TRUE,IF(A225&lt;Career_History!D34,0,MIN(A225,Career_History!E34)-Career_History!D34+1),0),IF(Career_History!I35=TRUE,IF(A225&lt;Career_History!D35,0,MIN(A225,Career_History!E35)-Career_History!D35+1),0),IF(Career_History!I36=TRUE,IF(A225&lt;Career_History!D36,0,MIN(A225,Career_History!E36)-Career_History!D36+1),0),IF(Career_History!I37=TRUE,IF(A225&lt;Career_History!D37,0,MIN(A225,Career_History!E37)-Career_History!D37+1),0),IF(Career_History!I38=TRUE,IF(A225&lt;Career_History!D38,0,MIN(A225,Career_History!E38)-Career_History!D38+1),0))/365.2425</f>
        <v>5.664729597459222</v>
      </c>
      <c r="AK225" s="9">
        <f>SUM(IF(Career_History!H33=TRUE,IF(A225&lt;Career_History!D33,0,MIN(A225,Career_History!E33)-Career_History!D33+1),0),IF(Career_History!H34=TRUE,IF(A225&lt;Career_History!D34,0,MIN(A225,Career_History!E34)-Career_History!D34+1),0),IF(Career_History!H35=TRUE,IF(A225&lt;Career_History!D35,0,MIN(A225,Career_History!E35)-Career_History!D35+1),0),IF(Career_History!H36=TRUE,IF(A225&lt;Career_History!D36,0,MIN(A225,Career_History!E36)-Career_History!D36+1),0),IF(Career_History!H37=TRUE,IF(A225&lt;Career_History!D37,0,MIN(A225,Career_History!E37)-Career_History!D37+1),0),IF(Career_History!H38=TRUE,IF(A225&lt;Career_History!D38,0,MIN(A225,Career_History!E38)-Career_History!D38+1),0))/365.2425</f>
        <v>27.420138674989904</v>
      </c>
      <c r="AL225" s="9">
        <f>SUM(IF(Career_History!G39=TRUE,IF(A225&lt;Career_History!D39,0,MIN(A225,Career_History!E39)-Career_History!D39+1),0),IF(Career_History!G40=TRUE,IF(A225&lt;Career_History!D40,0,MIN(A225,Career_History!E40)-Career_History!D40+1),0))/365.2425</f>
        <v>20.085285803267691</v>
      </c>
      <c r="AM225" s="9">
        <f>SUM(IF(Career_History!I39=TRUE,IF(A225&lt;Career_History!D39,0,MIN(A225,Career_History!E39)-Career_History!D39+1),0),IF(Career_History!I40=TRUE,IF(A225&lt;Career_History!D40,0,MIN(A225,Career_History!E40)-Career_History!D40+1),0))/365.2425</f>
        <v>0</v>
      </c>
      <c r="AN225" s="9">
        <f>SUM(IF(Career_History!H39=TRUE,IF(A225&lt;Career_History!D39,0,MIN(A225,Career_History!E39)-Career_History!D39+1),0),IF(Career_History!H40=TRUE,IF(A225&lt;Career_History!D40,0,MIN(A225,Career_History!E40)-Career_History!D40+1),0))/365.2425</f>
        <v>20.085285803267691</v>
      </c>
      <c r="AO225" s="9">
        <f>SUM(IF(Career_History!G41=TRUE,IF(A225&lt;Career_History!D41,0,MIN(A225,Career_History!E41)-Career_History!D41+1),0),IF(Career_History!G42=TRUE,IF(A225&lt;Career_History!D42,0,MIN(A225,Career_History!E42)-Career_History!D42+1),0))/365.2425</f>
        <v>33.084868272449128</v>
      </c>
      <c r="AP225" s="9">
        <f>SUM(IF(Career_History!I41=TRUE,IF(A225&lt;Career_History!D41,0,MIN(A225,Career_History!E41)-Career_History!D41+1),0),IF(Career_History!I42=TRUE,IF(A225&lt;Career_History!D42,0,MIN(A225,Career_History!E42)-Career_History!D42+1),0))/365.2425</f>
        <v>0</v>
      </c>
      <c r="AQ225" s="9">
        <f>SUM(IF(Career_History!H41=TRUE,IF(A225&lt;Career_History!D41,0,MIN(A225,Career_History!E41)-Career_History!D41+1),0),IF(Career_History!H42=TRUE,IF(A225&lt;Career_History!D42,0,MIN(A225,Career_History!E42)-Career_History!D42+1),0))/365.2425</f>
        <v>33.084868272449128</v>
      </c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9"/>
      <c r="BG225" s="9"/>
      <c r="BH225" s="9"/>
      <c r="BI225" s="9"/>
      <c r="BJ225" s="9"/>
      <c r="BK225" s="9"/>
      <c r="BL225" s="9"/>
      <c r="BM225" s="9"/>
      <c r="BN225" s="9"/>
      <c r="BO225" s="9"/>
    </row>
    <row r="226" spans="1:67">
      <c r="A226" s="8">
        <v>41517</v>
      </c>
      <c r="B226" s="9">
        <f t="shared" si="9"/>
        <v>31.969992539203407</v>
      </c>
      <c r="C226" s="9">
        <f t="shared" si="10"/>
        <v>1.1329459194918443</v>
      </c>
      <c r="D226" s="9">
        <f t="shared" si="11"/>
        <v>22.555425504972725</v>
      </c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>
        <f>SUM(IF(Career_History!G25=TRUE,IF(A226&lt;Career_History!D25,0,MIN(A226,Career_History!E25)-Career_History!D25+1),0),IF(Career_History!G26=TRUE,IF(A226&lt;Career_History!D26,0,MIN(A226,Career_History!E26)-Career_History!D26+1),0),IF(Career_History!G27=TRUE,IF(A226&lt;Career_History!D27,0,MIN(A226,Career_History!E27)-Career_History!D27+1),0),IF(Career_History!G28=TRUE,IF(A226&lt;Career_History!D28,0,MIN(A226,Career_History!E28)-Career_History!D28+1),0),IF(Career_History!G29=TRUE,IF(A226&lt;Career_History!D29,0,MIN(A226,Career_History!E29)-Career_History!D29+1),0))/365.2425</f>
        <v>40.170571606535383</v>
      </c>
      <c r="AD226" s="9">
        <f>SUM(IF(Career_History!I25=TRUE,IF(A226&lt;Career_History!D25,0,MIN(A226,Career_History!E25)-Career_History!D25+1),0),IF(Career_History!I26=TRUE,IF(A226&lt;Career_History!D26,0,MIN(A226,Career_History!E26)-Career_History!D26+1),0),IF(Career_History!I27=TRUE,IF(A226&lt;Career_History!D27,0,MIN(A226,Career_History!E27)-Career_History!D27+1),0),IF(Career_History!I28=TRUE,IF(A226&lt;Career_History!D28,0,MIN(A226,Career_History!E28)-Career_History!D28+1),0),IF(Career_History!I29=TRUE,IF(A226&lt;Career_History!D29,0,MIN(A226,Career_History!E29)-Career_History!D29+1),0))/365.2425</f>
        <v>0</v>
      </c>
      <c r="AE226" s="9">
        <f>SUM(IF(Career_History!H25=TRUE,IF(A226&lt;Career_History!D25,0,MIN(A226,Career_History!E25)-Career_History!D25+1),0),IF(Career_History!H26=TRUE,IF(A226&lt;Career_History!D26,0,MIN(A226,Career_History!E26)-Career_History!D26+1),0),IF(Career_History!H27=TRUE,IF(A226&lt;Career_History!D27,0,MIN(A226,Career_History!E27)-Career_History!D27+1),0),IF(Career_History!H28=TRUE,IF(A226&lt;Career_History!D28,0,MIN(A226,Career_History!E28)-Career_History!D28+1),0),IF(Career_History!H29=TRUE,IF(A226&lt;Career_History!D29,0,MIN(A226,Career_History!E29)-Career_History!D29+1),0))/365.2425</f>
        <v>27.66655030561887</v>
      </c>
      <c r="AF226" s="9">
        <f>SUM(IF(Career_History!G30=TRUE,IF(A226&lt;Career_History!D30,0,MIN(A226,Career_History!E30)-Career_History!D30+1),0),IF(Career_History!G31=TRUE,IF(A226&lt;Career_History!D31,0,MIN(A226,Career_History!E31)-Career_History!D31+1),0),IF(Career_History!G32=TRUE,IF(A226&lt;Career_History!D32,0,MIN(A226,Career_History!E32)-Career_History!D32+1),0))/365.2425</f>
        <v>33.169743389665769</v>
      </c>
      <c r="AG226" s="9">
        <f>SUM(IF(Career_History!I30=TRUE,IF(A226&lt;Career_History!D30,0,MIN(A226,Career_History!E30)-Career_History!D30+1),0),IF(Career_History!I31=TRUE,IF(A226&lt;Career_History!D31,0,MIN(A226,Career_History!E31)-Career_History!D31+1),0),IF(Career_History!I32=TRUE,IF(A226&lt;Career_History!D32,0,MIN(A226,Career_History!E32)-Career_History!D32+1),0))/365.2425</f>
        <v>0</v>
      </c>
      <c r="AH226" s="9">
        <f>SUM(IF(Career_History!H30=TRUE,IF(A226&lt;Career_History!D30,0,MIN(A226,Career_History!E30)-Career_History!D30+1),0),IF(Career_History!H31=TRUE,IF(A226&lt;Career_History!D31,0,MIN(A226,Career_History!E31)-Career_History!D31+1),0),IF(Career_History!H32=TRUE,IF(A226&lt;Career_History!D32,0,MIN(A226,Career_History!E32)-Career_History!D32+1),0))/365.2425</f>
        <v>4.2656591168880951</v>
      </c>
      <c r="AI226" s="9">
        <f>SUM(IF(Career_History!G33=TRUE,IF(A226&lt;Career_History!D33,0,MIN(A226,Career_History!E33)-Career_History!D33+1),0),IF(Career_History!G34=TRUE,IF(A226&lt;Career_History!D34,0,MIN(A226,Career_History!E34)-Career_History!D34+1),0),IF(Career_History!G35=TRUE,IF(A226&lt;Career_History!D35,0,MIN(A226,Career_History!E35)-Career_History!D35+1),0),IF(Career_History!G36=TRUE,IF(A226&lt;Career_History!D36,0,MIN(A226,Career_History!E36)-Career_History!D36+1),0),IF(Career_History!G37=TRUE,IF(A226&lt;Career_History!D37,0,MIN(A226,Career_History!E37)-Career_History!D37+1),0),IF(Career_History!G38=TRUE,IF(A226&lt;Career_History!D38,0,MIN(A226,Career_History!E38)-Career_History!D38+1),0))/365.2425</f>
        <v>33.169743389665769</v>
      </c>
      <c r="AJ226" s="9">
        <f>SUM(IF(Career_History!I33=TRUE,IF(A226&lt;Career_History!D33,0,MIN(A226,Career_History!E33)-Career_History!D33+1),0),IF(Career_History!I34=TRUE,IF(A226&lt;Career_History!D34,0,MIN(A226,Career_History!E34)-Career_History!D34+1),0),IF(Career_History!I35=TRUE,IF(A226&lt;Career_History!D35,0,MIN(A226,Career_History!E35)-Career_History!D35+1),0),IF(Career_History!I36=TRUE,IF(A226&lt;Career_History!D36,0,MIN(A226,Career_History!E36)-Career_History!D36+1),0),IF(Career_History!I37=TRUE,IF(A226&lt;Career_History!D37,0,MIN(A226,Career_History!E37)-Career_History!D37+1),0),IF(Career_History!I38=TRUE,IF(A226&lt;Career_History!D38,0,MIN(A226,Career_History!E38)-Career_History!D38+1),0))/365.2425</f>
        <v>5.664729597459222</v>
      </c>
      <c r="AK226" s="9">
        <f>SUM(IF(Career_History!H33=TRUE,IF(A226&lt;Career_History!D33,0,MIN(A226,Career_History!E33)-Career_History!D33+1),0),IF(Career_History!H34=TRUE,IF(A226&lt;Career_History!D34,0,MIN(A226,Career_History!E34)-Career_History!D34+1),0),IF(Career_History!H35=TRUE,IF(A226&lt;Career_History!D35,0,MIN(A226,Career_History!E35)-Career_History!D35+1),0),IF(Career_History!H36=TRUE,IF(A226&lt;Career_History!D36,0,MIN(A226,Career_History!E36)-Career_History!D36+1),0),IF(Career_History!H37=TRUE,IF(A226&lt;Career_History!D37,0,MIN(A226,Career_History!E37)-Career_History!D37+1),0),IF(Career_History!H38=TRUE,IF(A226&lt;Career_History!D38,0,MIN(A226,Career_History!E38)-Career_History!D38+1),0))/365.2425</f>
        <v>27.505013792206547</v>
      </c>
      <c r="AL226" s="9">
        <f>SUM(IF(Career_History!G39=TRUE,IF(A226&lt;Career_History!D39,0,MIN(A226,Career_History!E39)-Career_History!D39+1),0),IF(Career_History!G40=TRUE,IF(A226&lt;Career_History!D40,0,MIN(A226,Career_History!E40)-Career_History!D40+1),0))/365.2425</f>
        <v>20.170160920484335</v>
      </c>
      <c r="AM226" s="9">
        <f>SUM(IF(Career_History!I39=TRUE,IF(A226&lt;Career_History!D39,0,MIN(A226,Career_History!E39)-Career_History!D39+1),0),IF(Career_History!I40=TRUE,IF(A226&lt;Career_History!D40,0,MIN(A226,Career_History!E40)-Career_History!D40+1),0))/365.2425</f>
        <v>0</v>
      </c>
      <c r="AN226" s="9">
        <f>SUM(IF(Career_History!H39=TRUE,IF(A226&lt;Career_History!D39,0,MIN(A226,Career_History!E39)-Career_History!D39+1),0),IF(Career_History!H40=TRUE,IF(A226&lt;Career_History!D40,0,MIN(A226,Career_History!E40)-Career_History!D40+1),0))/365.2425</f>
        <v>20.170160920484335</v>
      </c>
      <c r="AO226" s="9">
        <f>SUM(IF(Career_History!G41=TRUE,IF(A226&lt;Career_History!D41,0,MIN(A226,Career_History!E41)-Career_History!D41+1),0),IF(Career_History!G42=TRUE,IF(A226&lt;Career_History!D42,0,MIN(A226,Career_History!E42)-Career_History!D42+1),0))/365.2425</f>
        <v>33.169743389665769</v>
      </c>
      <c r="AP226" s="9">
        <f>SUM(IF(Career_History!I41=TRUE,IF(A226&lt;Career_History!D41,0,MIN(A226,Career_History!E41)-Career_History!D41+1),0),IF(Career_History!I42=TRUE,IF(A226&lt;Career_History!D42,0,MIN(A226,Career_History!E42)-Career_History!D42+1),0))/365.2425</f>
        <v>0</v>
      </c>
      <c r="AQ226" s="9">
        <f>SUM(IF(Career_History!H41=TRUE,IF(A226&lt;Career_History!D41,0,MIN(A226,Career_History!E41)-Career_History!D41+1),0),IF(Career_History!H42=TRUE,IF(A226&lt;Career_History!D42,0,MIN(A226,Career_History!E42)-Career_History!D42+1),0))/365.2425</f>
        <v>33.169743389665769</v>
      </c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  <c r="BG226" s="9"/>
      <c r="BH226" s="9"/>
      <c r="BI226" s="9"/>
      <c r="BJ226" s="9"/>
      <c r="BK226" s="9"/>
      <c r="BL226" s="9"/>
      <c r="BM226" s="9"/>
      <c r="BN226" s="9"/>
      <c r="BO226" s="9"/>
    </row>
    <row r="227" spans="1:67">
      <c r="A227" s="8">
        <v>41547</v>
      </c>
      <c r="B227" s="9">
        <f t="shared" si="9"/>
        <v>32.052129749413055</v>
      </c>
      <c r="C227" s="9">
        <f t="shared" si="10"/>
        <v>1.1329459194918443</v>
      </c>
      <c r="D227" s="9">
        <f t="shared" si="11"/>
        <v>22.637562715182376</v>
      </c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>
        <f>SUM(IF(Career_History!G25=TRUE,IF(A227&lt;Career_History!D25,0,MIN(A227,Career_History!E25)-Career_History!D25+1),0),IF(Career_History!G26=TRUE,IF(A227&lt;Career_History!D26,0,MIN(A227,Career_History!E26)-Career_History!D26+1),0),IF(Career_History!G27=TRUE,IF(A227&lt;Career_History!D27,0,MIN(A227,Career_History!E27)-Career_History!D27+1),0),IF(Career_History!G28=TRUE,IF(A227&lt;Career_History!D28,0,MIN(A227,Career_History!E28)-Career_History!D28+1),0),IF(Career_History!G29=TRUE,IF(A227&lt;Career_History!D29,0,MIN(A227,Career_History!E29)-Career_History!D29+1),0))/365.2425</f>
        <v>40.252708816745042</v>
      </c>
      <c r="AD227" s="9">
        <f>SUM(IF(Career_History!I25=TRUE,IF(A227&lt;Career_History!D25,0,MIN(A227,Career_History!E25)-Career_History!D25+1),0),IF(Career_History!I26=TRUE,IF(A227&lt;Career_History!D26,0,MIN(A227,Career_History!E26)-Career_History!D26+1),0),IF(Career_History!I27=TRUE,IF(A227&lt;Career_History!D27,0,MIN(A227,Career_History!E27)-Career_History!D27+1),0),IF(Career_History!I28=TRUE,IF(A227&lt;Career_History!D28,0,MIN(A227,Career_History!E28)-Career_History!D28+1),0),IF(Career_History!I29=TRUE,IF(A227&lt;Career_History!D29,0,MIN(A227,Career_History!E29)-Career_History!D29+1),0))/365.2425</f>
        <v>0</v>
      </c>
      <c r="AE227" s="9">
        <f>SUM(IF(Career_History!H25=TRUE,IF(A227&lt;Career_History!D25,0,MIN(A227,Career_History!E25)-Career_History!D25+1),0),IF(Career_History!H26=TRUE,IF(A227&lt;Career_History!D26,0,MIN(A227,Career_History!E26)-Career_History!D26+1),0),IF(Career_History!H27=TRUE,IF(A227&lt;Career_History!D27,0,MIN(A227,Career_History!E27)-Career_History!D27+1),0),IF(Career_History!H28=TRUE,IF(A227&lt;Career_History!D28,0,MIN(A227,Career_History!E28)-Career_History!D28+1),0),IF(Career_History!H29=TRUE,IF(A227&lt;Career_History!D29,0,MIN(A227,Career_History!E29)-Career_History!D29+1),0))/365.2425</f>
        <v>27.748687515828525</v>
      </c>
      <c r="AF227" s="9">
        <f>SUM(IF(Career_History!G30=TRUE,IF(A227&lt;Career_History!D30,0,MIN(A227,Career_History!E30)-Career_History!D30+1),0),IF(Career_History!G31=TRUE,IF(A227&lt;Career_History!D31,0,MIN(A227,Career_History!E31)-Career_History!D31+1),0),IF(Career_History!G32=TRUE,IF(A227&lt;Career_History!D32,0,MIN(A227,Career_History!E32)-Career_History!D32+1),0))/365.2425</f>
        <v>33.251880599875427</v>
      </c>
      <c r="AG227" s="9">
        <f>SUM(IF(Career_History!I30=TRUE,IF(A227&lt;Career_History!D30,0,MIN(A227,Career_History!E30)-Career_History!D30+1),0),IF(Career_History!I31=TRUE,IF(A227&lt;Career_History!D31,0,MIN(A227,Career_History!E31)-Career_History!D31+1),0),IF(Career_History!I32=TRUE,IF(A227&lt;Career_History!D32,0,MIN(A227,Career_History!E32)-Career_History!D32+1),0))/365.2425</f>
        <v>0</v>
      </c>
      <c r="AH227" s="9">
        <f>SUM(IF(Career_History!H30=TRUE,IF(A227&lt;Career_History!D30,0,MIN(A227,Career_History!E30)-Career_History!D30+1),0),IF(Career_History!H31=TRUE,IF(A227&lt;Career_History!D31,0,MIN(A227,Career_History!E31)-Career_History!D31+1),0),IF(Career_History!H32=TRUE,IF(A227&lt;Career_History!D32,0,MIN(A227,Career_History!E32)-Career_History!D32+1),0))/365.2425</f>
        <v>4.3477963270977504</v>
      </c>
      <c r="AI227" s="9">
        <f>SUM(IF(Career_History!G33=TRUE,IF(A227&lt;Career_History!D33,0,MIN(A227,Career_History!E33)-Career_History!D33+1),0),IF(Career_History!G34=TRUE,IF(A227&lt;Career_History!D34,0,MIN(A227,Career_History!E34)-Career_History!D34+1),0),IF(Career_History!G35=TRUE,IF(A227&lt;Career_History!D35,0,MIN(A227,Career_History!E35)-Career_History!D35+1),0),IF(Career_History!G36=TRUE,IF(A227&lt;Career_History!D36,0,MIN(A227,Career_History!E36)-Career_History!D36+1),0),IF(Career_History!G37=TRUE,IF(A227&lt;Career_History!D37,0,MIN(A227,Career_History!E37)-Career_History!D37+1),0),IF(Career_History!G38=TRUE,IF(A227&lt;Career_History!D38,0,MIN(A227,Career_History!E38)-Career_History!D38+1),0))/365.2425</f>
        <v>33.251880599875427</v>
      </c>
      <c r="AJ227" s="9">
        <f>SUM(IF(Career_History!I33=TRUE,IF(A227&lt;Career_History!D33,0,MIN(A227,Career_History!E33)-Career_History!D33+1),0),IF(Career_History!I34=TRUE,IF(A227&lt;Career_History!D34,0,MIN(A227,Career_History!E34)-Career_History!D34+1),0),IF(Career_History!I35=TRUE,IF(A227&lt;Career_History!D35,0,MIN(A227,Career_History!E35)-Career_History!D35+1),0),IF(Career_History!I36=TRUE,IF(A227&lt;Career_History!D36,0,MIN(A227,Career_History!E36)-Career_History!D36+1),0),IF(Career_History!I37=TRUE,IF(A227&lt;Career_History!D37,0,MIN(A227,Career_History!E37)-Career_History!D37+1),0),IF(Career_History!I38=TRUE,IF(A227&lt;Career_History!D38,0,MIN(A227,Career_History!E38)-Career_History!D38+1),0))/365.2425</f>
        <v>5.664729597459222</v>
      </c>
      <c r="AK227" s="9">
        <f>SUM(IF(Career_History!H33=TRUE,IF(A227&lt;Career_History!D33,0,MIN(A227,Career_History!E33)-Career_History!D33+1),0),IF(Career_History!H34=TRUE,IF(A227&lt;Career_History!D34,0,MIN(A227,Career_History!E34)-Career_History!D34+1),0),IF(Career_History!H35=TRUE,IF(A227&lt;Career_History!D35,0,MIN(A227,Career_History!E35)-Career_History!D35+1),0),IF(Career_History!H36=TRUE,IF(A227&lt;Career_History!D36,0,MIN(A227,Career_History!E36)-Career_History!D36+1),0),IF(Career_History!H37=TRUE,IF(A227&lt;Career_History!D37,0,MIN(A227,Career_History!E37)-Career_History!D37+1),0),IF(Career_History!H38=TRUE,IF(A227&lt;Career_History!D38,0,MIN(A227,Career_History!E38)-Career_History!D38+1),0))/365.2425</f>
        <v>27.587151002416203</v>
      </c>
      <c r="AL227" s="9">
        <f>SUM(IF(Career_History!G39=TRUE,IF(A227&lt;Career_History!D39,0,MIN(A227,Career_History!E39)-Career_History!D39+1),0),IF(Career_History!G40=TRUE,IF(A227&lt;Career_History!D40,0,MIN(A227,Career_History!E40)-Career_History!D40+1),0))/365.2425</f>
        <v>20.25229813069399</v>
      </c>
      <c r="AM227" s="9">
        <f>SUM(IF(Career_History!I39=TRUE,IF(A227&lt;Career_History!D39,0,MIN(A227,Career_History!E39)-Career_History!D39+1),0),IF(Career_History!I40=TRUE,IF(A227&lt;Career_History!D40,0,MIN(A227,Career_History!E40)-Career_History!D40+1),0))/365.2425</f>
        <v>0</v>
      </c>
      <c r="AN227" s="9">
        <f>SUM(IF(Career_History!H39=TRUE,IF(A227&lt;Career_History!D39,0,MIN(A227,Career_History!E39)-Career_History!D39+1),0),IF(Career_History!H40=TRUE,IF(A227&lt;Career_History!D40,0,MIN(A227,Career_History!E40)-Career_History!D40+1),0))/365.2425</f>
        <v>20.25229813069399</v>
      </c>
      <c r="AO227" s="9">
        <f>SUM(IF(Career_History!G41=TRUE,IF(A227&lt;Career_History!D41,0,MIN(A227,Career_History!E41)-Career_History!D41+1),0),IF(Career_History!G42=TRUE,IF(A227&lt;Career_History!D42,0,MIN(A227,Career_History!E42)-Career_History!D42+1),0))/365.2425</f>
        <v>33.251880599875427</v>
      </c>
      <c r="AP227" s="9">
        <f>SUM(IF(Career_History!I41=TRUE,IF(A227&lt;Career_History!D41,0,MIN(A227,Career_History!E41)-Career_History!D41+1),0),IF(Career_History!I42=TRUE,IF(A227&lt;Career_History!D42,0,MIN(A227,Career_History!E42)-Career_History!D42+1),0))/365.2425</f>
        <v>0</v>
      </c>
      <c r="AQ227" s="9">
        <f>SUM(IF(Career_History!H41=TRUE,IF(A227&lt;Career_History!D41,0,MIN(A227,Career_History!E41)-Career_History!D41+1),0),IF(Career_History!H42=TRUE,IF(A227&lt;Career_History!D42,0,MIN(A227,Career_History!E42)-Career_History!D42+1),0))/365.2425</f>
        <v>33.251880599875427</v>
      </c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/>
      <c r="BO227" s="9"/>
    </row>
    <row r="228" spans="1:67">
      <c r="A228" s="8">
        <v>41578</v>
      </c>
      <c r="B228" s="9">
        <f t="shared" si="9"/>
        <v>32.137004866629709</v>
      </c>
      <c r="C228" s="9">
        <f t="shared" si="10"/>
        <v>1.1329459194918443</v>
      </c>
      <c r="D228" s="9">
        <f t="shared" si="11"/>
        <v>22.72243783239902</v>
      </c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>
        <f>SUM(IF(Career_History!G25=TRUE,IF(A228&lt;Career_History!D25,0,MIN(A228,Career_History!E25)-Career_History!D25+1),0),IF(Career_History!G26=TRUE,IF(A228&lt;Career_History!D26,0,MIN(A228,Career_History!E26)-Career_History!D26+1),0),IF(Career_History!G27=TRUE,IF(A228&lt;Career_History!D27,0,MIN(A228,Career_History!E27)-Career_History!D27+1),0),IF(Career_History!G28=TRUE,IF(A228&lt;Career_History!D28,0,MIN(A228,Career_History!E28)-Career_History!D28+1),0),IF(Career_History!G29=TRUE,IF(A228&lt;Career_History!D29,0,MIN(A228,Career_History!E29)-Career_History!D29+1),0))/365.2425</f>
        <v>40.337583933961682</v>
      </c>
      <c r="AD228" s="9">
        <f>SUM(IF(Career_History!I25=TRUE,IF(A228&lt;Career_History!D25,0,MIN(A228,Career_History!E25)-Career_History!D25+1),0),IF(Career_History!I26=TRUE,IF(A228&lt;Career_History!D26,0,MIN(A228,Career_History!E26)-Career_History!D26+1),0),IF(Career_History!I27=TRUE,IF(A228&lt;Career_History!D27,0,MIN(A228,Career_History!E27)-Career_History!D27+1),0),IF(Career_History!I28=TRUE,IF(A228&lt;Career_History!D28,0,MIN(A228,Career_History!E28)-Career_History!D28+1),0),IF(Career_History!I29=TRUE,IF(A228&lt;Career_History!D29,0,MIN(A228,Career_History!E29)-Career_History!D29+1),0))/365.2425</f>
        <v>0</v>
      </c>
      <c r="AE228" s="9">
        <f>SUM(IF(Career_History!H25=TRUE,IF(A228&lt;Career_History!D25,0,MIN(A228,Career_History!E25)-Career_History!D25+1),0),IF(Career_History!H26=TRUE,IF(A228&lt;Career_History!D26,0,MIN(A228,Career_History!E26)-Career_History!D26+1),0),IF(Career_History!H27=TRUE,IF(A228&lt;Career_History!D27,0,MIN(A228,Career_History!E27)-Career_History!D27+1),0),IF(Career_History!H28=TRUE,IF(A228&lt;Career_History!D28,0,MIN(A228,Career_History!E28)-Career_History!D28+1),0),IF(Career_History!H29=TRUE,IF(A228&lt;Career_History!D29,0,MIN(A228,Career_History!E29)-Career_History!D29+1),0))/365.2425</f>
        <v>27.833562633045169</v>
      </c>
      <c r="AF228" s="9">
        <f>SUM(IF(Career_History!G30=TRUE,IF(A228&lt;Career_History!D30,0,MIN(A228,Career_History!E30)-Career_History!D30+1),0),IF(Career_History!G31=TRUE,IF(A228&lt;Career_History!D31,0,MIN(A228,Career_History!E31)-Career_History!D31+1),0),IF(Career_History!G32=TRUE,IF(A228&lt;Career_History!D32,0,MIN(A228,Career_History!E32)-Career_History!D32+1),0))/365.2425</f>
        <v>33.336755717092068</v>
      </c>
      <c r="AG228" s="9">
        <f>SUM(IF(Career_History!I30=TRUE,IF(A228&lt;Career_History!D30,0,MIN(A228,Career_History!E30)-Career_History!D30+1),0),IF(Career_History!I31=TRUE,IF(A228&lt;Career_History!D31,0,MIN(A228,Career_History!E31)-Career_History!D31+1),0),IF(Career_History!I32=TRUE,IF(A228&lt;Career_History!D32,0,MIN(A228,Career_History!E32)-Career_History!D32+1),0))/365.2425</f>
        <v>0</v>
      </c>
      <c r="AH228" s="9">
        <f>SUM(IF(Career_History!H30=TRUE,IF(A228&lt;Career_History!D30,0,MIN(A228,Career_History!E30)-Career_History!D30+1),0),IF(Career_History!H31=TRUE,IF(A228&lt;Career_History!D31,0,MIN(A228,Career_History!E31)-Career_History!D31+1),0),IF(Career_History!H32=TRUE,IF(A228&lt;Career_History!D32,0,MIN(A228,Career_History!E32)-Career_History!D32+1),0))/365.2425</f>
        <v>4.4326714443143942</v>
      </c>
      <c r="AI228" s="9">
        <f>SUM(IF(Career_History!G33=TRUE,IF(A228&lt;Career_History!D33,0,MIN(A228,Career_History!E33)-Career_History!D33+1),0),IF(Career_History!G34=TRUE,IF(A228&lt;Career_History!D34,0,MIN(A228,Career_History!E34)-Career_History!D34+1),0),IF(Career_History!G35=TRUE,IF(A228&lt;Career_History!D35,0,MIN(A228,Career_History!E35)-Career_History!D35+1),0),IF(Career_History!G36=TRUE,IF(A228&lt;Career_History!D36,0,MIN(A228,Career_History!E36)-Career_History!D36+1),0),IF(Career_History!G37=TRUE,IF(A228&lt;Career_History!D37,0,MIN(A228,Career_History!E37)-Career_History!D37+1),0),IF(Career_History!G38=TRUE,IF(A228&lt;Career_History!D38,0,MIN(A228,Career_History!E38)-Career_History!D38+1),0))/365.2425</f>
        <v>33.336755717092068</v>
      </c>
      <c r="AJ228" s="9">
        <f>SUM(IF(Career_History!I33=TRUE,IF(A228&lt;Career_History!D33,0,MIN(A228,Career_History!E33)-Career_History!D33+1),0),IF(Career_History!I34=TRUE,IF(A228&lt;Career_History!D34,0,MIN(A228,Career_History!E34)-Career_History!D34+1),0),IF(Career_History!I35=TRUE,IF(A228&lt;Career_History!D35,0,MIN(A228,Career_History!E35)-Career_History!D35+1),0),IF(Career_History!I36=TRUE,IF(A228&lt;Career_History!D36,0,MIN(A228,Career_History!E36)-Career_History!D36+1),0),IF(Career_History!I37=TRUE,IF(A228&lt;Career_History!D37,0,MIN(A228,Career_History!E37)-Career_History!D37+1),0),IF(Career_History!I38=TRUE,IF(A228&lt;Career_History!D38,0,MIN(A228,Career_History!E38)-Career_History!D38+1),0))/365.2425</f>
        <v>5.664729597459222</v>
      </c>
      <c r="AK228" s="9">
        <f>SUM(IF(Career_History!H33=TRUE,IF(A228&lt;Career_History!D33,0,MIN(A228,Career_History!E33)-Career_History!D33+1),0),IF(Career_History!H34=TRUE,IF(A228&lt;Career_History!D34,0,MIN(A228,Career_History!E34)-Career_History!D34+1),0),IF(Career_History!H35=TRUE,IF(A228&lt;Career_History!D35,0,MIN(A228,Career_History!E35)-Career_History!D35+1),0),IF(Career_History!H36=TRUE,IF(A228&lt;Career_History!D36,0,MIN(A228,Career_History!E36)-Career_History!D36+1),0),IF(Career_History!H37=TRUE,IF(A228&lt;Career_History!D37,0,MIN(A228,Career_History!E37)-Career_History!D37+1),0),IF(Career_History!H38=TRUE,IF(A228&lt;Career_History!D38,0,MIN(A228,Career_History!E38)-Career_History!D38+1),0))/365.2425</f>
        <v>27.672026119632847</v>
      </c>
      <c r="AL228" s="9">
        <f>SUM(IF(Career_History!G39=TRUE,IF(A228&lt;Career_History!D39,0,MIN(A228,Career_History!E39)-Career_History!D39+1),0),IF(Career_History!G40=TRUE,IF(A228&lt;Career_History!D40,0,MIN(A228,Career_History!E40)-Career_History!D40+1),0))/365.2425</f>
        <v>20.337173247910634</v>
      </c>
      <c r="AM228" s="9">
        <f>SUM(IF(Career_History!I39=TRUE,IF(A228&lt;Career_History!D39,0,MIN(A228,Career_History!E39)-Career_History!D39+1),0),IF(Career_History!I40=TRUE,IF(A228&lt;Career_History!D40,0,MIN(A228,Career_History!E40)-Career_History!D40+1),0))/365.2425</f>
        <v>0</v>
      </c>
      <c r="AN228" s="9">
        <f>SUM(IF(Career_History!H39=TRUE,IF(A228&lt;Career_History!D39,0,MIN(A228,Career_History!E39)-Career_History!D39+1),0),IF(Career_History!H40=TRUE,IF(A228&lt;Career_History!D40,0,MIN(A228,Career_History!E40)-Career_History!D40+1),0))/365.2425</f>
        <v>20.337173247910634</v>
      </c>
      <c r="AO228" s="9">
        <f>SUM(IF(Career_History!G41=TRUE,IF(A228&lt;Career_History!D41,0,MIN(A228,Career_History!E41)-Career_History!D41+1),0),IF(Career_History!G42=TRUE,IF(A228&lt;Career_History!D42,0,MIN(A228,Career_History!E42)-Career_History!D42+1),0))/365.2425</f>
        <v>33.336755717092068</v>
      </c>
      <c r="AP228" s="9">
        <f>SUM(IF(Career_History!I41=TRUE,IF(A228&lt;Career_History!D41,0,MIN(A228,Career_History!E41)-Career_History!D41+1),0),IF(Career_History!I42=TRUE,IF(A228&lt;Career_History!D42,0,MIN(A228,Career_History!E42)-Career_History!D42+1),0))/365.2425</f>
        <v>0</v>
      </c>
      <c r="AQ228" s="9">
        <f>SUM(IF(Career_History!H41=TRUE,IF(A228&lt;Career_History!D41,0,MIN(A228,Career_History!E41)-Career_History!D41+1),0),IF(Career_History!H42=TRUE,IF(A228&lt;Career_History!D42,0,MIN(A228,Career_History!E42)-Career_History!D42+1),0))/365.2425</f>
        <v>33.336755717092068</v>
      </c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/>
      <c r="BO228" s="9"/>
    </row>
    <row r="229" spans="1:67">
      <c r="A229" s="8">
        <v>41608</v>
      </c>
      <c r="B229" s="9">
        <f t="shared" si="9"/>
        <v>32.219142076839361</v>
      </c>
      <c r="C229" s="9">
        <f t="shared" si="10"/>
        <v>1.1329459194918443</v>
      </c>
      <c r="D229" s="9">
        <f t="shared" si="11"/>
        <v>22.804575042608679</v>
      </c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>
        <f>SUM(IF(Career_History!G25=TRUE,IF(A229&lt;Career_History!D25,0,MIN(A229,Career_History!E25)-Career_History!D25+1),0),IF(Career_History!G26=TRUE,IF(A229&lt;Career_History!D26,0,MIN(A229,Career_History!E26)-Career_History!D26+1),0),IF(Career_History!G27=TRUE,IF(A229&lt;Career_History!D27,0,MIN(A229,Career_History!E27)-Career_History!D27+1),0),IF(Career_History!G28=TRUE,IF(A229&lt;Career_History!D28,0,MIN(A229,Career_History!E28)-Career_History!D28+1),0),IF(Career_History!G29=TRUE,IF(A229&lt;Career_History!D29,0,MIN(A229,Career_History!E29)-Career_History!D29+1),0))/365.2425</f>
        <v>40.419721144171341</v>
      </c>
      <c r="AD229" s="9">
        <f>SUM(IF(Career_History!I25=TRUE,IF(A229&lt;Career_History!D25,0,MIN(A229,Career_History!E25)-Career_History!D25+1),0),IF(Career_History!I26=TRUE,IF(A229&lt;Career_History!D26,0,MIN(A229,Career_History!E26)-Career_History!D26+1),0),IF(Career_History!I27=TRUE,IF(A229&lt;Career_History!D27,0,MIN(A229,Career_History!E27)-Career_History!D27+1),0),IF(Career_History!I28=TRUE,IF(A229&lt;Career_History!D28,0,MIN(A229,Career_History!E28)-Career_History!D28+1),0),IF(Career_History!I29=TRUE,IF(A229&lt;Career_History!D29,0,MIN(A229,Career_History!E29)-Career_History!D29+1),0))/365.2425</f>
        <v>0</v>
      </c>
      <c r="AE229" s="9">
        <f>SUM(IF(Career_History!H25=TRUE,IF(A229&lt;Career_History!D25,0,MIN(A229,Career_History!E25)-Career_History!D25+1),0),IF(Career_History!H26=TRUE,IF(A229&lt;Career_History!D26,0,MIN(A229,Career_History!E26)-Career_History!D26+1),0),IF(Career_History!H27=TRUE,IF(A229&lt;Career_History!D27,0,MIN(A229,Career_History!E27)-Career_History!D27+1),0),IF(Career_History!H28=TRUE,IF(A229&lt;Career_History!D28,0,MIN(A229,Career_History!E28)-Career_History!D28+1),0),IF(Career_History!H29=TRUE,IF(A229&lt;Career_History!D29,0,MIN(A229,Career_History!E29)-Career_History!D29+1),0))/365.2425</f>
        <v>27.915699843254824</v>
      </c>
      <c r="AF229" s="9">
        <f>SUM(IF(Career_History!G30=TRUE,IF(A229&lt;Career_History!D30,0,MIN(A229,Career_History!E30)-Career_History!D30+1),0),IF(Career_History!G31=TRUE,IF(A229&lt;Career_History!D31,0,MIN(A229,Career_History!E31)-Career_History!D31+1),0),IF(Career_History!G32=TRUE,IF(A229&lt;Career_History!D32,0,MIN(A229,Career_History!E32)-Career_History!D32+1),0))/365.2425</f>
        <v>33.418892927301727</v>
      </c>
      <c r="AG229" s="9">
        <f>SUM(IF(Career_History!I30=TRUE,IF(A229&lt;Career_History!D30,0,MIN(A229,Career_History!E30)-Career_History!D30+1),0),IF(Career_History!I31=TRUE,IF(A229&lt;Career_History!D31,0,MIN(A229,Career_History!E31)-Career_History!D31+1),0),IF(Career_History!I32=TRUE,IF(A229&lt;Career_History!D32,0,MIN(A229,Career_History!E32)-Career_History!D32+1),0))/365.2425</f>
        <v>0</v>
      </c>
      <c r="AH229" s="9">
        <f>SUM(IF(Career_History!H30=TRUE,IF(A229&lt;Career_History!D30,0,MIN(A229,Career_History!E30)-Career_History!D30+1),0),IF(Career_History!H31=TRUE,IF(A229&lt;Career_History!D31,0,MIN(A229,Career_History!E31)-Career_History!D31+1),0),IF(Career_History!H32=TRUE,IF(A229&lt;Career_History!D32,0,MIN(A229,Career_History!E32)-Career_History!D32+1),0))/365.2425</f>
        <v>4.5148086545240487</v>
      </c>
      <c r="AI229" s="9">
        <f>SUM(IF(Career_History!G33=TRUE,IF(A229&lt;Career_History!D33,0,MIN(A229,Career_History!E33)-Career_History!D33+1),0),IF(Career_History!G34=TRUE,IF(A229&lt;Career_History!D34,0,MIN(A229,Career_History!E34)-Career_History!D34+1),0),IF(Career_History!G35=TRUE,IF(A229&lt;Career_History!D35,0,MIN(A229,Career_History!E35)-Career_History!D35+1),0),IF(Career_History!G36=TRUE,IF(A229&lt;Career_History!D36,0,MIN(A229,Career_History!E36)-Career_History!D36+1),0),IF(Career_History!G37=TRUE,IF(A229&lt;Career_History!D37,0,MIN(A229,Career_History!E37)-Career_History!D37+1),0),IF(Career_History!G38=TRUE,IF(A229&lt;Career_History!D38,0,MIN(A229,Career_History!E38)-Career_History!D38+1),0))/365.2425</f>
        <v>33.418892927301727</v>
      </c>
      <c r="AJ229" s="9">
        <f>SUM(IF(Career_History!I33=TRUE,IF(A229&lt;Career_History!D33,0,MIN(A229,Career_History!E33)-Career_History!D33+1),0),IF(Career_History!I34=TRUE,IF(A229&lt;Career_History!D34,0,MIN(A229,Career_History!E34)-Career_History!D34+1),0),IF(Career_History!I35=TRUE,IF(A229&lt;Career_History!D35,0,MIN(A229,Career_History!E35)-Career_History!D35+1),0),IF(Career_History!I36=TRUE,IF(A229&lt;Career_History!D36,0,MIN(A229,Career_History!E36)-Career_History!D36+1),0),IF(Career_History!I37=TRUE,IF(A229&lt;Career_History!D37,0,MIN(A229,Career_History!E37)-Career_History!D37+1),0),IF(Career_History!I38=TRUE,IF(A229&lt;Career_History!D38,0,MIN(A229,Career_History!E38)-Career_History!D38+1),0))/365.2425</f>
        <v>5.664729597459222</v>
      </c>
      <c r="AK229" s="9">
        <f>SUM(IF(Career_History!H33=TRUE,IF(A229&lt;Career_History!D33,0,MIN(A229,Career_History!E33)-Career_History!D33+1),0),IF(Career_History!H34=TRUE,IF(A229&lt;Career_History!D34,0,MIN(A229,Career_History!E34)-Career_History!D34+1),0),IF(Career_History!H35=TRUE,IF(A229&lt;Career_History!D35,0,MIN(A229,Career_History!E35)-Career_History!D35+1),0),IF(Career_History!H36=TRUE,IF(A229&lt;Career_History!D36,0,MIN(A229,Career_History!E36)-Career_History!D36+1),0),IF(Career_History!H37=TRUE,IF(A229&lt;Career_History!D37,0,MIN(A229,Career_History!E37)-Career_History!D37+1),0),IF(Career_History!H38=TRUE,IF(A229&lt;Career_History!D38,0,MIN(A229,Career_History!E38)-Career_History!D38+1),0))/365.2425</f>
        <v>27.754163329842502</v>
      </c>
      <c r="AL229" s="9">
        <f>SUM(IF(Career_History!G39=TRUE,IF(A229&lt;Career_History!D39,0,MIN(A229,Career_History!E39)-Career_History!D39+1),0),IF(Career_History!G40=TRUE,IF(A229&lt;Career_History!D40,0,MIN(A229,Career_History!E40)-Career_History!D40+1),0))/365.2425</f>
        <v>20.41931045812029</v>
      </c>
      <c r="AM229" s="9">
        <f>SUM(IF(Career_History!I39=TRUE,IF(A229&lt;Career_History!D39,0,MIN(A229,Career_History!E39)-Career_History!D39+1),0),IF(Career_History!I40=TRUE,IF(A229&lt;Career_History!D40,0,MIN(A229,Career_History!E40)-Career_History!D40+1),0))/365.2425</f>
        <v>0</v>
      </c>
      <c r="AN229" s="9">
        <f>SUM(IF(Career_History!H39=TRUE,IF(A229&lt;Career_History!D39,0,MIN(A229,Career_History!E39)-Career_History!D39+1),0),IF(Career_History!H40=TRUE,IF(A229&lt;Career_History!D40,0,MIN(A229,Career_History!E40)-Career_History!D40+1),0))/365.2425</f>
        <v>20.41931045812029</v>
      </c>
      <c r="AO229" s="9">
        <f>SUM(IF(Career_History!G41=TRUE,IF(A229&lt;Career_History!D41,0,MIN(A229,Career_History!E41)-Career_History!D41+1),0),IF(Career_History!G42=TRUE,IF(A229&lt;Career_History!D42,0,MIN(A229,Career_History!E42)-Career_History!D42+1),0))/365.2425</f>
        <v>33.418892927301727</v>
      </c>
      <c r="AP229" s="9">
        <f>SUM(IF(Career_History!I41=TRUE,IF(A229&lt;Career_History!D41,0,MIN(A229,Career_History!E41)-Career_History!D41+1),0),IF(Career_History!I42=TRUE,IF(A229&lt;Career_History!D42,0,MIN(A229,Career_History!E42)-Career_History!D42+1),0))/365.2425</f>
        <v>0</v>
      </c>
      <c r="AQ229" s="9">
        <f>SUM(IF(Career_History!H41=TRUE,IF(A229&lt;Career_History!D41,0,MIN(A229,Career_History!E41)-Career_History!D41+1),0),IF(Career_History!H42=TRUE,IF(A229&lt;Career_History!D42,0,MIN(A229,Career_History!E42)-Career_History!D42+1),0))/365.2425</f>
        <v>33.418892927301727</v>
      </c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9"/>
      <c r="BK229" s="9"/>
      <c r="BL229" s="9"/>
      <c r="BM229" s="9"/>
      <c r="BN229" s="9"/>
      <c r="BO229" s="9"/>
    </row>
    <row r="230" spans="1:67">
      <c r="A230" s="8">
        <v>41639</v>
      </c>
      <c r="B230" s="9">
        <f t="shared" si="9"/>
        <v>32.304017194056009</v>
      </c>
      <c r="C230" s="9">
        <f t="shared" si="10"/>
        <v>1.1329459194918443</v>
      </c>
      <c r="D230" s="9">
        <f t="shared" si="11"/>
        <v>22.889450159825323</v>
      </c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>
        <f>SUM(IF(Career_History!G25=TRUE,IF(A230&lt;Career_History!D25,0,MIN(A230,Career_History!E25)-Career_History!D25+1),0),IF(Career_History!G26=TRUE,IF(A230&lt;Career_History!D26,0,MIN(A230,Career_History!E26)-Career_History!D26+1),0),IF(Career_History!G27=TRUE,IF(A230&lt;Career_History!D27,0,MIN(A230,Career_History!E27)-Career_History!D27+1),0),IF(Career_History!G28=TRUE,IF(A230&lt;Career_History!D28,0,MIN(A230,Career_History!E28)-Career_History!D28+1),0),IF(Career_History!G29=TRUE,IF(A230&lt;Career_History!D29,0,MIN(A230,Career_History!E29)-Career_History!D29+1),0))/365.2425</f>
        <v>40.504596261387981</v>
      </c>
      <c r="AD230" s="9">
        <f>SUM(IF(Career_History!I25=TRUE,IF(A230&lt;Career_History!D25,0,MIN(A230,Career_History!E25)-Career_History!D25+1),0),IF(Career_History!I26=TRUE,IF(A230&lt;Career_History!D26,0,MIN(A230,Career_History!E26)-Career_History!D26+1),0),IF(Career_History!I27=TRUE,IF(A230&lt;Career_History!D27,0,MIN(A230,Career_History!E27)-Career_History!D27+1),0),IF(Career_History!I28=TRUE,IF(A230&lt;Career_History!D28,0,MIN(A230,Career_History!E28)-Career_History!D28+1),0),IF(Career_History!I29=TRUE,IF(A230&lt;Career_History!D29,0,MIN(A230,Career_History!E29)-Career_History!D29+1),0))/365.2425</f>
        <v>0</v>
      </c>
      <c r="AE230" s="9">
        <f>SUM(IF(Career_History!H25=TRUE,IF(A230&lt;Career_History!D25,0,MIN(A230,Career_History!E25)-Career_History!D25+1),0),IF(Career_History!H26=TRUE,IF(A230&lt;Career_History!D26,0,MIN(A230,Career_History!E26)-Career_History!D26+1),0),IF(Career_History!H27=TRUE,IF(A230&lt;Career_History!D27,0,MIN(A230,Career_History!E27)-Career_History!D27+1),0),IF(Career_History!H28=TRUE,IF(A230&lt;Career_History!D28,0,MIN(A230,Career_History!E28)-Career_History!D28+1),0),IF(Career_History!H29=TRUE,IF(A230&lt;Career_History!D29,0,MIN(A230,Career_History!E29)-Career_History!D29+1),0))/365.2425</f>
        <v>28.000574960471468</v>
      </c>
      <c r="AF230" s="9">
        <f>SUM(IF(Career_History!G30=TRUE,IF(A230&lt;Career_History!D30,0,MIN(A230,Career_History!E30)-Career_History!D30+1),0),IF(Career_History!G31=TRUE,IF(A230&lt;Career_History!D31,0,MIN(A230,Career_History!E31)-Career_History!D31+1),0),IF(Career_History!G32=TRUE,IF(A230&lt;Career_History!D32,0,MIN(A230,Career_History!E32)-Career_History!D32+1),0))/365.2425</f>
        <v>33.503768044518367</v>
      </c>
      <c r="AG230" s="9">
        <f>SUM(IF(Career_History!I30=TRUE,IF(A230&lt;Career_History!D30,0,MIN(A230,Career_History!E30)-Career_History!D30+1),0),IF(Career_History!I31=TRUE,IF(A230&lt;Career_History!D31,0,MIN(A230,Career_History!E31)-Career_History!D31+1),0),IF(Career_History!I32=TRUE,IF(A230&lt;Career_History!D32,0,MIN(A230,Career_History!E32)-Career_History!D32+1),0))/365.2425</f>
        <v>0</v>
      </c>
      <c r="AH230" s="9">
        <f>SUM(IF(Career_History!H30=TRUE,IF(A230&lt;Career_History!D30,0,MIN(A230,Career_History!E30)-Career_History!D30+1),0),IF(Career_History!H31=TRUE,IF(A230&lt;Career_History!D31,0,MIN(A230,Career_History!E31)-Career_History!D31+1),0),IF(Career_History!H32=TRUE,IF(A230&lt;Career_History!D32,0,MIN(A230,Career_History!E32)-Career_History!D32+1),0))/365.2425</f>
        <v>4.5996837717406924</v>
      </c>
      <c r="AI230" s="9">
        <f>SUM(IF(Career_History!G33=TRUE,IF(A230&lt;Career_History!D33,0,MIN(A230,Career_History!E33)-Career_History!D33+1),0),IF(Career_History!G34=TRUE,IF(A230&lt;Career_History!D34,0,MIN(A230,Career_History!E34)-Career_History!D34+1),0),IF(Career_History!G35=TRUE,IF(A230&lt;Career_History!D35,0,MIN(A230,Career_History!E35)-Career_History!D35+1),0),IF(Career_History!G36=TRUE,IF(A230&lt;Career_History!D36,0,MIN(A230,Career_History!E36)-Career_History!D36+1),0),IF(Career_History!G37=TRUE,IF(A230&lt;Career_History!D37,0,MIN(A230,Career_History!E37)-Career_History!D37+1),0),IF(Career_History!G38=TRUE,IF(A230&lt;Career_History!D38,0,MIN(A230,Career_History!E38)-Career_History!D38+1),0))/365.2425</f>
        <v>33.503768044518367</v>
      </c>
      <c r="AJ230" s="9">
        <f>SUM(IF(Career_History!I33=TRUE,IF(A230&lt;Career_History!D33,0,MIN(A230,Career_History!E33)-Career_History!D33+1),0),IF(Career_History!I34=TRUE,IF(A230&lt;Career_History!D34,0,MIN(A230,Career_History!E34)-Career_History!D34+1),0),IF(Career_History!I35=TRUE,IF(A230&lt;Career_History!D35,0,MIN(A230,Career_History!E35)-Career_History!D35+1),0),IF(Career_History!I36=TRUE,IF(A230&lt;Career_History!D36,0,MIN(A230,Career_History!E36)-Career_History!D36+1),0),IF(Career_History!I37=TRUE,IF(A230&lt;Career_History!D37,0,MIN(A230,Career_History!E37)-Career_History!D37+1),0),IF(Career_History!I38=TRUE,IF(A230&lt;Career_History!D38,0,MIN(A230,Career_History!E38)-Career_History!D38+1),0))/365.2425</f>
        <v>5.664729597459222</v>
      </c>
      <c r="AK230" s="9">
        <f>SUM(IF(Career_History!H33=TRUE,IF(A230&lt;Career_History!D33,0,MIN(A230,Career_History!E33)-Career_History!D33+1),0),IF(Career_History!H34=TRUE,IF(A230&lt;Career_History!D34,0,MIN(A230,Career_History!E34)-Career_History!D34+1),0),IF(Career_History!H35=TRUE,IF(A230&lt;Career_History!D35,0,MIN(A230,Career_History!E35)-Career_History!D35+1),0),IF(Career_History!H36=TRUE,IF(A230&lt;Career_History!D36,0,MIN(A230,Career_History!E36)-Career_History!D36+1),0),IF(Career_History!H37=TRUE,IF(A230&lt;Career_History!D37,0,MIN(A230,Career_History!E37)-Career_History!D37+1),0),IF(Career_History!H38=TRUE,IF(A230&lt;Career_History!D38,0,MIN(A230,Career_History!E38)-Career_History!D38+1),0))/365.2425</f>
        <v>27.839038447059146</v>
      </c>
      <c r="AL230" s="9">
        <f>SUM(IF(Career_History!G39=TRUE,IF(A230&lt;Career_History!D39,0,MIN(A230,Career_History!E39)-Career_History!D39+1),0),IF(Career_History!G40=TRUE,IF(A230&lt;Career_History!D40,0,MIN(A230,Career_History!E40)-Career_History!D40+1),0))/365.2425</f>
        <v>20.504185575336933</v>
      </c>
      <c r="AM230" s="9">
        <f>SUM(IF(Career_History!I39=TRUE,IF(A230&lt;Career_History!D39,0,MIN(A230,Career_History!E39)-Career_History!D39+1),0),IF(Career_History!I40=TRUE,IF(A230&lt;Career_History!D40,0,MIN(A230,Career_History!E40)-Career_History!D40+1),0))/365.2425</f>
        <v>0</v>
      </c>
      <c r="AN230" s="9">
        <f>SUM(IF(Career_History!H39=TRUE,IF(A230&lt;Career_History!D39,0,MIN(A230,Career_History!E39)-Career_History!D39+1),0),IF(Career_History!H40=TRUE,IF(A230&lt;Career_History!D40,0,MIN(A230,Career_History!E40)-Career_History!D40+1),0))/365.2425</f>
        <v>20.504185575336933</v>
      </c>
      <c r="AO230" s="9">
        <f>SUM(IF(Career_History!G41=TRUE,IF(A230&lt;Career_History!D41,0,MIN(A230,Career_History!E41)-Career_History!D41+1),0),IF(Career_History!G42=TRUE,IF(A230&lt;Career_History!D42,0,MIN(A230,Career_History!E42)-Career_History!D42+1),0))/365.2425</f>
        <v>33.503768044518367</v>
      </c>
      <c r="AP230" s="9">
        <f>SUM(IF(Career_History!I41=TRUE,IF(A230&lt;Career_History!D41,0,MIN(A230,Career_History!E41)-Career_History!D41+1),0),IF(Career_History!I42=TRUE,IF(A230&lt;Career_History!D42,0,MIN(A230,Career_History!E42)-Career_History!D42+1),0))/365.2425</f>
        <v>0</v>
      </c>
      <c r="AQ230" s="9">
        <f>SUM(IF(Career_History!H41=TRUE,IF(A230&lt;Career_History!D41,0,MIN(A230,Career_History!E41)-Career_History!D41+1),0),IF(Career_History!H42=TRUE,IF(A230&lt;Career_History!D42,0,MIN(A230,Career_History!E42)-Career_History!D42+1),0))/365.2425</f>
        <v>33.503768044518367</v>
      </c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/>
      <c r="BO230" s="9"/>
    </row>
    <row r="231" spans="1:67">
      <c r="A231" s="8">
        <v>41670</v>
      </c>
      <c r="B231" s="9">
        <f t="shared" si="9"/>
        <v>32.388892311272642</v>
      </c>
      <c r="C231" s="9">
        <f t="shared" si="10"/>
        <v>1.1329459194918443</v>
      </c>
      <c r="D231" s="9">
        <f t="shared" si="11"/>
        <v>22.974325277041963</v>
      </c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>
        <f>SUM(IF(Career_History!G25=TRUE,IF(A231&lt;Career_History!D25,0,MIN(A231,Career_History!E25)-Career_History!D25+1),0),IF(Career_History!G26=TRUE,IF(A231&lt;Career_History!D26,0,MIN(A231,Career_History!E26)-Career_History!D26+1),0),IF(Career_History!G27=TRUE,IF(A231&lt;Career_History!D27,0,MIN(A231,Career_History!E27)-Career_History!D27+1),0),IF(Career_History!G28=TRUE,IF(A231&lt;Career_History!D28,0,MIN(A231,Career_History!E28)-Career_History!D28+1),0),IF(Career_History!G29=TRUE,IF(A231&lt;Career_History!D29,0,MIN(A231,Career_History!E29)-Career_History!D29+1),0))/365.2425</f>
        <v>40.589471378604628</v>
      </c>
      <c r="AD231" s="9">
        <f>SUM(IF(Career_History!I25=TRUE,IF(A231&lt;Career_History!D25,0,MIN(A231,Career_History!E25)-Career_History!D25+1),0),IF(Career_History!I26=TRUE,IF(A231&lt;Career_History!D26,0,MIN(A231,Career_History!E26)-Career_History!D26+1),0),IF(Career_History!I27=TRUE,IF(A231&lt;Career_History!D27,0,MIN(A231,Career_History!E27)-Career_History!D27+1),0),IF(Career_History!I28=TRUE,IF(A231&lt;Career_History!D28,0,MIN(A231,Career_History!E28)-Career_History!D28+1),0),IF(Career_History!I29=TRUE,IF(A231&lt;Career_History!D29,0,MIN(A231,Career_History!E29)-Career_History!D29+1),0))/365.2425</f>
        <v>0</v>
      </c>
      <c r="AE231" s="9">
        <f>SUM(IF(Career_History!H25=TRUE,IF(A231&lt;Career_History!D25,0,MIN(A231,Career_History!E25)-Career_History!D25+1),0),IF(Career_History!H26=TRUE,IF(A231&lt;Career_History!D26,0,MIN(A231,Career_History!E26)-Career_History!D26+1),0),IF(Career_History!H27=TRUE,IF(A231&lt;Career_History!D27,0,MIN(A231,Career_History!E27)-Career_History!D27+1),0),IF(Career_History!H28=TRUE,IF(A231&lt;Career_History!D28,0,MIN(A231,Career_History!E28)-Career_History!D28+1),0),IF(Career_History!H29=TRUE,IF(A231&lt;Career_History!D29,0,MIN(A231,Career_History!E29)-Career_History!D29+1),0))/365.2425</f>
        <v>28.085450077688112</v>
      </c>
      <c r="AF231" s="9">
        <f>SUM(IF(Career_History!G30=TRUE,IF(A231&lt;Career_History!D30,0,MIN(A231,Career_History!E30)-Career_History!D30+1),0),IF(Career_History!G31=TRUE,IF(A231&lt;Career_History!D31,0,MIN(A231,Career_History!E31)-Career_History!D31+1),0),IF(Career_History!G32=TRUE,IF(A231&lt;Career_History!D32,0,MIN(A231,Career_History!E32)-Career_History!D32+1),0))/365.2425</f>
        <v>33.588643161735014</v>
      </c>
      <c r="AG231" s="9">
        <f>SUM(IF(Career_History!I30=TRUE,IF(A231&lt;Career_History!D30,0,MIN(A231,Career_History!E30)-Career_History!D30+1),0),IF(Career_History!I31=TRUE,IF(A231&lt;Career_History!D31,0,MIN(A231,Career_History!E31)-Career_History!D31+1),0),IF(Career_History!I32=TRUE,IF(A231&lt;Career_History!D32,0,MIN(A231,Career_History!E32)-Career_History!D32+1),0))/365.2425</f>
        <v>0</v>
      </c>
      <c r="AH231" s="9">
        <f>SUM(IF(Career_History!H30=TRUE,IF(A231&lt;Career_History!D30,0,MIN(A231,Career_History!E30)-Career_History!D30+1),0),IF(Career_History!H31=TRUE,IF(A231&lt;Career_History!D31,0,MIN(A231,Career_History!E31)-Career_History!D31+1),0),IF(Career_History!H32=TRUE,IF(A231&lt;Career_History!D32,0,MIN(A231,Career_History!E32)-Career_History!D32+1),0))/365.2425</f>
        <v>4.6845588889573362</v>
      </c>
      <c r="AI231" s="9">
        <f>SUM(IF(Career_History!G33=TRUE,IF(A231&lt;Career_History!D33,0,MIN(A231,Career_History!E33)-Career_History!D33+1),0),IF(Career_History!G34=TRUE,IF(A231&lt;Career_History!D34,0,MIN(A231,Career_History!E34)-Career_History!D34+1),0),IF(Career_History!G35=TRUE,IF(A231&lt;Career_History!D35,0,MIN(A231,Career_History!E35)-Career_History!D35+1),0),IF(Career_History!G36=TRUE,IF(A231&lt;Career_History!D36,0,MIN(A231,Career_History!E36)-Career_History!D36+1),0),IF(Career_History!G37=TRUE,IF(A231&lt;Career_History!D37,0,MIN(A231,Career_History!E37)-Career_History!D37+1),0),IF(Career_History!G38=TRUE,IF(A231&lt;Career_History!D38,0,MIN(A231,Career_History!E38)-Career_History!D38+1),0))/365.2425</f>
        <v>33.588643161735014</v>
      </c>
      <c r="AJ231" s="9">
        <f>SUM(IF(Career_History!I33=TRUE,IF(A231&lt;Career_History!D33,0,MIN(A231,Career_History!E33)-Career_History!D33+1),0),IF(Career_History!I34=TRUE,IF(A231&lt;Career_History!D34,0,MIN(A231,Career_History!E34)-Career_History!D34+1),0),IF(Career_History!I35=TRUE,IF(A231&lt;Career_History!D35,0,MIN(A231,Career_History!E35)-Career_History!D35+1),0),IF(Career_History!I36=TRUE,IF(A231&lt;Career_History!D36,0,MIN(A231,Career_History!E36)-Career_History!D36+1),0),IF(Career_History!I37=TRUE,IF(A231&lt;Career_History!D37,0,MIN(A231,Career_History!E37)-Career_History!D37+1),0),IF(Career_History!I38=TRUE,IF(A231&lt;Career_History!D38,0,MIN(A231,Career_History!E38)-Career_History!D38+1),0))/365.2425</f>
        <v>5.664729597459222</v>
      </c>
      <c r="AK231" s="9">
        <f>SUM(IF(Career_History!H33=TRUE,IF(A231&lt;Career_History!D33,0,MIN(A231,Career_History!E33)-Career_History!D33+1),0),IF(Career_History!H34=TRUE,IF(A231&lt;Career_History!D34,0,MIN(A231,Career_History!E34)-Career_History!D34+1),0),IF(Career_History!H35=TRUE,IF(A231&lt;Career_History!D35,0,MIN(A231,Career_History!E35)-Career_History!D35+1),0),IF(Career_History!H36=TRUE,IF(A231&lt;Career_History!D36,0,MIN(A231,Career_History!E36)-Career_History!D36+1),0),IF(Career_History!H37=TRUE,IF(A231&lt;Career_History!D37,0,MIN(A231,Career_History!E37)-Career_History!D37+1),0),IF(Career_History!H38=TRUE,IF(A231&lt;Career_History!D38,0,MIN(A231,Career_History!E38)-Career_History!D38+1),0))/365.2425</f>
        <v>27.923913564275789</v>
      </c>
      <c r="AL231" s="9">
        <f>SUM(IF(Career_History!G39=TRUE,IF(A231&lt;Career_History!D39,0,MIN(A231,Career_History!E39)-Career_History!D39+1),0),IF(Career_History!G40=TRUE,IF(A231&lt;Career_History!D40,0,MIN(A231,Career_History!E40)-Career_History!D40+1),0))/365.2425</f>
        <v>20.589060692553577</v>
      </c>
      <c r="AM231" s="9">
        <f>SUM(IF(Career_History!I39=TRUE,IF(A231&lt;Career_History!D39,0,MIN(A231,Career_History!E39)-Career_History!D39+1),0),IF(Career_History!I40=TRUE,IF(A231&lt;Career_History!D40,0,MIN(A231,Career_History!E40)-Career_History!D40+1),0))/365.2425</f>
        <v>0</v>
      </c>
      <c r="AN231" s="9">
        <f>SUM(IF(Career_History!H39=TRUE,IF(A231&lt;Career_History!D39,0,MIN(A231,Career_History!E39)-Career_History!D39+1),0),IF(Career_History!H40=TRUE,IF(A231&lt;Career_History!D40,0,MIN(A231,Career_History!E40)-Career_History!D40+1),0))/365.2425</f>
        <v>20.589060692553577</v>
      </c>
      <c r="AO231" s="9">
        <f>SUM(IF(Career_History!G41=TRUE,IF(A231&lt;Career_History!D41,0,MIN(A231,Career_History!E41)-Career_History!D41+1),0),IF(Career_History!G42=TRUE,IF(A231&lt;Career_History!D42,0,MIN(A231,Career_History!E42)-Career_History!D42+1),0))/365.2425</f>
        <v>33.588643161735014</v>
      </c>
      <c r="AP231" s="9">
        <f>SUM(IF(Career_History!I41=TRUE,IF(A231&lt;Career_History!D41,0,MIN(A231,Career_History!E41)-Career_History!D41+1),0),IF(Career_History!I42=TRUE,IF(A231&lt;Career_History!D42,0,MIN(A231,Career_History!E42)-Career_History!D42+1),0))/365.2425</f>
        <v>0</v>
      </c>
      <c r="AQ231" s="9">
        <f>SUM(IF(Career_History!H41=TRUE,IF(A231&lt;Career_History!D41,0,MIN(A231,Career_History!E41)-Career_History!D41+1),0),IF(Career_History!H42=TRUE,IF(A231&lt;Career_History!D42,0,MIN(A231,Career_History!E42)-Career_History!D42+1),0))/365.2425</f>
        <v>33.588643161735014</v>
      </c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/>
      <c r="BO231" s="9"/>
    </row>
    <row r="232" spans="1:67">
      <c r="A232" s="8">
        <v>41698</v>
      </c>
      <c r="B232" s="9">
        <f t="shared" si="9"/>
        <v>32.465553707468317</v>
      </c>
      <c r="C232" s="9">
        <f t="shared" si="10"/>
        <v>1.1329459194918443</v>
      </c>
      <c r="D232" s="9">
        <f t="shared" si="11"/>
        <v>23.050986673237645</v>
      </c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>
        <f>SUM(IF(Career_History!G25=TRUE,IF(A232&lt;Career_History!D25,0,MIN(A232,Career_History!E25)-Career_History!D25+1),0),IF(Career_History!G26=TRUE,IF(A232&lt;Career_History!D26,0,MIN(A232,Career_History!E26)-Career_History!D26+1),0),IF(Career_History!G27=TRUE,IF(A232&lt;Career_History!D27,0,MIN(A232,Career_History!E27)-Career_History!D27+1),0),IF(Career_History!G28=TRUE,IF(A232&lt;Career_History!D28,0,MIN(A232,Career_History!E28)-Career_History!D28+1),0),IF(Career_History!G29=TRUE,IF(A232&lt;Career_History!D29,0,MIN(A232,Career_History!E29)-Career_History!D29+1),0))/365.2425</f>
        <v>40.666132774800303</v>
      </c>
      <c r="AD232" s="9">
        <f>SUM(IF(Career_History!I25=TRUE,IF(A232&lt;Career_History!D25,0,MIN(A232,Career_History!E25)-Career_History!D25+1),0),IF(Career_History!I26=TRUE,IF(A232&lt;Career_History!D26,0,MIN(A232,Career_History!E26)-Career_History!D26+1),0),IF(Career_History!I27=TRUE,IF(A232&lt;Career_History!D27,0,MIN(A232,Career_History!E27)-Career_History!D27+1),0),IF(Career_History!I28=TRUE,IF(A232&lt;Career_History!D28,0,MIN(A232,Career_History!E28)-Career_History!D28+1),0),IF(Career_History!I29=TRUE,IF(A232&lt;Career_History!D29,0,MIN(A232,Career_History!E29)-Career_History!D29+1),0))/365.2425</f>
        <v>0</v>
      </c>
      <c r="AE232" s="9">
        <f>SUM(IF(Career_History!H25=TRUE,IF(A232&lt;Career_History!D25,0,MIN(A232,Career_History!E25)-Career_History!D25+1),0),IF(Career_History!H26=TRUE,IF(A232&lt;Career_History!D26,0,MIN(A232,Career_History!E26)-Career_History!D26+1),0),IF(Career_History!H27=TRUE,IF(A232&lt;Career_History!D27,0,MIN(A232,Career_History!E27)-Career_History!D27+1),0),IF(Career_History!H28=TRUE,IF(A232&lt;Career_History!D28,0,MIN(A232,Career_History!E28)-Career_History!D28+1),0),IF(Career_History!H29=TRUE,IF(A232&lt;Career_History!D29,0,MIN(A232,Career_History!E29)-Career_History!D29+1),0))/365.2425</f>
        <v>28.16211147388379</v>
      </c>
      <c r="AF232" s="9">
        <f>SUM(IF(Career_History!G30=TRUE,IF(A232&lt;Career_History!D30,0,MIN(A232,Career_History!E30)-Career_History!D30+1),0),IF(Career_History!G31=TRUE,IF(A232&lt;Career_History!D31,0,MIN(A232,Career_History!E31)-Career_History!D31+1),0),IF(Career_History!G32=TRUE,IF(A232&lt;Career_History!D32,0,MIN(A232,Career_History!E32)-Career_History!D32+1),0))/365.2425</f>
        <v>33.665304557930689</v>
      </c>
      <c r="AG232" s="9">
        <f>SUM(IF(Career_History!I30=TRUE,IF(A232&lt;Career_History!D30,0,MIN(A232,Career_History!E30)-Career_History!D30+1),0),IF(Career_History!I31=TRUE,IF(A232&lt;Career_History!D31,0,MIN(A232,Career_History!E31)-Career_History!D31+1),0),IF(Career_History!I32=TRUE,IF(A232&lt;Career_History!D32,0,MIN(A232,Career_History!E32)-Career_History!D32+1),0))/365.2425</f>
        <v>0</v>
      </c>
      <c r="AH232" s="9">
        <f>SUM(IF(Career_History!H30=TRUE,IF(A232&lt;Career_History!D30,0,MIN(A232,Career_History!E30)-Career_History!D30+1),0),IF(Career_History!H31=TRUE,IF(A232&lt;Career_History!D31,0,MIN(A232,Career_History!E31)-Career_History!D31+1),0),IF(Career_History!H32=TRUE,IF(A232&lt;Career_History!D32,0,MIN(A232,Career_History!E32)-Career_History!D32+1),0))/365.2425</f>
        <v>4.7612202851530148</v>
      </c>
      <c r="AI232" s="9">
        <f>SUM(IF(Career_History!G33=TRUE,IF(A232&lt;Career_History!D33,0,MIN(A232,Career_History!E33)-Career_History!D33+1),0),IF(Career_History!G34=TRUE,IF(A232&lt;Career_History!D34,0,MIN(A232,Career_History!E34)-Career_History!D34+1),0),IF(Career_History!G35=TRUE,IF(A232&lt;Career_History!D35,0,MIN(A232,Career_History!E35)-Career_History!D35+1),0),IF(Career_History!G36=TRUE,IF(A232&lt;Career_History!D36,0,MIN(A232,Career_History!E36)-Career_History!D36+1),0),IF(Career_History!G37=TRUE,IF(A232&lt;Career_History!D37,0,MIN(A232,Career_History!E37)-Career_History!D37+1),0),IF(Career_History!G38=TRUE,IF(A232&lt;Career_History!D38,0,MIN(A232,Career_History!E38)-Career_History!D38+1),0))/365.2425</f>
        <v>33.665304557930689</v>
      </c>
      <c r="AJ232" s="9">
        <f>SUM(IF(Career_History!I33=TRUE,IF(A232&lt;Career_History!D33,0,MIN(A232,Career_History!E33)-Career_History!D33+1),0),IF(Career_History!I34=TRUE,IF(A232&lt;Career_History!D34,0,MIN(A232,Career_History!E34)-Career_History!D34+1),0),IF(Career_History!I35=TRUE,IF(A232&lt;Career_History!D35,0,MIN(A232,Career_History!E35)-Career_History!D35+1),0),IF(Career_History!I36=TRUE,IF(A232&lt;Career_History!D36,0,MIN(A232,Career_History!E36)-Career_History!D36+1),0),IF(Career_History!I37=TRUE,IF(A232&lt;Career_History!D37,0,MIN(A232,Career_History!E37)-Career_History!D37+1),0),IF(Career_History!I38=TRUE,IF(A232&lt;Career_History!D38,0,MIN(A232,Career_History!E38)-Career_History!D38+1),0))/365.2425</f>
        <v>5.664729597459222</v>
      </c>
      <c r="AK232" s="9">
        <f>SUM(IF(Career_History!H33=TRUE,IF(A232&lt;Career_History!D33,0,MIN(A232,Career_History!E33)-Career_History!D33+1),0),IF(Career_History!H34=TRUE,IF(A232&lt;Career_History!D34,0,MIN(A232,Career_History!E34)-Career_History!D34+1),0),IF(Career_History!H35=TRUE,IF(A232&lt;Career_History!D35,0,MIN(A232,Career_History!E35)-Career_History!D35+1),0),IF(Career_History!H36=TRUE,IF(A232&lt;Career_History!D36,0,MIN(A232,Career_History!E36)-Career_History!D36+1),0),IF(Career_History!H37=TRUE,IF(A232&lt;Career_History!D37,0,MIN(A232,Career_History!E37)-Career_History!D37+1),0),IF(Career_History!H38=TRUE,IF(A232&lt;Career_History!D38,0,MIN(A232,Career_History!E38)-Career_History!D38+1),0))/365.2425</f>
        <v>28.000574960471468</v>
      </c>
      <c r="AL232" s="9">
        <f>SUM(IF(Career_History!G39=TRUE,IF(A232&lt;Career_History!D39,0,MIN(A232,Career_History!E39)-Career_History!D39+1),0),IF(Career_History!G40=TRUE,IF(A232&lt;Career_History!D40,0,MIN(A232,Career_History!E40)-Career_History!D40+1),0))/365.2425</f>
        <v>20.665722088749256</v>
      </c>
      <c r="AM232" s="9">
        <f>SUM(IF(Career_History!I39=TRUE,IF(A232&lt;Career_History!D39,0,MIN(A232,Career_History!E39)-Career_History!D39+1),0),IF(Career_History!I40=TRUE,IF(A232&lt;Career_History!D40,0,MIN(A232,Career_History!E40)-Career_History!D40+1),0))/365.2425</f>
        <v>0</v>
      </c>
      <c r="AN232" s="9">
        <f>SUM(IF(Career_History!H39=TRUE,IF(A232&lt;Career_History!D39,0,MIN(A232,Career_History!E39)-Career_History!D39+1),0),IF(Career_History!H40=TRUE,IF(A232&lt;Career_History!D40,0,MIN(A232,Career_History!E40)-Career_History!D40+1),0))/365.2425</f>
        <v>20.665722088749256</v>
      </c>
      <c r="AO232" s="9">
        <f>SUM(IF(Career_History!G41=TRUE,IF(A232&lt;Career_History!D41,0,MIN(A232,Career_History!E41)-Career_History!D41+1),0),IF(Career_History!G42=TRUE,IF(A232&lt;Career_History!D42,0,MIN(A232,Career_History!E42)-Career_History!D42+1),0))/365.2425</f>
        <v>33.665304557930689</v>
      </c>
      <c r="AP232" s="9">
        <f>SUM(IF(Career_History!I41=TRUE,IF(A232&lt;Career_History!D41,0,MIN(A232,Career_History!E41)-Career_History!D41+1),0),IF(Career_History!I42=TRUE,IF(A232&lt;Career_History!D42,0,MIN(A232,Career_History!E42)-Career_History!D42+1),0))/365.2425</f>
        <v>0</v>
      </c>
      <c r="AQ232" s="9">
        <f>SUM(IF(Career_History!H41=TRUE,IF(A232&lt;Career_History!D41,0,MIN(A232,Career_History!E41)-Career_History!D41+1),0),IF(Career_History!H42=TRUE,IF(A232&lt;Career_History!D42,0,MIN(A232,Career_History!E42)-Career_History!D42+1),0))/365.2425</f>
        <v>33.665304557930689</v>
      </c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9"/>
      <c r="BK232" s="9"/>
      <c r="BL232" s="9"/>
      <c r="BM232" s="9"/>
      <c r="BN232" s="9"/>
      <c r="BO232" s="9"/>
    </row>
    <row r="233" spans="1:67">
      <c r="A233" s="8">
        <v>41729</v>
      </c>
      <c r="B233" s="9">
        <f t="shared" si="9"/>
        <v>32.550428824684971</v>
      </c>
      <c r="C233" s="9">
        <f t="shared" si="10"/>
        <v>1.1329459194918443</v>
      </c>
      <c r="D233" s="9">
        <f t="shared" si="11"/>
        <v>23.135861790454289</v>
      </c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>
        <f>SUM(IF(Career_History!G25=TRUE,IF(A233&lt;Career_History!D25,0,MIN(A233,Career_History!E25)-Career_History!D25+1),0),IF(Career_History!G26=TRUE,IF(A233&lt;Career_History!D26,0,MIN(A233,Career_History!E26)-Career_History!D26+1),0),IF(Career_History!G27=TRUE,IF(A233&lt;Career_History!D27,0,MIN(A233,Career_History!E27)-Career_History!D27+1),0),IF(Career_History!G28=TRUE,IF(A233&lt;Career_History!D28,0,MIN(A233,Career_History!E28)-Career_History!D28+1),0),IF(Career_History!G29=TRUE,IF(A233&lt;Career_History!D29,0,MIN(A233,Career_History!E29)-Career_History!D29+1),0))/365.2425</f>
        <v>40.751007892016943</v>
      </c>
      <c r="AD233" s="9">
        <f>SUM(IF(Career_History!I25=TRUE,IF(A233&lt;Career_History!D25,0,MIN(A233,Career_History!E25)-Career_History!D25+1),0),IF(Career_History!I26=TRUE,IF(A233&lt;Career_History!D26,0,MIN(A233,Career_History!E26)-Career_History!D26+1),0),IF(Career_History!I27=TRUE,IF(A233&lt;Career_History!D27,0,MIN(A233,Career_History!E27)-Career_History!D27+1),0),IF(Career_History!I28=TRUE,IF(A233&lt;Career_History!D28,0,MIN(A233,Career_History!E28)-Career_History!D28+1),0),IF(Career_History!I29=TRUE,IF(A233&lt;Career_History!D29,0,MIN(A233,Career_History!E29)-Career_History!D29+1),0))/365.2425</f>
        <v>0</v>
      </c>
      <c r="AE233" s="9">
        <f>SUM(IF(Career_History!H25=TRUE,IF(A233&lt;Career_History!D25,0,MIN(A233,Career_History!E25)-Career_History!D25+1),0),IF(Career_History!H26=TRUE,IF(A233&lt;Career_History!D26,0,MIN(A233,Career_History!E26)-Career_History!D26+1),0),IF(Career_History!H27=TRUE,IF(A233&lt;Career_History!D27,0,MIN(A233,Career_History!E27)-Career_History!D27+1),0),IF(Career_History!H28=TRUE,IF(A233&lt;Career_History!D28,0,MIN(A233,Career_History!E28)-Career_History!D28+1),0),IF(Career_History!H29=TRUE,IF(A233&lt;Career_History!D29,0,MIN(A233,Career_History!E29)-Career_History!D29+1),0))/365.2425</f>
        <v>28.246986591100434</v>
      </c>
      <c r="AF233" s="9">
        <f>SUM(IF(Career_History!G30=TRUE,IF(A233&lt;Career_History!D30,0,MIN(A233,Career_History!E30)-Career_History!D30+1),0),IF(Career_History!G31=TRUE,IF(A233&lt;Career_History!D31,0,MIN(A233,Career_History!E31)-Career_History!D31+1),0),IF(Career_History!G32=TRUE,IF(A233&lt;Career_History!D32,0,MIN(A233,Career_History!E32)-Career_History!D32+1),0))/365.2425</f>
        <v>33.750179675147336</v>
      </c>
      <c r="AG233" s="9">
        <f>SUM(IF(Career_History!I30=TRUE,IF(A233&lt;Career_History!D30,0,MIN(A233,Career_History!E30)-Career_History!D30+1),0),IF(Career_History!I31=TRUE,IF(A233&lt;Career_History!D31,0,MIN(A233,Career_History!E31)-Career_History!D31+1),0),IF(Career_History!I32=TRUE,IF(A233&lt;Career_History!D32,0,MIN(A233,Career_History!E32)-Career_History!D32+1),0))/365.2425</f>
        <v>0</v>
      </c>
      <c r="AH233" s="9">
        <f>SUM(IF(Career_History!H30=TRUE,IF(A233&lt;Career_History!D30,0,MIN(A233,Career_History!E30)-Career_History!D30+1),0),IF(Career_History!H31=TRUE,IF(A233&lt;Career_History!D31,0,MIN(A233,Career_History!E31)-Career_History!D31+1),0),IF(Career_History!H32=TRUE,IF(A233&lt;Career_History!D32,0,MIN(A233,Career_History!E32)-Career_History!D32+1),0))/365.2425</f>
        <v>4.8460954023696585</v>
      </c>
      <c r="AI233" s="9">
        <f>SUM(IF(Career_History!G33=TRUE,IF(A233&lt;Career_History!D33,0,MIN(A233,Career_History!E33)-Career_History!D33+1),0),IF(Career_History!G34=TRUE,IF(A233&lt;Career_History!D34,0,MIN(A233,Career_History!E34)-Career_History!D34+1),0),IF(Career_History!G35=TRUE,IF(A233&lt;Career_History!D35,0,MIN(A233,Career_History!E35)-Career_History!D35+1),0),IF(Career_History!G36=TRUE,IF(A233&lt;Career_History!D36,0,MIN(A233,Career_History!E36)-Career_History!D36+1),0),IF(Career_History!G37=TRUE,IF(A233&lt;Career_History!D37,0,MIN(A233,Career_History!E37)-Career_History!D37+1),0),IF(Career_History!G38=TRUE,IF(A233&lt;Career_History!D38,0,MIN(A233,Career_History!E38)-Career_History!D38+1),0))/365.2425</f>
        <v>33.750179675147336</v>
      </c>
      <c r="AJ233" s="9">
        <f>SUM(IF(Career_History!I33=TRUE,IF(A233&lt;Career_History!D33,0,MIN(A233,Career_History!E33)-Career_History!D33+1),0),IF(Career_History!I34=TRUE,IF(A233&lt;Career_History!D34,0,MIN(A233,Career_History!E34)-Career_History!D34+1),0),IF(Career_History!I35=TRUE,IF(A233&lt;Career_History!D35,0,MIN(A233,Career_History!E35)-Career_History!D35+1),0),IF(Career_History!I36=TRUE,IF(A233&lt;Career_History!D36,0,MIN(A233,Career_History!E36)-Career_History!D36+1),0),IF(Career_History!I37=TRUE,IF(A233&lt;Career_History!D37,0,MIN(A233,Career_History!E37)-Career_History!D37+1),0),IF(Career_History!I38=TRUE,IF(A233&lt;Career_History!D38,0,MIN(A233,Career_History!E38)-Career_History!D38+1),0))/365.2425</f>
        <v>5.664729597459222</v>
      </c>
      <c r="AK233" s="9">
        <f>SUM(IF(Career_History!H33=TRUE,IF(A233&lt;Career_History!D33,0,MIN(A233,Career_History!E33)-Career_History!D33+1),0),IF(Career_History!H34=TRUE,IF(A233&lt;Career_History!D34,0,MIN(A233,Career_History!E34)-Career_History!D34+1),0),IF(Career_History!H35=TRUE,IF(A233&lt;Career_History!D35,0,MIN(A233,Career_History!E35)-Career_History!D35+1),0),IF(Career_History!H36=TRUE,IF(A233&lt;Career_History!D36,0,MIN(A233,Career_History!E36)-Career_History!D36+1),0),IF(Career_History!H37=TRUE,IF(A233&lt;Career_History!D37,0,MIN(A233,Career_History!E37)-Career_History!D37+1),0),IF(Career_History!H38=TRUE,IF(A233&lt;Career_History!D38,0,MIN(A233,Career_History!E38)-Career_History!D38+1),0))/365.2425</f>
        <v>28.085450077688112</v>
      </c>
      <c r="AL233" s="9">
        <f>SUM(IF(Career_History!G39=TRUE,IF(A233&lt;Career_History!D39,0,MIN(A233,Career_History!E39)-Career_History!D39+1),0),IF(Career_History!G40=TRUE,IF(A233&lt;Career_History!D40,0,MIN(A233,Career_History!E40)-Career_History!D40+1),0))/365.2425</f>
        <v>20.750597205965899</v>
      </c>
      <c r="AM233" s="9">
        <f>SUM(IF(Career_History!I39=TRUE,IF(A233&lt;Career_History!D39,0,MIN(A233,Career_History!E39)-Career_History!D39+1),0),IF(Career_History!I40=TRUE,IF(A233&lt;Career_History!D40,0,MIN(A233,Career_History!E40)-Career_History!D40+1),0))/365.2425</f>
        <v>0</v>
      </c>
      <c r="AN233" s="9">
        <f>SUM(IF(Career_History!H39=TRUE,IF(A233&lt;Career_History!D39,0,MIN(A233,Career_History!E39)-Career_History!D39+1),0),IF(Career_History!H40=TRUE,IF(A233&lt;Career_History!D40,0,MIN(A233,Career_History!E40)-Career_History!D40+1),0))/365.2425</f>
        <v>20.750597205965899</v>
      </c>
      <c r="AO233" s="9">
        <f>SUM(IF(Career_History!G41=TRUE,IF(A233&lt;Career_History!D41,0,MIN(A233,Career_History!E41)-Career_History!D41+1),0),IF(Career_History!G42=TRUE,IF(A233&lt;Career_History!D42,0,MIN(A233,Career_History!E42)-Career_History!D42+1),0))/365.2425</f>
        <v>33.750179675147336</v>
      </c>
      <c r="AP233" s="9">
        <f>SUM(IF(Career_History!I41=TRUE,IF(A233&lt;Career_History!D41,0,MIN(A233,Career_History!E41)-Career_History!D41+1),0),IF(Career_History!I42=TRUE,IF(A233&lt;Career_History!D42,0,MIN(A233,Career_History!E42)-Career_History!D42+1),0))/365.2425</f>
        <v>0</v>
      </c>
      <c r="AQ233" s="9">
        <f>SUM(IF(Career_History!H41=TRUE,IF(A233&lt;Career_History!D41,0,MIN(A233,Career_History!E41)-Career_History!D41+1),0),IF(Career_History!H42=TRUE,IF(A233&lt;Career_History!D42,0,MIN(A233,Career_History!E42)-Career_History!D42+1),0))/365.2425</f>
        <v>33.750179675147336</v>
      </c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9"/>
      <c r="BN233" s="9"/>
      <c r="BO233" s="9"/>
    </row>
    <row r="234" spans="1:67">
      <c r="A234" s="8">
        <v>41759</v>
      </c>
      <c r="B234" s="9">
        <f t="shared" si="9"/>
        <v>32.632566034894623</v>
      </c>
      <c r="C234" s="9">
        <f t="shared" si="10"/>
        <v>1.1329459194918443</v>
      </c>
      <c r="D234" s="9">
        <f t="shared" si="11"/>
        <v>23.217999000663944</v>
      </c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>
        <f>SUM(IF(Career_History!G25=TRUE,IF(A234&lt;Career_History!D25,0,MIN(A234,Career_History!E25)-Career_History!D25+1),0),IF(Career_History!G26=TRUE,IF(A234&lt;Career_History!D26,0,MIN(A234,Career_History!E26)-Career_History!D26+1),0),IF(Career_History!G27=TRUE,IF(A234&lt;Career_History!D27,0,MIN(A234,Career_History!E27)-Career_History!D27+1),0),IF(Career_History!G28=TRUE,IF(A234&lt;Career_History!D28,0,MIN(A234,Career_History!E28)-Career_History!D28+1),0),IF(Career_History!G29=TRUE,IF(A234&lt;Career_History!D29,0,MIN(A234,Career_History!E29)-Career_History!D29+1),0))/365.2425</f>
        <v>40.833145102226602</v>
      </c>
      <c r="AD234" s="9">
        <f>SUM(IF(Career_History!I25=TRUE,IF(A234&lt;Career_History!D25,0,MIN(A234,Career_History!E25)-Career_History!D25+1),0),IF(Career_History!I26=TRUE,IF(A234&lt;Career_History!D26,0,MIN(A234,Career_History!E26)-Career_History!D26+1),0),IF(Career_History!I27=TRUE,IF(A234&lt;Career_History!D27,0,MIN(A234,Career_History!E27)-Career_History!D27+1),0),IF(Career_History!I28=TRUE,IF(A234&lt;Career_History!D28,0,MIN(A234,Career_History!E28)-Career_History!D28+1),0),IF(Career_History!I29=TRUE,IF(A234&lt;Career_History!D29,0,MIN(A234,Career_History!E29)-Career_History!D29+1),0))/365.2425</f>
        <v>0</v>
      </c>
      <c r="AE234" s="9">
        <f>SUM(IF(Career_History!H25=TRUE,IF(A234&lt;Career_History!D25,0,MIN(A234,Career_History!E25)-Career_History!D25+1),0),IF(Career_History!H26=TRUE,IF(A234&lt;Career_History!D26,0,MIN(A234,Career_History!E26)-Career_History!D26+1),0),IF(Career_History!H27=TRUE,IF(A234&lt;Career_History!D27,0,MIN(A234,Career_History!E27)-Career_History!D27+1),0),IF(Career_History!H28=TRUE,IF(A234&lt;Career_History!D28,0,MIN(A234,Career_History!E28)-Career_History!D28+1),0),IF(Career_History!H29=TRUE,IF(A234&lt;Career_History!D29,0,MIN(A234,Career_History!E29)-Career_History!D29+1),0))/365.2425</f>
        <v>28.329123801310089</v>
      </c>
      <c r="AF234" s="9">
        <f>SUM(IF(Career_History!G30=TRUE,IF(A234&lt;Career_History!D30,0,MIN(A234,Career_History!E30)-Career_History!D30+1),0),IF(Career_History!G31=TRUE,IF(A234&lt;Career_History!D31,0,MIN(A234,Career_History!E31)-Career_History!D31+1),0),IF(Career_History!G32=TRUE,IF(A234&lt;Career_History!D32,0,MIN(A234,Career_History!E32)-Career_History!D32+1),0))/365.2425</f>
        <v>33.832316885356988</v>
      </c>
      <c r="AG234" s="9">
        <f>SUM(IF(Career_History!I30=TRUE,IF(A234&lt;Career_History!D30,0,MIN(A234,Career_History!E30)-Career_History!D30+1),0),IF(Career_History!I31=TRUE,IF(A234&lt;Career_History!D31,0,MIN(A234,Career_History!E31)-Career_History!D31+1),0),IF(Career_History!I32=TRUE,IF(A234&lt;Career_History!D32,0,MIN(A234,Career_History!E32)-Career_History!D32+1),0))/365.2425</f>
        <v>0</v>
      </c>
      <c r="AH234" s="9">
        <f>SUM(IF(Career_History!H30=TRUE,IF(A234&lt;Career_History!D30,0,MIN(A234,Career_History!E30)-Career_History!D30+1),0),IF(Career_History!H31=TRUE,IF(A234&lt;Career_History!D31,0,MIN(A234,Career_History!E31)-Career_History!D31+1),0),IF(Career_History!H32=TRUE,IF(A234&lt;Career_History!D32,0,MIN(A234,Career_History!E32)-Career_History!D32+1),0))/365.2425</f>
        <v>4.9282326125793139</v>
      </c>
      <c r="AI234" s="9">
        <f>SUM(IF(Career_History!G33=TRUE,IF(A234&lt;Career_History!D33,0,MIN(A234,Career_History!E33)-Career_History!D33+1),0),IF(Career_History!G34=TRUE,IF(A234&lt;Career_History!D34,0,MIN(A234,Career_History!E34)-Career_History!D34+1),0),IF(Career_History!G35=TRUE,IF(A234&lt;Career_History!D35,0,MIN(A234,Career_History!E35)-Career_History!D35+1),0),IF(Career_History!G36=TRUE,IF(A234&lt;Career_History!D36,0,MIN(A234,Career_History!E36)-Career_History!D36+1),0),IF(Career_History!G37=TRUE,IF(A234&lt;Career_History!D37,0,MIN(A234,Career_History!E37)-Career_History!D37+1),0),IF(Career_History!G38=TRUE,IF(A234&lt;Career_History!D38,0,MIN(A234,Career_History!E38)-Career_History!D38+1),0))/365.2425</f>
        <v>33.832316885356988</v>
      </c>
      <c r="AJ234" s="9">
        <f>SUM(IF(Career_History!I33=TRUE,IF(A234&lt;Career_History!D33,0,MIN(A234,Career_History!E33)-Career_History!D33+1),0),IF(Career_History!I34=TRUE,IF(A234&lt;Career_History!D34,0,MIN(A234,Career_History!E34)-Career_History!D34+1),0),IF(Career_History!I35=TRUE,IF(A234&lt;Career_History!D35,0,MIN(A234,Career_History!E35)-Career_History!D35+1),0),IF(Career_History!I36=TRUE,IF(A234&lt;Career_History!D36,0,MIN(A234,Career_History!E36)-Career_History!D36+1),0),IF(Career_History!I37=TRUE,IF(A234&lt;Career_History!D37,0,MIN(A234,Career_History!E37)-Career_History!D37+1),0),IF(Career_History!I38=TRUE,IF(A234&lt;Career_History!D38,0,MIN(A234,Career_History!E38)-Career_History!D38+1),0))/365.2425</f>
        <v>5.664729597459222</v>
      </c>
      <c r="AK234" s="9">
        <f>SUM(IF(Career_History!H33=TRUE,IF(A234&lt;Career_History!D33,0,MIN(A234,Career_History!E33)-Career_History!D33+1),0),IF(Career_History!H34=TRUE,IF(A234&lt;Career_History!D34,0,MIN(A234,Career_History!E34)-Career_History!D34+1),0),IF(Career_History!H35=TRUE,IF(A234&lt;Career_History!D35,0,MIN(A234,Career_History!E35)-Career_History!D35+1),0),IF(Career_History!H36=TRUE,IF(A234&lt;Career_History!D36,0,MIN(A234,Career_History!E36)-Career_History!D36+1),0),IF(Career_History!H37=TRUE,IF(A234&lt;Career_History!D37,0,MIN(A234,Career_History!E37)-Career_History!D37+1),0),IF(Career_History!H38=TRUE,IF(A234&lt;Career_History!D38,0,MIN(A234,Career_History!E38)-Career_History!D38+1),0))/365.2425</f>
        <v>28.167587287897767</v>
      </c>
      <c r="AL234" s="9">
        <f>SUM(IF(Career_History!G39=TRUE,IF(A234&lt;Career_History!D39,0,MIN(A234,Career_History!E39)-Career_History!D39+1),0),IF(Career_History!G40=TRUE,IF(A234&lt;Career_History!D40,0,MIN(A234,Career_History!E40)-Career_History!D40+1),0))/365.2425</f>
        <v>20.832734416175555</v>
      </c>
      <c r="AM234" s="9">
        <f>SUM(IF(Career_History!I39=TRUE,IF(A234&lt;Career_History!D39,0,MIN(A234,Career_History!E39)-Career_History!D39+1),0),IF(Career_History!I40=TRUE,IF(A234&lt;Career_History!D40,0,MIN(A234,Career_History!E40)-Career_History!D40+1),0))/365.2425</f>
        <v>0</v>
      </c>
      <c r="AN234" s="9">
        <f>SUM(IF(Career_History!H39=TRUE,IF(A234&lt;Career_History!D39,0,MIN(A234,Career_History!E39)-Career_History!D39+1),0),IF(Career_History!H40=TRUE,IF(A234&lt;Career_History!D40,0,MIN(A234,Career_History!E40)-Career_History!D40+1),0))/365.2425</f>
        <v>20.832734416175555</v>
      </c>
      <c r="AO234" s="9">
        <f>SUM(IF(Career_History!G41=TRUE,IF(A234&lt;Career_History!D41,0,MIN(A234,Career_History!E41)-Career_History!D41+1),0),IF(Career_History!G42=TRUE,IF(A234&lt;Career_History!D42,0,MIN(A234,Career_History!E42)-Career_History!D42+1),0))/365.2425</f>
        <v>33.832316885356988</v>
      </c>
      <c r="AP234" s="9">
        <f>SUM(IF(Career_History!I41=TRUE,IF(A234&lt;Career_History!D41,0,MIN(A234,Career_History!E41)-Career_History!D41+1),0),IF(Career_History!I42=TRUE,IF(A234&lt;Career_History!D42,0,MIN(A234,Career_History!E42)-Career_History!D42+1),0))/365.2425</f>
        <v>0</v>
      </c>
      <c r="AQ234" s="9">
        <f>SUM(IF(Career_History!H41=TRUE,IF(A234&lt;Career_History!D41,0,MIN(A234,Career_History!E41)-Career_History!D41+1),0),IF(Career_History!H42=TRUE,IF(A234&lt;Career_History!D42,0,MIN(A234,Career_History!E42)-Career_History!D42+1),0))/365.2425</f>
        <v>33.832316885356988</v>
      </c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/>
      <c r="BO234" s="9"/>
    </row>
    <row r="235" spans="1:67">
      <c r="A235" s="8">
        <v>41790</v>
      </c>
      <c r="B235" s="9">
        <f t="shared" si="9"/>
        <v>32.71744115211127</v>
      </c>
      <c r="C235" s="9">
        <f t="shared" si="10"/>
        <v>1.1329459194918443</v>
      </c>
      <c r="D235" s="9">
        <f t="shared" si="11"/>
        <v>23.302874117880584</v>
      </c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>
        <f>SUM(IF(Career_History!G25=TRUE,IF(A235&lt;Career_History!D25,0,MIN(A235,Career_History!E25)-Career_History!D25+1),0),IF(Career_History!G26=TRUE,IF(A235&lt;Career_History!D26,0,MIN(A235,Career_History!E26)-Career_History!D26+1),0),IF(Career_History!G27=TRUE,IF(A235&lt;Career_History!D27,0,MIN(A235,Career_History!E27)-Career_History!D27+1),0),IF(Career_History!G28=TRUE,IF(A235&lt;Career_History!D28,0,MIN(A235,Career_History!E28)-Career_History!D28+1),0),IF(Career_History!G29=TRUE,IF(A235&lt;Career_History!D29,0,MIN(A235,Career_History!E29)-Career_History!D29+1),0))/365.2425</f>
        <v>40.918020219443243</v>
      </c>
      <c r="AD235" s="9">
        <f>SUM(IF(Career_History!I25=TRUE,IF(A235&lt;Career_History!D25,0,MIN(A235,Career_History!E25)-Career_History!D25+1),0),IF(Career_History!I26=TRUE,IF(A235&lt;Career_History!D26,0,MIN(A235,Career_History!E26)-Career_History!D26+1),0),IF(Career_History!I27=TRUE,IF(A235&lt;Career_History!D27,0,MIN(A235,Career_History!E27)-Career_History!D27+1),0),IF(Career_History!I28=TRUE,IF(A235&lt;Career_History!D28,0,MIN(A235,Career_History!E28)-Career_History!D28+1),0),IF(Career_History!I29=TRUE,IF(A235&lt;Career_History!D29,0,MIN(A235,Career_History!E29)-Career_History!D29+1),0))/365.2425</f>
        <v>0</v>
      </c>
      <c r="AE235" s="9">
        <f>SUM(IF(Career_History!H25=TRUE,IF(A235&lt;Career_History!D25,0,MIN(A235,Career_History!E25)-Career_History!D25+1),0),IF(Career_History!H26=TRUE,IF(A235&lt;Career_History!D26,0,MIN(A235,Career_History!E26)-Career_History!D26+1),0),IF(Career_History!H27=TRUE,IF(A235&lt;Career_History!D27,0,MIN(A235,Career_History!E27)-Career_History!D27+1),0),IF(Career_History!H28=TRUE,IF(A235&lt;Career_History!D28,0,MIN(A235,Career_History!E28)-Career_History!D28+1),0),IF(Career_History!H29=TRUE,IF(A235&lt;Career_History!D29,0,MIN(A235,Career_History!E29)-Career_History!D29+1),0))/365.2425</f>
        <v>28.413998918526733</v>
      </c>
      <c r="AF235" s="9">
        <f>SUM(IF(Career_History!G30=TRUE,IF(A235&lt;Career_History!D30,0,MIN(A235,Career_History!E30)-Career_History!D30+1),0),IF(Career_History!G31=TRUE,IF(A235&lt;Career_History!D31,0,MIN(A235,Career_History!E31)-Career_History!D31+1),0),IF(Career_History!G32=TRUE,IF(A235&lt;Career_History!D32,0,MIN(A235,Career_History!E32)-Career_History!D32+1),0))/365.2425</f>
        <v>33.917192002573628</v>
      </c>
      <c r="AG235" s="9">
        <f>SUM(IF(Career_History!I30=TRUE,IF(A235&lt;Career_History!D30,0,MIN(A235,Career_History!E30)-Career_History!D30+1),0),IF(Career_History!I31=TRUE,IF(A235&lt;Career_History!D31,0,MIN(A235,Career_History!E31)-Career_History!D31+1),0),IF(Career_History!I32=TRUE,IF(A235&lt;Career_History!D32,0,MIN(A235,Career_History!E32)-Career_History!D32+1),0))/365.2425</f>
        <v>0</v>
      </c>
      <c r="AH235" s="9">
        <f>SUM(IF(Career_History!H30=TRUE,IF(A235&lt;Career_History!D30,0,MIN(A235,Career_History!E30)-Career_History!D30+1),0),IF(Career_History!H31=TRUE,IF(A235&lt;Career_History!D31,0,MIN(A235,Career_History!E31)-Career_History!D31+1),0),IF(Career_History!H32=TRUE,IF(A235&lt;Career_History!D32,0,MIN(A235,Career_History!E32)-Career_History!D32+1),0))/365.2425</f>
        <v>5.0131077297959576</v>
      </c>
      <c r="AI235" s="9">
        <f>SUM(IF(Career_History!G33=TRUE,IF(A235&lt;Career_History!D33,0,MIN(A235,Career_History!E33)-Career_History!D33+1),0),IF(Career_History!G34=TRUE,IF(A235&lt;Career_History!D34,0,MIN(A235,Career_History!E34)-Career_History!D34+1),0),IF(Career_History!G35=TRUE,IF(A235&lt;Career_History!D35,0,MIN(A235,Career_History!E35)-Career_History!D35+1),0),IF(Career_History!G36=TRUE,IF(A235&lt;Career_History!D36,0,MIN(A235,Career_History!E36)-Career_History!D36+1),0),IF(Career_History!G37=TRUE,IF(A235&lt;Career_History!D37,0,MIN(A235,Career_History!E37)-Career_History!D37+1),0),IF(Career_History!G38=TRUE,IF(A235&lt;Career_History!D38,0,MIN(A235,Career_History!E38)-Career_History!D38+1),0))/365.2425</f>
        <v>33.917192002573628</v>
      </c>
      <c r="AJ235" s="9">
        <f>SUM(IF(Career_History!I33=TRUE,IF(A235&lt;Career_History!D33,0,MIN(A235,Career_History!E33)-Career_History!D33+1),0),IF(Career_History!I34=TRUE,IF(A235&lt;Career_History!D34,0,MIN(A235,Career_History!E34)-Career_History!D34+1),0),IF(Career_History!I35=TRUE,IF(A235&lt;Career_History!D35,0,MIN(A235,Career_History!E35)-Career_History!D35+1),0),IF(Career_History!I36=TRUE,IF(A235&lt;Career_History!D36,0,MIN(A235,Career_History!E36)-Career_History!D36+1),0),IF(Career_History!I37=TRUE,IF(A235&lt;Career_History!D37,0,MIN(A235,Career_History!E37)-Career_History!D37+1),0),IF(Career_History!I38=TRUE,IF(A235&lt;Career_History!D38,0,MIN(A235,Career_History!E38)-Career_History!D38+1),0))/365.2425</f>
        <v>5.664729597459222</v>
      </c>
      <c r="AK235" s="9">
        <f>SUM(IF(Career_History!H33=TRUE,IF(A235&lt;Career_History!D33,0,MIN(A235,Career_History!E33)-Career_History!D33+1),0),IF(Career_History!H34=TRUE,IF(A235&lt;Career_History!D34,0,MIN(A235,Career_History!E34)-Career_History!D34+1),0),IF(Career_History!H35=TRUE,IF(A235&lt;Career_History!D35,0,MIN(A235,Career_History!E35)-Career_History!D35+1),0),IF(Career_History!H36=TRUE,IF(A235&lt;Career_History!D36,0,MIN(A235,Career_History!E36)-Career_History!D36+1),0),IF(Career_History!H37=TRUE,IF(A235&lt;Career_History!D37,0,MIN(A235,Career_History!E37)-Career_History!D37+1),0),IF(Career_History!H38=TRUE,IF(A235&lt;Career_History!D38,0,MIN(A235,Career_History!E38)-Career_History!D38+1),0))/365.2425</f>
        <v>28.252462405114411</v>
      </c>
      <c r="AL235" s="9">
        <f>SUM(IF(Career_History!G39=TRUE,IF(A235&lt;Career_History!D39,0,MIN(A235,Career_History!E39)-Career_History!D39+1),0),IF(Career_History!G40=TRUE,IF(A235&lt;Career_History!D40,0,MIN(A235,Career_History!E40)-Career_History!D40+1),0))/365.2425</f>
        <v>20.917609533392199</v>
      </c>
      <c r="AM235" s="9">
        <f>SUM(IF(Career_History!I39=TRUE,IF(A235&lt;Career_History!D39,0,MIN(A235,Career_History!E39)-Career_History!D39+1),0),IF(Career_History!I40=TRUE,IF(A235&lt;Career_History!D40,0,MIN(A235,Career_History!E40)-Career_History!D40+1),0))/365.2425</f>
        <v>0</v>
      </c>
      <c r="AN235" s="9">
        <f>SUM(IF(Career_History!H39=TRUE,IF(A235&lt;Career_History!D39,0,MIN(A235,Career_History!E39)-Career_History!D39+1),0),IF(Career_History!H40=TRUE,IF(A235&lt;Career_History!D40,0,MIN(A235,Career_History!E40)-Career_History!D40+1),0))/365.2425</f>
        <v>20.917609533392199</v>
      </c>
      <c r="AO235" s="9">
        <f>SUM(IF(Career_History!G41=TRUE,IF(A235&lt;Career_History!D41,0,MIN(A235,Career_History!E41)-Career_History!D41+1),0),IF(Career_History!G42=TRUE,IF(A235&lt;Career_History!D42,0,MIN(A235,Career_History!E42)-Career_History!D42+1),0))/365.2425</f>
        <v>33.917192002573628</v>
      </c>
      <c r="AP235" s="9">
        <f>SUM(IF(Career_History!I41=TRUE,IF(A235&lt;Career_History!D41,0,MIN(A235,Career_History!E41)-Career_History!D41+1),0),IF(Career_History!I42=TRUE,IF(A235&lt;Career_History!D42,0,MIN(A235,Career_History!E42)-Career_History!D42+1),0))/365.2425</f>
        <v>0</v>
      </c>
      <c r="AQ235" s="9">
        <f>SUM(IF(Career_History!H41=TRUE,IF(A235&lt;Career_History!D41,0,MIN(A235,Career_History!E41)-Career_History!D41+1),0),IF(Career_History!H42=TRUE,IF(A235&lt;Career_History!D42,0,MIN(A235,Career_History!E42)-Career_History!D42+1),0))/365.2425</f>
        <v>33.917192002573628</v>
      </c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9"/>
      <c r="BK235" s="9"/>
      <c r="BL235" s="9"/>
      <c r="BM235" s="9"/>
      <c r="BN235" s="9"/>
      <c r="BO235" s="9"/>
    </row>
    <row r="236" spans="1:67">
      <c r="A236" s="8">
        <v>41820</v>
      </c>
      <c r="B236" s="9">
        <f t="shared" si="9"/>
        <v>32.799578362320929</v>
      </c>
      <c r="C236" s="9">
        <f t="shared" si="10"/>
        <v>1.1329459194918443</v>
      </c>
      <c r="D236" s="9">
        <f t="shared" si="11"/>
        <v>23.38501132809024</v>
      </c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>
        <f>SUM(IF(Career_History!G25=TRUE,IF(A236&lt;Career_History!D25,0,MIN(A236,Career_History!E25)-Career_History!D25+1),0),IF(Career_History!G26=TRUE,IF(A236&lt;Career_History!D26,0,MIN(A236,Career_History!E26)-Career_History!D26+1),0),IF(Career_History!G27=TRUE,IF(A236&lt;Career_History!D27,0,MIN(A236,Career_History!E27)-Career_History!D27+1),0),IF(Career_History!G28=TRUE,IF(A236&lt;Career_History!D28,0,MIN(A236,Career_History!E28)-Career_History!D28+1),0),IF(Career_History!G29=TRUE,IF(A236&lt;Career_History!D29,0,MIN(A236,Career_History!E29)-Career_History!D29+1),0))/365.2425</f>
        <v>41.000157429652901</v>
      </c>
      <c r="AD236" s="9">
        <f>SUM(IF(Career_History!I25=TRUE,IF(A236&lt;Career_History!D25,0,MIN(A236,Career_History!E25)-Career_History!D25+1),0),IF(Career_History!I26=TRUE,IF(A236&lt;Career_History!D26,0,MIN(A236,Career_History!E26)-Career_History!D26+1),0),IF(Career_History!I27=TRUE,IF(A236&lt;Career_History!D27,0,MIN(A236,Career_History!E27)-Career_History!D27+1),0),IF(Career_History!I28=TRUE,IF(A236&lt;Career_History!D28,0,MIN(A236,Career_History!E28)-Career_History!D28+1),0),IF(Career_History!I29=TRUE,IF(A236&lt;Career_History!D29,0,MIN(A236,Career_History!E29)-Career_History!D29+1),0))/365.2425</f>
        <v>0</v>
      </c>
      <c r="AE236" s="9">
        <f>SUM(IF(Career_History!H25=TRUE,IF(A236&lt;Career_History!D25,0,MIN(A236,Career_History!E25)-Career_History!D25+1),0),IF(Career_History!H26=TRUE,IF(A236&lt;Career_History!D26,0,MIN(A236,Career_History!E26)-Career_History!D26+1),0),IF(Career_History!H27=TRUE,IF(A236&lt;Career_History!D27,0,MIN(A236,Career_History!E27)-Career_History!D27+1),0),IF(Career_History!H28=TRUE,IF(A236&lt;Career_History!D28,0,MIN(A236,Career_History!E28)-Career_History!D28+1),0),IF(Career_History!H29=TRUE,IF(A236&lt;Career_History!D29,0,MIN(A236,Career_History!E29)-Career_History!D29+1),0))/365.2425</f>
        <v>28.496136128736389</v>
      </c>
      <c r="AF236" s="9">
        <f>SUM(IF(Career_History!G30=TRUE,IF(A236&lt;Career_History!D30,0,MIN(A236,Career_History!E30)-Career_History!D30+1),0),IF(Career_History!G31=TRUE,IF(A236&lt;Career_History!D31,0,MIN(A236,Career_History!E31)-Career_History!D31+1),0),IF(Career_History!G32=TRUE,IF(A236&lt;Career_History!D32,0,MIN(A236,Career_History!E32)-Career_History!D32+1),0))/365.2425</f>
        <v>33.999329212783287</v>
      </c>
      <c r="AG236" s="9">
        <f>SUM(IF(Career_History!I30=TRUE,IF(A236&lt;Career_History!D30,0,MIN(A236,Career_History!E30)-Career_History!D30+1),0),IF(Career_History!I31=TRUE,IF(A236&lt;Career_History!D31,0,MIN(A236,Career_History!E31)-Career_History!D31+1),0),IF(Career_History!I32=TRUE,IF(A236&lt;Career_History!D32,0,MIN(A236,Career_History!E32)-Career_History!D32+1),0))/365.2425</f>
        <v>0</v>
      </c>
      <c r="AH236" s="9">
        <f>SUM(IF(Career_History!H30=TRUE,IF(A236&lt;Career_History!D30,0,MIN(A236,Career_History!E30)-Career_History!D30+1),0),IF(Career_History!H31=TRUE,IF(A236&lt;Career_History!D31,0,MIN(A236,Career_History!E31)-Career_History!D31+1),0),IF(Career_History!H32=TRUE,IF(A236&lt;Career_History!D32,0,MIN(A236,Career_History!E32)-Career_History!D32+1),0))/365.2425</f>
        <v>5.095244940005613</v>
      </c>
      <c r="AI236" s="9">
        <f>SUM(IF(Career_History!G33=TRUE,IF(A236&lt;Career_History!D33,0,MIN(A236,Career_History!E33)-Career_History!D33+1),0),IF(Career_History!G34=TRUE,IF(A236&lt;Career_History!D34,0,MIN(A236,Career_History!E34)-Career_History!D34+1),0),IF(Career_History!G35=TRUE,IF(A236&lt;Career_History!D35,0,MIN(A236,Career_History!E35)-Career_History!D35+1),0),IF(Career_History!G36=TRUE,IF(A236&lt;Career_History!D36,0,MIN(A236,Career_History!E36)-Career_History!D36+1),0),IF(Career_History!G37=TRUE,IF(A236&lt;Career_History!D37,0,MIN(A236,Career_History!E37)-Career_History!D37+1),0),IF(Career_History!G38=TRUE,IF(A236&lt;Career_History!D38,0,MIN(A236,Career_History!E38)-Career_History!D38+1),0))/365.2425</f>
        <v>33.999329212783287</v>
      </c>
      <c r="AJ236" s="9">
        <f>SUM(IF(Career_History!I33=TRUE,IF(A236&lt;Career_History!D33,0,MIN(A236,Career_History!E33)-Career_History!D33+1),0),IF(Career_History!I34=TRUE,IF(A236&lt;Career_History!D34,0,MIN(A236,Career_History!E34)-Career_History!D34+1),0),IF(Career_History!I35=TRUE,IF(A236&lt;Career_History!D35,0,MIN(A236,Career_History!E35)-Career_History!D35+1),0),IF(Career_History!I36=TRUE,IF(A236&lt;Career_History!D36,0,MIN(A236,Career_History!E36)-Career_History!D36+1),0),IF(Career_History!I37=TRUE,IF(A236&lt;Career_History!D37,0,MIN(A236,Career_History!E37)-Career_History!D37+1),0),IF(Career_History!I38=TRUE,IF(A236&lt;Career_History!D38,0,MIN(A236,Career_History!E38)-Career_History!D38+1),0))/365.2425</f>
        <v>5.664729597459222</v>
      </c>
      <c r="AK236" s="9">
        <f>SUM(IF(Career_History!H33=TRUE,IF(A236&lt;Career_History!D33,0,MIN(A236,Career_History!E33)-Career_History!D33+1),0),IF(Career_History!H34=TRUE,IF(A236&lt;Career_History!D34,0,MIN(A236,Career_History!E34)-Career_History!D34+1),0),IF(Career_History!H35=TRUE,IF(A236&lt;Career_History!D35,0,MIN(A236,Career_History!E35)-Career_History!D35+1),0),IF(Career_History!H36=TRUE,IF(A236&lt;Career_History!D36,0,MIN(A236,Career_History!E36)-Career_History!D36+1),0),IF(Career_History!H37=TRUE,IF(A236&lt;Career_History!D37,0,MIN(A236,Career_History!E37)-Career_History!D37+1),0),IF(Career_History!H38=TRUE,IF(A236&lt;Career_History!D38,0,MIN(A236,Career_History!E38)-Career_History!D38+1),0))/365.2425</f>
        <v>28.334599615324066</v>
      </c>
      <c r="AL236" s="9">
        <f>SUM(IF(Career_History!G39=TRUE,IF(A236&lt;Career_History!D39,0,MIN(A236,Career_History!E39)-Career_History!D39+1),0),IF(Career_History!G40=TRUE,IF(A236&lt;Career_History!D40,0,MIN(A236,Career_History!E40)-Career_History!D40+1),0))/365.2425</f>
        <v>20.999746743601854</v>
      </c>
      <c r="AM236" s="9">
        <f>SUM(IF(Career_History!I39=TRUE,IF(A236&lt;Career_History!D39,0,MIN(A236,Career_History!E39)-Career_History!D39+1),0),IF(Career_History!I40=TRUE,IF(A236&lt;Career_History!D40,0,MIN(A236,Career_History!E40)-Career_History!D40+1),0))/365.2425</f>
        <v>0</v>
      </c>
      <c r="AN236" s="9">
        <f>SUM(IF(Career_History!H39=TRUE,IF(A236&lt;Career_History!D39,0,MIN(A236,Career_History!E39)-Career_History!D39+1),0),IF(Career_History!H40=TRUE,IF(A236&lt;Career_History!D40,0,MIN(A236,Career_History!E40)-Career_History!D40+1),0))/365.2425</f>
        <v>20.999746743601854</v>
      </c>
      <c r="AO236" s="9">
        <f>SUM(IF(Career_History!G41=TRUE,IF(A236&lt;Career_History!D41,0,MIN(A236,Career_History!E41)-Career_History!D41+1),0),IF(Career_History!G42=TRUE,IF(A236&lt;Career_History!D42,0,MIN(A236,Career_History!E42)-Career_History!D42+1),0))/365.2425</f>
        <v>33.999329212783287</v>
      </c>
      <c r="AP236" s="9">
        <f>SUM(IF(Career_History!I41=TRUE,IF(A236&lt;Career_History!D41,0,MIN(A236,Career_History!E41)-Career_History!D41+1),0),IF(Career_History!I42=TRUE,IF(A236&lt;Career_History!D42,0,MIN(A236,Career_History!E42)-Career_History!D42+1),0))/365.2425</f>
        <v>0</v>
      </c>
      <c r="AQ236" s="9">
        <f>SUM(IF(Career_History!H41=TRUE,IF(A236&lt;Career_History!D41,0,MIN(A236,Career_History!E41)-Career_History!D41+1),0),IF(Career_History!H42=TRUE,IF(A236&lt;Career_History!D42,0,MIN(A236,Career_History!E42)-Career_History!D42+1),0))/365.2425</f>
        <v>33.999329212783287</v>
      </c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9"/>
      <c r="BK236" s="9"/>
      <c r="BL236" s="9"/>
      <c r="BM236" s="9"/>
      <c r="BN236" s="9"/>
      <c r="BO236" s="9"/>
    </row>
    <row r="237" spans="1:67">
      <c r="A237" s="8">
        <v>41851</v>
      </c>
      <c r="B237" s="9">
        <f t="shared" si="9"/>
        <v>32.884453479537555</v>
      </c>
      <c r="C237" s="9">
        <f t="shared" si="10"/>
        <v>1.1329459194918443</v>
      </c>
      <c r="D237" s="9">
        <f t="shared" si="11"/>
        <v>23.469886445306884</v>
      </c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>
        <f>SUM(IF(Career_History!G25=TRUE,IF(A237&lt;Career_History!D25,0,MIN(A237,Career_History!E25)-Career_History!D25+1),0),IF(Career_History!G26=TRUE,IF(A237&lt;Career_History!D26,0,MIN(A237,Career_History!E26)-Career_History!D26+1),0),IF(Career_History!G27=TRUE,IF(A237&lt;Career_History!D27,0,MIN(A237,Career_History!E27)-Career_History!D27+1),0),IF(Career_History!G28=TRUE,IF(A237&lt;Career_History!D28,0,MIN(A237,Career_History!E28)-Career_History!D28+1),0),IF(Career_History!G29=TRUE,IF(A237&lt;Career_History!D29,0,MIN(A237,Career_History!E29)-Career_History!D29+1),0))/365.2425</f>
        <v>41.085032546869542</v>
      </c>
      <c r="AD237" s="9">
        <f>SUM(IF(Career_History!I25=TRUE,IF(A237&lt;Career_History!D25,0,MIN(A237,Career_History!E25)-Career_History!D25+1),0),IF(Career_History!I26=TRUE,IF(A237&lt;Career_History!D26,0,MIN(A237,Career_History!E26)-Career_History!D26+1),0),IF(Career_History!I27=TRUE,IF(A237&lt;Career_History!D27,0,MIN(A237,Career_History!E27)-Career_History!D27+1),0),IF(Career_History!I28=TRUE,IF(A237&lt;Career_History!D28,0,MIN(A237,Career_History!E28)-Career_History!D28+1),0),IF(Career_History!I29=TRUE,IF(A237&lt;Career_History!D29,0,MIN(A237,Career_History!E29)-Career_History!D29+1),0))/365.2425</f>
        <v>0</v>
      </c>
      <c r="AE237" s="9">
        <f>SUM(IF(Career_History!H25=TRUE,IF(A237&lt;Career_History!D25,0,MIN(A237,Career_History!E25)-Career_History!D25+1),0),IF(Career_History!H26=TRUE,IF(A237&lt;Career_History!D26,0,MIN(A237,Career_History!E26)-Career_History!D26+1),0),IF(Career_History!H27=TRUE,IF(A237&lt;Career_History!D27,0,MIN(A237,Career_History!E27)-Career_History!D27+1),0),IF(Career_History!H28=TRUE,IF(A237&lt;Career_History!D28,0,MIN(A237,Career_History!E28)-Career_History!D28+1),0),IF(Career_History!H29=TRUE,IF(A237&lt;Career_History!D29,0,MIN(A237,Career_History!E29)-Career_History!D29+1),0))/365.2425</f>
        <v>28.581011245953032</v>
      </c>
      <c r="AF237" s="9">
        <f>SUM(IF(Career_History!G30=TRUE,IF(A237&lt;Career_History!D30,0,MIN(A237,Career_History!E30)-Career_History!D30+1),0),IF(Career_History!G31=TRUE,IF(A237&lt;Career_History!D31,0,MIN(A237,Career_History!E31)-Career_History!D31+1),0),IF(Career_History!G32=TRUE,IF(A237&lt;Career_History!D32,0,MIN(A237,Career_History!E32)-Career_History!D32+1),0))/365.2425</f>
        <v>34.084204329999928</v>
      </c>
      <c r="AG237" s="9">
        <f>SUM(IF(Career_History!I30=TRUE,IF(A237&lt;Career_History!D30,0,MIN(A237,Career_History!E30)-Career_History!D30+1),0),IF(Career_History!I31=TRUE,IF(A237&lt;Career_History!D31,0,MIN(A237,Career_History!E31)-Career_History!D31+1),0),IF(Career_History!I32=TRUE,IF(A237&lt;Career_History!D32,0,MIN(A237,Career_History!E32)-Career_History!D32+1),0))/365.2425</f>
        <v>0</v>
      </c>
      <c r="AH237" s="9">
        <f>SUM(IF(Career_History!H30=TRUE,IF(A237&lt;Career_History!D30,0,MIN(A237,Career_History!E30)-Career_History!D30+1),0),IF(Career_History!H31=TRUE,IF(A237&lt;Career_History!D31,0,MIN(A237,Career_History!E31)-Career_History!D31+1),0),IF(Career_History!H32=TRUE,IF(A237&lt;Career_History!D32,0,MIN(A237,Career_History!E32)-Career_History!D32+1),0))/365.2425</f>
        <v>5.1801200572222568</v>
      </c>
      <c r="AI237" s="9">
        <f>SUM(IF(Career_History!G33=TRUE,IF(A237&lt;Career_History!D33,0,MIN(A237,Career_History!E33)-Career_History!D33+1),0),IF(Career_History!G34=TRUE,IF(A237&lt;Career_History!D34,0,MIN(A237,Career_History!E34)-Career_History!D34+1),0),IF(Career_History!G35=TRUE,IF(A237&lt;Career_History!D35,0,MIN(A237,Career_History!E35)-Career_History!D35+1),0),IF(Career_History!G36=TRUE,IF(A237&lt;Career_History!D36,0,MIN(A237,Career_History!E36)-Career_History!D36+1),0),IF(Career_History!G37=TRUE,IF(A237&lt;Career_History!D37,0,MIN(A237,Career_History!E37)-Career_History!D37+1),0),IF(Career_History!G38=TRUE,IF(A237&lt;Career_History!D38,0,MIN(A237,Career_History!E38)-Career_History!D38+1),0))/365.2425</f>
        <v>34.084204329999928</v>
      </c>
      <c r="AJ237" s="9">
        <f>SUM(IF(Career_History!I33=TRUE,IF(A237&lt;Career_History!D33,0,MIN(A237,Career_History!E33)-Career_History!D33+1),0),IF(Career_History!I34=TRUE,IF(A237&lt;Career_History!D34,0,MIN(A237,Career_History!E34)-Career_History!D34+1),0),IF(Career_History!I35=TRUE,IF(A237&lt;Career_History!D35,0,MIN(A237,Career_History!E35)-Career_History!D35+1),0),IF(Career_History!I36=TRUE,IF(A237&lt;Career_History!D36,0,MIN(A237,Career_History!E36)-Career_History!D36+1),0),IF(Career_History!I37=TRUE,IF(A237&lt;Career_History!D37,0,MIN(A237,Career_History!E37)-Career_History!D37+1),0),IF(Career_History!I38=TRUE,IF(A237&lt;Career_History!D38,0,MIN(A237,Career_History!E38)-Career_History!D38+1),0))/365.2425</f>
        <v>5.664729597459222</v>
      </c>
      <c r="AK237" s="9">
        <f>SUM(IF(Career_History!H33=TRUE,IF(A237&lt;Career_History!D33,0,MIN(A237,Career_History!E33)-Career_History!D33+1),0),IF(Career_History!H34=TRUE,IF(A237&lt;Career_History!D34,0,MIN(A237,Career_History!E34)-Career_History!D34+1),0),IF(Career_History!H35=TRUE,IF(A237&lt;Career_History!D35,0,MIN(A237,Career_History!E35)-Career_History!D35+1),0),IF(Career_History!H36=TRUE,IF(A237&lt;Career_History!D36,0,MIN(A237,Career_History!E36)-Career_History!D36+1),0),IF(Career_History!H37=TRUE,IF(A237&lt;Career_History!D37,0,MIN(A237,Career_History!E37)-Career_History!D37+1),0),IF(Career_History!H38=TRUE,IF(A237&lt;Career_History!D38,0,MIN(A237,Career_History!E38)-Career_History!D38+1),0))/365.2425</f>
        <v>28.41947473254071</v>
      </c>
      <c r="AL237" s="9">
        <f>SUM(IF(Career_History!G39=TRUE,IF(A237&lt;Career_History!D39,0,MIN(A237,Career_History!E39)-Career_History!D39+1),0),IF(Career_History!G40=TRUE,IF(A237&lt;Career_History!D40,0,MIN(A237,Career_History!E40)-Career_History!D40+1),0))/365.2425</f>
        <v>21.084621860818498</v>
      </c>
      <c r="AM237" s="9">
        <f>SUM(IF(Career_History!I39=TRUE,IF(A237&lt;Career_History!D39,0,MIN(A237,Career_History!E39)-Career_History!D39+1),0),IF(Career_History!I40=TRUE,IF(A237&lt;Career_History!D40,0,MIN(A237,Career_History!E40)-Career_History!D40+1),0))/365.2425</f>
        <v>0</v>
      </c>
      <c r="AN237" s="9">
        <f>SUM(IF(Career_History!H39=TRUE,IF(A237&lt;Career_History!D39,0,MIN(A237,Career_History!E39)-Career_History!D39+1),0),IF(Career_History!H40=TRUE,IF(A237&lt;Career_History!D40,0,MIN(A237,Career_History!E40)-Career_History!D40+1),0))/365.2425</f>
        <v>21.084621860818498</v>
      </c>
      <c r="AO237" s="9">
        <f>SUM(IF(Career_History!G41=TRUE,IF(A237&lt;Career_History!D41,0,MIN(A237,Career_History!E41)-Career_History!D41+1),0),IF(Career_History!G42=TRUE,IF(A237&lt;Career_History!D42,0,MIN(A237,Career_History!E42)-Career_History!D42+1),0))/365.2425</f>
        <v>34.084204329999928</v>
      </c>
      <c r="AP237" s="9">
        <f>SUM(IF(Career_History!I41=TRUE,IF(A237&lt;Career_History!D41,0,MIN(A237,Career_History!E41)-Career_History!D41+1),0),IF(Career_History!I42=TRUE,IF(A237&lt;Career_History!D42,0,MIN(A237,Career_History!E42)-Career_History!D42+1),0))/365.2425</f>
        <v>0</v>
      </c>
      <c r="AQ237" s="9">
        <f>SUM(IF(Career_History!H41=TRUE,IF(A237&lt;Career_History!D41,0,MIN(A237,Career_History!E41)-Career_History!D41+1),0),IF(Career_History!H42=TRUE,IF(A237&lt;Career_History!D42,0,MIN(A237,Career_History!E42)-Career_History!D42+1),0))/365.2425</f>
        <v>34.084204329999928</v>
      </c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L237" s="9"/>
      <c r="BM237" s="9"/>
      <c r="BN237" s="9"/>
      <c r="BO237" s="9"/>
    </row>
    <row r="238" spans="1:67">
      <c r="A238" s="8">
        <v>41882</v>
      </c>
      <c r="B238" s="9">
        <f t="shared" si="9"/>
        <v>32.96932859675421</v>
      </c>
      <c r="C238" s="9">
        <f t="shared" si="10"/>
        <v>1.1329459194918443</v>
      </c>
      <c r="D238" s="9">
        <f t="shared" si="11"/>
        <v>23.554761562523531</v>
      </c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>
        <f>SUM(IF(Career_History!G25=TRUE,IF(A238&lt;Career_History!D25,0,MIN(A238,Career_History!E25)-Career_History!D25+1),0),IF(Career_History!G26=TRUE,IF(A238&lt;Career_History!D26,0,MIN(A238,Career_History!E26)-Career_History!D26+1),0),IF(Career_History!G27=TRUE,IF(A238&lt;Career_History!D27,0,MIN(A238,Career_History!E27)-Career_History!D27+1),0),IF(Career_History!G28=TRUE,IF(A238&lt;Career_History!D28,0,MIN(A238,Career_History!E28)-Career_History!D28+1),0),IF(Career_History!G29=TRUE,IF(A238&lt;Career_History!D29,0,MIN(A238,Career_History!E29)-Career_History!D29+1),0))/365.2425</f>
        <v>41.169907664086189</v>
      </c>
      <c r="AD238" s="9">
        <f>SUM(IF(Career_History!I25=TRUE,IF(A238&lt;Career_History!D25,0,MIN(A238,Career_History!E25)-Career_History!D25+1),0),IF(Career_History!I26=TRUE,IF(A238&lt;Career_History!D26,0,MIN(A238,Career_History!E26)-Career_History!D26+1),0),IF(Career_History!I27=TRUE,IF(A238&lt;Career_History!D27,0,MIN(A238,Career_History!E27)-Career_History!D27+1),0),IF(Career_History!I28=TRUE,IF(A238&lt;Career_History!D28,0,MIN(A238,Career_History!E28)-Career_History!D28+1),0),IF(Career_History!I29=TRUE,IF(A238&lt;Career_History!D29,0,MIN(A238,Career_History!E29)-Career_History!D29+1),0))/365.2425</f>
        <v>0</v>
      </c>
      <c r="AE238" s="9">
        <f>SUM(IF(Career_History!H25=TRUE,IF(A238&lt;Career_History!D25,0,MIN(A238,Career_History!E25)-Career_History!D25+1),0),IF(Career_History!H26=TRUE,IF(A238&lt;Career_History!D26,0,MIN(A238,Career_History!E26)-Career_History!D26+1),0),IF(Career_History!H27=TRUE,IF(A238&lt;Career_History!D27,0,MIN(A238,Career_History!E27)-Career_History!D27+1),0),IF(Career_History!H28=TRUE,IF(A238&lt;Career_History!D28,0,MIN(A238,Career_History!E28)-Career_History!D28+1),0),IF(Career_History!H29=TRUE,IF(A238&lt;Career_History!D29,0,MIN(A238,Career_History!E29)-Career_History!D29+1),0))/365.2425</f>
        <v>28.665886363169676</v>
      </c>
      <c r="AF238" s="9">
        <f>SUM(IF(Career_History!G30=TRUE,IF(A238&lt;Career_History!D30,0,MIN(A238,Career_History!E30)-Career_History!D30+1),0),IF(Career_History!G31=TRUE,IF(A238&lt;Career_History!D31,0,MIN(A238,Career_History!E31)-Career_History!D31+1),0),IF(Career_History!G32=TRUE,IF(A238&lt;Career_History!D32,0,MIN(A238,Career_History!E32)-Career_History!D32+1),0))/365.2425</f>
        <v>34.169079447216575</v>
      </c>
      <c r="AG238" s="9">
        <f>SUM(IF(Career_History!I30=TRUE,IF(A238&lt;Career_History!D30,0,MIN(A238,Career_History!E30)-Career_History!D30+1),0),IF(Career_History!I31=TRUE,IF(A238&lt;Career_History!D31,0,MIN(A238,Career_History!E31)-Career_History!D31+1),0),IF(Career_History!I32=TRUE,IF(A238&lt;Career_History!D32,0,MIN(A238,Career_History!E32)-Career_History!D32+1),0))/365.2425</f>
        <v>0</v>
      </c>
      <c r="AH238" s="9">
        <f>SUM(IF(Career_History!H30=TRUE,IF(A238&lt;Career_History!D30,0,MIN(A238,Career_History!E30)-Career_History!D30+1),0),IF(Career_History!H31=TRUE,IF(A238&lt;Career_History!D31,0,MIN(A238,Career_History!E31)-Career_History!D31+1),0),IF(Career_History!H32=TRUE,IF(A238&lt;Career_History!D32,0,MIN(A238,Career_History!E32)-Career_History!D32+1),0))/365.2425</f>
        <v>5.2649951744389005</v>
      </c>
      <c r="AI238" s="9">
        <f>SUM(IF(Career_History!G33=TRUE,IF(A238&lt;Career_History!D33,0,MIN(A238,Career_History!E33)-Career_History!D33+1),0),IF(Career_History!G34=TRUE,IF(A238&lt;Career_History!D34,0,MIN(A238,Career_History!E34)-Career_History!D34+1),0),IF(Career_History!G35=TRUE,IF(A238&lt;Career_History!D35,0,MIN(A238,Career_History!E35)-Career_History!D35+1),0),IF(Career_History!G36=TRUE,IF(A238&lt;Career_History!D36,0,MIN(A238,Career_History!E36)-Career_History!D36+1),0),IF(Career_History!G37=TRUE,IF(A238&lt;Career_History!D37,0,MIN(A238,Career_History!E37)-Career_History!D37+1),0),IF(Career_History!G38=TRUE,IF(A238&lt;Career_History!D38,0,MIN(A238,Career_History!E38)-Career_History!D38+1),0))/365.2425</f>
        <v>34.169079447216575</v>
      </c>
      <c r="AJ238" s="9">
        <f>SUM(IF(Career_History!I33=TRUE,IF(A238&lt;Career_History!D33,0,MIN(A238,Career_History!E33)-Career_History!D33+1),0),IF(Career_History!I34=TRUE,IF(A238&lt;Career_History!D34,0,MIN(A238,Career_History!E34)-Career_History!D34+1),0),IF(Career_History!I35=TRUE,IF(A238&lt;Career_History!D35,0,MIN(A238,Career_History!E35)-Career_History!D35+1),0),IF(Career_History!I36=TRUE,IF(A238&lt;Career_History!D36,0,MIN(A238,Career_History!E36)-Career_History!D36+1),0),IF(Career_History!I37=TRUE,IF(A238&lt;Career_History!D37,0,MIN(A238,Career_History!E37)-Career_History!D37+1),0),IF(Career_History!I38=TRUE,IF(A238&lt;Career_History!D38,0,MIN(A238,Career_History!E38)-Career_History!D38+1),0))/365.2425</f>
        <v>5.664729597459222</v>
      </c>
      <c r="AK238" s="9">
        <f>SUM(IF(Career_History!H33=TRUE,IF(A238&lt;Career_History!D33,0,MIN(A238,Career_History!E33)-Career_History!D33+1),0),IF(Career_History!H34=TRUE,IF(A238&lt;Career_History!D34,0,MIN(A238,Career_History!E34)-Career_History!D34+1),0),IF(Career_History!H35=TRUE,IF(A238&lt;Career_History!D35,0,MIN(A238,Career_History!E35)-Career_History!D35+1),0),IF(Career_History!H36=TRUE,IF(A238&lt;Career_History!D36,0,MIN(A238,Career_History!E36)-Career_History!D36+1),0),IF(Career_History!H37=TRUE,IF(A238&lt;Career_History!D37,0,MIN(A238,Career_History!E37)-Career_History!D37+1),0),IF(Career_History!H38=TRUE,IF(A238&lt;Career_History!D38,0,MIN(A238,Career_History!E38)-Career_History!D38+1),0))/365.2425</f>
        <v>28.504349849757354</v>
      </c>
      <c r="AL238" s="9">
        <f>SUM(IF(Career_History!G39=TRUE,IF(A238&lt;Career_History!D39,0,MIN(A238,Career_History!E39)-Career_History!D39+1),0),IF(Career_History!G40=TRUE,IF(A238&lt;Career_History!D40,0,MIN(A238,Career_History!E40)-Career_History!D40+1),0))/365.2425</f>
        <v>21.169496978035141</v>
      </c>
      <c r="AM238" s="9">
        <f>SUM(IF(Career_History!I39=TRUE,IF(A238&lt;Career_History!D39,0,MIN(A238,Career_History!E39)-Career_History!D39+1),0),IF(Career_History!I40=TRUE,IF(A238&lt;Career_History!D40,0,MIN(A238,Career_History!E40)-Career_History!D40+1),0))/365.2425</f>
        <v>0</v>
      </c>
      <c r="AN238" s="9">
        <f>SUM(IF(Career_History!H39=TRUE,IF(A238&lt;Career_History!D39,0,MIN(A238,Career_History!E39)-Career_History!D39+1),0),IF(Career_History!H40=TRUE,IF(A238&lt;Career_History!D40,0,MIN(A238,Career_History!E40)-Career_History!D40+1),0))/365.2425</f>
        <v>21.169496978035141</v>
      </c>
      <c r="AO238" s="9">
        <f>SUM(IF(Career_History!G41=TRUE,IF(A238&lt;Career_History!D41,0,MIN(A238,Career_History!E41)-Career_History!D41+1),0),IF(Career_History!G42=TRUE,IF(A238&lt;Career_History!D42,0,MIN(A238,Career_History!E42)-Career_History!D42+1),0))/365.2425</f>
        <v>34.169079447216575</v>
      </c>
      <c r="AP238" s="9">
        <f>SUM(IF(Career_History!I41=TRUE,IF(A238&lt;Career_History!D41,0,MIN(A238,Career_History!E41)-Career_History!D41+1),0),IF(Career_History!I42=TRUE,IF(A238&lt;Career_History!D42,0,MIN(A238,Career_History!E42)-Career_History!D42+1),0))/365.2425</f>
        <v>0</v>
      </c>
      <c r="AQ238" s="9">
        <f>SUM(IF(Career_History!H41=TRUE,IF(A238&lt;Career_History!D41,0,MIN(A238,Career_History!E41)-Career_History!D41+1),0),IF(Career_History!H42=TRUE,IF(A238&lt;Career_History!D42,0,MIN(A238,Career_History!E42)-Career_History!D42+1),0))/365.2425</f>
        <v>34.169079447216575</v>
      </c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9"/>
      <c r="BK238" s="9"/>
      <c r="BL238" s="9"/>
      <c r="BM238" s="9"/>
      <c r="BN238" s="9"/>
      <c r="BO238" s="9"/>
    </row>
    <row r="239" spans="1:67">
      <c r="A239" s="8">
        <v>41912</v>
      </c>
      <c r="B239" s="9">
        <f t="shared" si="9"/>
        <v>33.051465806963861</v>
      </c>
      <c r="C239" s="9">
        <f t="shared" si="10"/>
        <v>1.1329459194918443</v>
      </c>
      <c r="D239" s="9">
        <f t="shared" si="11"/>
        <v>23.636898772733183</v>
      </c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>
        <f>SUM(IF(Career_History!G25=TRUE,IF(A239&lt;Career_History!D25,0,MIN(A239,Career_History!E25)-Career_History!D25+1),0),IF(Career_History!G26=TRUE,IF(A239&lt;Career_History!D26,0,MIN(A239,Career_History!E26)-Career_History!D26+1),0),IF(Career_History!G27=TRUE,IF(A239&lt;Career_History!D27,0,MIN(A239,Career_History!E27)-Career_History!D27+1),0),IF(Career_History!G28=TRUE,IF(A239&lt;Career_History!D28,0,MIN(A239,Career_History!E28)-Career_History!D28+1),0),IF(Career_History!G29=TRUE,IF(A239&lt;Career_History!D29,0,MIN(A239,Career_History!E29)-Career_History!D29+1),0))/365.2425</f>
        <v>41.252044874295841</v>
      </c>
      <c r="AD239" s="9">
        <f>SUM(IF(Career_History!I25=TRUE,IF(A239&lt;Career_History!D25,0,MIN(A239,Career_History!E25)-Career_History!D25+1),0),IF(Career_History!I26=TRUE,IF(A239&lt;Career_History!D26,0,MIN(A239,Career_History!E26)-Career_History!D26+1),0),IF(Career_History!I27=TRUE,IF(A239&lt;Career_History!D27,0,MIN(A239,Career_History!E27)-Career_History!D27+1),0),IF(Career_History!I28=TRUE,IF(A239&lt;Career_History!D28,0,MIN(A239,Career_History!E28)-Career_History!D28+1),0),IF(Career_History!I29=TRUE,IF(A239&lt;Career_History!D29,0,MIN(A239,Career_History!E29)-Career_History!D29+1),0))/365.2425</f>
        <v>0</v>
      </c>
      <c r="AE239" s="9">
        <f>SUM(IF(Career_History!H25=TRUE,IF(A239&lt;Career_History!D25,0,MIN(A239,Career_History!E25)-Career_History!D25+1),0),IF(Career_History!H26=TRUE,IF(A239&lt;Career_History!D26,0,MIN(A239,Career_History!E26)-Career_History!D26+1),0),IF(Career_History!H27=TRUE,IF(A239&lt;Career_History!D27,0,MIN(A239,Career_History!E27)-Career_History!D27+1),0),IF(Career_History!H28=TRUE,IF(A239&lt;Career_History!D28,0,MIN(A239,Career_History!E28)-Career_History!D28+1),0),IF(Career_History!H29=TRUE,IF(A239&lt;Career_History!D29,0,MIN(A239,Career_History!E29)-Career_History!D29+1),0))/365.2425</f>
        <v>28.748023573379328</v>
      </c>
      <c r="AF239" s="9">
        <f>SUM(IF(Career_History!G30=TRUE,IF(A239&lt;Career_History!D30,0,MIN(A239,Career_History!E30)-Career_History!D30+1),0),IF(Career_History!G31=TRUE,IF(A239&lt;Career_History!D31,0,MIN(A239,Career_History!E31)-Career_History!D31+1),0),IF(Career_History!G32=TRUE,IF(A239&lt;Career_History!D32,0,MIN(A239,Career_History!E32)-Career_History!D32+1),0))/365.2425</f>
        <v>34.251216657426227</v>
      </c>
      <c r="AG239" s="9">
        <f>SUM(IF(Career_History!I30=TRUE,IF(A239&lt;Career_History!D30,0,MIN(A239,Career_History!E30)-Career_History!D30+1),0),IF(Career_History!I31=TRUE,IF(A239&lt;Career_History!D31,0,MIN(A239,Career_History!E31)-Career_History!D31+1),0),IF(Career_History!I32=TRUE,IF(A239&lt;Career_History!D32,0,MIN(A239,Career_History!E32)-Career_History!D32+1),0))/365.2425</f>
        <v>0</v>
      </c>
      <c r="AH239" s="9">
        <f>SUM(IF(Career_History!H30=TRUE,IF(A239&lt;Career_History!D30,0,MIN(A239,Career_History!E30)-Career_History!D30+1),0),IF(Career_History!H31=TRUE,IF(A239&lt;Career_History!D31,0,MIN(A239,Career_History!E31)-Career_History!D31+1),0),IF(Career_History!H32=TRUE,IF(A239&lt;Career_History!D32,0,MIN(A239,Career_History!E32)-Career_History!D32+1),0))/365.2425</f>
        <v>5.347132384648555</v>
      </c>
      <c r="AI239" s="9">
        <f>SUM(IF(Career_History!G33=TRUE,IF(A239&lt;Career_History!D33,0,MIN(A239,Career_History!E33)-Career_History!D33+1),0),IF(Career_History!G34=TRUE,IF(A239&lt;Career_History!D34,0,MIN(A239,Career_History!E34)-Career_History!D34+1),0),IF(Career_History!G35=TRUE,IF(A239&lt;Career_History!D35,0,MIN(A239,Career_History!E35)-Career_History!D35+1),0),IF(Career_History!G36=TRUE,IF(A239&lt;Career_History!D36,0,MIN(A239,Career_History!E36)-Career_History!D36+1),0),IF(Career_History!G37=TRUE,IF(A239&lt;Career_History!D37,0,MIN(A239,Career_History!E37)-Career_History!D37+1),0),IF(Career_History!G38=TRUE,IF(A239&lt;Career_History!D38,0,MIN(A239,Career_History!E38)-Career_History!D38+1),0))/365.2425</f>
        <v>34.251216657426227</v>
      </c>
      <c r="AJ239" s="9">
        <f>SUM(IF(Career_History!I33=TRUE,IF(A239&lt;Career_History!D33,0,MIN(A239,Career_History!E33)-Career_History!D33+1),0),IF(Career_History!I34=TRUE,IF(A239&lt;Career_History!D34,0,MIN(A239,Career_History!E34)-Career_History!D34+1),0),IF(Career_History!I35=TRUE,IF(A239&lt;Career_History!D35,0,MIN(A239,Career_History!E35)-Career_History!D35+1),0),IF(Career_History!I36=TRUE,IF(A239&lt;Career_History!D36,0,MIN(A239,Career_History!E36)-Career_History!D36+1),0),IF(Career_History!I37=TRUE,IF(A239&lt;Career_History!D37,0,MIN(A239,Career_History!E37)-Career_History!D37+1),0),IF(Career_History!I38=TRUE,IF(A239&lt;Career_History!D38,0,MIN(A239,Career_History!E38)-Career_History!D38+1),0))/365.2425</f>
        <v>5.664729597459222</v>
      </c>
      <c r="AK239" s="9">
        <f>SUM(IF(Career_History!H33=TRUE,IF(A239&lt;Career_History!D33,0,MIN(A239,Career_History!E33)-Career_History!D33+1),0),IF(Career_History!H34=TRUE,IF(A239&lt;Career_History!D34,0,MIN(A239,Career_History!E34)-Career_History!D34+1),0),IF(Career_History!H35=TRUE,IF(A239&lt;Career_History!D35,0,MIN(A239,Career_History!E35)-Career_History!D35+1),0),IF(Career_History!H36=TRUE,IF(A239&lt;Career_History!D36,0,MIN(A239,Career_History!E36)-Career_History!D36+1),0),IF(Career_History!H37=TRUE,IF(A239&lt;Career_History!D37,0,MIN(A239,Career_History!E37)-Career_History!D37+1),0),IF(Career_History!H38=TRUE,IF(A239&lt;Career_History!D38,0,MIN(A239,Career_History!E38)-Career_History!D38+1),0))/365.2425</f>
        <v>28.586487059967009</v>
      </c>
      <c r="AL239" s="9">
        <f>SUM(IF(Career_History!G39=TRUE,IF(A239&lt;Career_History!D39,0,MIN(A239,Career_History!E39)-Career_History!D39+1),0),IF(Career_History!G40=TRUE,IF(A239&lt;Career_History!D40,0,MIN(A239,Career_History!E40)-Career_History!D40+1),0))/365.2425</f>
        <v>21.251634188244797</v>
      </c>
      <c r="AM239" s="9">
        <f>SUM(IF(Career_History!I39=TRUE,IF(A239&lt;Career_History!D39,0,MIN(A239,Career_History!E39)-Career_History!D39+1),0),IF(Career_History!I40=TRUE,IF(A239&lt;Career_History!D40,0,MIN(A239,Career_History!E40)-Career_History!D40+1),0))/365.2425</f>
        <v>0</v>
      </c>
      <c r="AN239" s="9">
        <f>SUM(IF(Career_History!H39=TRUE,IF(A239&lt;Career_History!D39,0,MIN(A239,Career_History!E39)-Career_History!D39+1),0),IF(Career_History!H40=TRUE,IF(A239&lt;Career_History!D40,0,MIN(A239,Career_History!E40)-Career_History!D40+1),0))/365.2425</f>
        <v>21.251634188244797</v>
      </c>
      <c r="AO239" s="9">
        <f>SUM(IF(Career_History!G41=TRUE,IF(A239&lt;Career_History!D41,0,MIN(A239,Career_History!E41)-Career_History!D41+1),0),IF(Career_History!G42=TRUE,IF(A239&lt;Career_History!D42,0,MIN(A239,Career_History!E42)-Career_History!D42+1),0))/365.2425</f>
        <v>34.251216657426227</v>
      </c>
      <c r="AP239" s="9">
        <f>SUM(IF(Career_History!I41=TRUE,IF(A239&lt;Career_History!D41,0,MIN(A239,Career_History!E41)-Career_History!D41+1),0),IF(Career_History!I42=TRUE,IF(A239&lt;Career_History!D42,0,MIN(A239,Career_History!E42)-Career_History!D42+1),0))/365.2425</f>
        <v>0</v>
      </c>
      <c r="AQ239" s="9">
        <f>SUM(IF(Career_History!H41=TRUE,IF(A239&lt;Career_History!D41,0,MIN(A239,Career_History!E41)-Career_History!D41+1),0),IF(Career_History!H42=TRUE,IF(A239&lt;Career_History!D42,0,MIN(A239,Career_History!E42)-Career_History!D42+1),0))/365.2425</f>
        <v>34.251216657426227</v>
      </c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9"/>
      <c r="BK239" s="9"/>
      <c r="BL239" s="9"/>
      <c r="BM239" s="9"/>
      <c r="BN239" s="9"/>
      <c r="BO239" s="9"/>
    </row>
    <row r="240" spans="1:67">
      <c r="A240" s="8">
        <v>41943</v>
      </c>
      <c r="B240" s="9">
        <f t="shared" si="9"/>
        <v>33.136340924180516</v>
      </c>
      <c r="C240" s="9">
        <f t="shared" si="10"/>
        <v>1.1329459194918443</v>
      </c>
      <c r="D240" s="9">
        <f t="shared" si="11"/>
        <v>23.721773889949826</v>
      </c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>
        <f>SUM(IF(Career_History!G25=TRUE,IF(A240&lt;Career_History!D25,0,MIN(A240,Career_History!E25)-Career_History!D25+1),0),IF(Career_History!G26=TRUE,IF(A240&lt;Career_History!D26,0,MIN(A240,Career_History!E26)-Career_History!D26+1),0),IF(Career_History!G27=TRUE,IF(A240&lt;Career_History!D27,0,MIN(A240,Career_History!E27)-Career_History!D27+1),0),IF(Career_History!G28=TRUE,IF(A240&lt;Career_History!D28,0,MIN(A240,Career_History!E28)-Career_History!D28+1),0),IF(Career_History!G29=TRUE,IF(A240&lt;Career_History!D29,0,MIN(A240,Career_History!E29)-Career_History!D29+1),0))/365.2425</f>
        <v>41.336919991512488</v>
      </c>
      <c r="AD240" s="9">
        <f>SUM(IF(Career_History!I25=TRUE,IF(A240&lt;Career_History!D25,0,MIN(A240,Career_History!E25)-Career_History!D25+1),0),IF(Career_History!I26=TRUE,IF(A240&lt;Career_History!D26,0,MIN(A240,Career_History!E26)-Career_History!D26+1),0),IF(Career_History!I27=TRUE,IF(A240&lt;Career_History!D27,0,MIN(A240,Career_History!E27)-Career_History!D27+1),0),IF(Career_History!I28=TRUE,IF(A240&lt;Career_History!D28,0,MIN(A240,Career_History!E28)-Career_History!D28+1),0),IF(Career_History!I29=TRUE,IF(A240&lt;Career_History!D29,0,MIN(A240,Career_History!E29)-Career_History!D29+1),0))/365.2425</f>
        <v>0</v>
      </c>
      <c r="AE240" s="9">
        <f>SUM(IF(Career_History!H25=TRUE,IF(A240&lt;Career_History!D25,0,MIN(A240,Career_History!E25)-Career_History!D25+1),0),IF(Career_History!H26=TRUE,IF(A240&lt;Career_History!D26,0,MIN(A240,Career_History!E26)-Career_History!D26+1),0),IF(Career_History!H27=TRUE,IF(A240&lt;Career_History!D27,0,MIN(A240,Career_History!E27)-Career_History!D27+1),0),IF(Career_History!H28=TRUE,IF(A240&lt;Career_History!D28,0,MIN(A240,Career_History!E28)-Career_History!D28+1),0),IF(Career_History!H29=TRUE,IF(A240&lt;Career_History!D29,0,MIN(A240,Career_History!E29)-Career_History!D29+1),0))/365.2425</f>
        <v>28.832898690595972</v>
      </c>
      <c r="AF240" s="9">
        <f>SUM(IF(Career_History!G30=TRUE,IF(A240&lt;Career_History!D30,0,MIN(A240,Career_History!E30)-Career_History!D30+1),0),IF(Career_History!G31=TRUE,IF(A240&lt;Career_History!D31,0,MIN(A240,Career_History!E31)-Career_History!D31+1),0),IF(Career_History!G32=TRUE,IF(A240&lt;Career_History!D32,0,MIN(A240,Career_History!E32)-Career_History!D32+1),0))/365.2425</f>
        <v>34.336091774642874</v>
      </c>
      <c r="AG240" s="9">
        <f>SUM(IF(Career_History!I30=TRUE,IF(A240&lt;Career_History!D30,0,MIN(A240,Career_History!E30)-Career_History!D30+1),0),IF(Career_History!I31=TRUE,IF(A240&lt;Career_History!D31,0,MIN(A240,Career_History!E31)-Career_History!D31+1),0),IF(Career_History!I32=TRUE,IF(A240&lt;Career_History!D32,0,MIN(A240,Career_History!E32)-Career_History!D32+1),0))/365.2425</f>
        <v>0</v>
      </c>
      <c r="AH240" s="9">
        <f>SUM(IF(Career_History!H30=TRUE,IF(A240&lt;Career_History!D30,0,MIN(A240,Career_History!E30)-Career_History!D30+1),0),IF(Career_History!H31=TRUE,IF(A240&lt;Career_History!D31,0,MIN(A240,Career_History!E31)-Career_History!D31+1),0),IF(Career_History!H32=TRUE,IF(A240&lt;Career_History!D32,0,MIN(A240,Career_History!E32)-Career_History!D32+1),0))/365.2425</f>
        <v>5.4320075018651988</v>
      </c>
      <c r="AI240" s="9">
        <f>SUM(IF(Career_History!G33=TRUE,IF(A240&lt;Career_History!D33,0,MIN(A240,Career_History!E33)-Career_History!D33+1),0),IF(Career_History!G34=TRUE,IF(A240&lt;Career_History!D34,0,MIN(A240,Career_History!E34)-Career_History!D34+1),0),IF(Career_History!G35=TRUE,IF(A240&lt;Career_History!D35,0,MIN(A240,Career_History!E35)-Career_History!D35+1),0),IF(Career_History!G36=TRUE,IF(A240&lt;Career_History!D36,0,MIN(A240,Career_History!E36)-Career_History!D36+1),0),IF(Career_History!G37=TRUE,IF(A240&lt;Career_History!D37,0,MIN(A240,Career_History!E37)-Career_History!D37+1),0),IF(Career_History!G38=TRUE,IF(A240&lt;Career_History!D38,0,MIN(A240,Career_History!E38)-Career_History!D38+1),0))/365.2425</f>
        <v>34.336091774642874</v>
      </c>
      <c r="AJ240" s="9">
        <f>SUM(IF(Career_History!I33=TRUE,IF(A240&lt;Career_History!D33,0,MIN(A240,Career_History!E33)-Career_History!D33+1),0),IF(Career_History!I34=TRUE,IF(A240&lt;Career_History!D34,0,MIN(A240,Career_History!E34)-Career_History!D34+1),0),IF(Career_History!I35=TRUE,IF(A240&lt;Career_History!D35,0,MIN(A240,Career_History!E35)-Career_History!D35+1),0),IF(Career_History!I36=TRUE,IF(A240&lt;Career_History!D36,0,MIN(A240,Career_History!E36)-Career_History!D36+1),0),IF(Career_History!I37=TRUE,IF(A240&lt;Career_History!D37,0,MIN(A240,Career_History!E37)-Career_History!D37+1),0),IF(Career_History!I38=TRUE,IF(A240&lt;Career_History!D38,0,MIN(A240,Career_History!E38)-Career_History!D38+1),0))/365.2425</f>
        <v>5.664729597459222</v>
      </c>
      <c r="AK240" s="9">
        <f>SUM(IF(Career_History!H33=TRUE,IF(A240&lt;Career_History!D33,0,MIN(A240,Career_History!E33)-Career_History!D33+1),0),IF(Career_History!H34=TRUE,IF(A240&lt;Career_History!D34,0,MIN(A240,Career_History!E34)-Career_History!D34+1),0),IF(Career_History!H35=TRUE,IF(A240&lt;Career_History!D35,0,MIN(A240,Career_History!E35)-Career_History!D35+1),0),IF(Career_History!H36=TRUE,IF(A240&lt;Career_History!D36,0,MIN(A240,Career_History!E36)-Career_History!D36+1),0),IF(Career_History!H37=TRUE,IF(A240&lt;Career_History!D37,0,MIN(A240,Career_History!E37)-Career_History!D37+1),0),IF(Career_History!H38=TRUE,IF(A240&lt;Career_History!D38,0,MIN(A240,Career_History!E38)-Career_History!D38+1),0))/365.2425</f>
        <v>28.671362177183653</v>
      </c>
      <c r="AL240" s="9">
        <f>SUM(IF(Career_History!G39=TRUE,IF(A240&lt;Career_History!D39,0,MIN(A240,Career_History!E39)-Career_History!D39+1),0),IF(Career_History!G40=TRUE,IF(A240&lt;Career_History!D40,0,MIN(A240,Career_History!E40)-Career_History!D40+1),0))/365.2425</f>
        <v>21.336509305461441</v>
      </c>
      <c r="AM240" s="9">
        <f>SUM(IF(Career_History!I39=TRUE,IF(A240&lt;Career_History!D39,0,MIN(A240,Career_History!E39)-Career_History!D39+1),0),IF(Career_History!I40=TRUE,IF(A240&lt;Career_History!D40,0,MIN(A240,Career_History!E40)-Career_History!D40+1),0))/365.2425</f>
        <v>0</v>
      </c>
      <c r="AN240" s="9">
        <f>SUM(IF(Career_History!H39=TRUE,IF(A240&lt;Career_History!D39,0,MIN(A240,Career_History!E39)-Career_History!D39+1),0),IF(Career_History!H40=TRUE,IF(A240&lt;Career_History!D40,0,MIN(A240,Career_History!E40)-Career_History!D40+1),0))/365.2425</f>
        <v>21.336509305461441</v>
      </c>
      <c r="AO240" s="9">
        <f>SUM(IF(Career_History!G41=TRUE,IF(A240&lt;Career_History!D41,0,MIN(A240,Career_History!E41)-Career_History!D41+1),0),IF(Career_History!G42=TRUE,IF(A240&lt;Career_History!D42,0,MIN(A240,Career_History!E42)-Career_History!D42+1),0))/365.2425</f>
        <v>34.336091774642874</v>
      </c>
      <c r="AP240" s="9">
        <f>SUM(IF(Career_History!I41=TRUE,IF(A240&lt;Career_History!D41,0,MIN(A240,Career_History!E41)-Career_History!D41+1),0),IF(Career_History!I42=TRUE,IF(A240&lt;Career_History!D42,0,MIN(A240,Career_History!E42)-Career_History!D42+1),0))/365.2425</f>
        <v>0</v>
      </c>
      <c r="AQ240" s="9">
        <f>SUM(IF(Career_History!H41=TRUE,IF(A240&lt;Career_History!D41,0,MIN(A240,Career_History!E41)-Career_History!D41+1),0),IF(Career_History!H42=TRUE,IF(A240&lt;Career_History!D42,0,MIN(A240,Career_History!E42)-Career_History!D42+1),0))/365.2425</f>
        <v>34.336091774642874</v>
      </c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/>
      <c r="BO240" s="9"/>
    </row>
    <row r="241" spans="1:67">
      <c r="A241" s="8">
        <v>41973</v>
      </c>
      <c r="B241" s="9">
        <f t="shared" si="9"/>
        <v>33.218478134390168</v>
      </c>
      <c r="C241" s="9">
        <f t="shared" si="10"/>
        <v>1.1329459194918443</v>
      </c>
      <c r="D241" s="9">
        <f t="shared" si="11"/>
        <v>23.803911100159485</v>
      </c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>
        <f>SUM(IF(Career_History!G25=TRUE,IF(A241&lt;Career_History!D25,0,MIN(A241,Career_History!E25)-Career_History!D25+1),0),IF(Career_History!G26=TRUE,IF(A241&lt;Career_History!D26,0,MIN(A241,Career_History!E26)-Career_History!D26+1),0),IF(Career_History!G27=TRUE,IF(A241&lt;Career_History!D27,0,MIN(A241,Career_History!E27)-Career_History!D27+1),0),IF(Career_History!G28=TRUE,IF(A241&lt;Career_History!D28,0,MIN(A241,Career_History!E28)-Career_History!D28+1),0),IF(Career_History!G29=TRUE,IF(A241&lt;Career_History!D29,0,MIN(A241,Career_History!E29)-Career_History!D29+1),0))/365.2425</f>
        <v>41.41905720172214</v>
      </c>
      <c r="AD241" s="9">
        <f>SUM(IF(Career_History!I25=TRUE,IF(A241&lt;Career_History!D25,0,MIN(A241,Career_History!E25)-Career_History!D25+1),0),IF(Career_History!I26=TRUE,IF(A241&lt;Career_History!D26,0,MIN(A241,Career_History!E26)-Career_History!D26+1),0),IF(Career_History!I27=TRUE,IF(A241&lt;Career_History!D27,0,MIN(A241,Career_History!E27)-Career_History!D27+1),0),IF(Career_History!I28=TRUE,IF(A241&lt;Career_History!D28,0,MIN(A241,Career_History!E28)-Career_History!D28+1),0),IF(Career_History!I29=TRUE,IF(A241&lt;Career_History!D29,0,MIN(A241,Career_History!E29)-Career_History!D29+1),0))/365.2425</f>
        <v>0</v>
      </c>
      <c r="AE241" s="9">
        <f>SUM(IF(Career_History!H25=TRUE,IF(A241&lt;Career_History!D25,0,MIN(A241,Career_History!E25)-Career_History!D25+1),0),IF(Career_History!H26=TRUE,IF(A241&lt;Career_History!D26,0,MIN(A241,Career_History!E26)-Career_History!D26+1),0),IF(Career_History!H27=TRUE,IF(A241&lt;Career_History!D27,0,MIN(A241,Career_History!E27)-Career_History!D27+1),0),IF(Career_History!H28=TRUE,IF(A241&lt;Career_History!D28,0,MIN(A241,Career_History!E28)-Career_History!D28+1),0),IF(Career_History!H29=TRUE,IF(A241&lt;Career_History!D29,0,MIN(A241,Career_History!E29)-Career_History!D29+1),0))/365.2425</f>
        <v>28.915035900805627</v>
      </c>
      <c r="AF241" s="9">
        <f>SUM(IF(Career_History!G30=TRUE,IF(A241&lt;Career_History!D30,0,MIN(A241,Career_History!E30)-Career_History!D30+1),0),IF(Career_History!G31=TRUE,IF(A241&lt;Career_History!D31,0,MIN(A241,Career_History!E31)-Career_History!D31+1),0),IF(Career_History!G32=TRUE,IF(A241&lt;Career_History!D32,0,MIN(A241,Career_History!E32)-Career_History!D32+1),0))/365.2425</f>
        <v>34.418228984852526</v>
      </c>
      <c r="AG241" s="9">
        <f>SUM(IF(Career_History!I30=TRUE,IF(A241&lt;Career_History!D30,0,MIN(A241,Career_History!E30)-Career_History!D30+1),0),IF(Career_History!I31=TRUE,IF(A241&lt;Career_History!D31,0,MIN(A241,Career_History!E31)-Career_History!D31+1),0),IF(Career_History!I32=TRUE,IF(A241&lt;Career_History!D32,0,MIN(A241,Career_History!E32)-Career_History!D32+1),0))/365.2425</f>
        <v>0</v>
      </c>
      <c r="AH241" s="9">
        <f>SUM(IF(Career_History!H30=TRUE,IF(A241&lt;Career_History!D30,0,MIN(A241,Career_History!E30)-Career_History!D30+1),0),IF(Career_History!H31=TRUE,IF(A241&lt;Career_History!D31,0,MIN(A241,Career_History!E31)-Career_History!D31+1),0),IF(Career_History!H32=TRUE,IF(A241&lt;Career_History!D32,0,MIN(A241,Career_History!E32)-Career_History!D32+1),0))/365.2425</f>
        <v>5.5141447120748541</v>
      </c>
      <c r="AI241" s="9">
        <f>SUM(IF(Career_History!G33=TRUE,IF(A241&lt;Career_History!D33,0,MIN(A241,Career_History!E33)-Career_History!D33+1),0),IF(Career_History!G34=TRUE,IF(A241&lt;Career_History!D34,0,MIN(A241,Career_History!E34)-Career_History!D34+1),0),IF(Career_History!G35=TRUE,IF(A241&lt;Career_History!D35,0,MIN(A241,Career_History!E35)-Career_History!D35+1),0),IF(Career_History!G36=TRUE,IF(A241&lt;Career_History!D36,0,MIN(A241,Career_History!E36)-Career_History!D36+1),0),IF(Career_History!G37=TRUE,IF(A241&lt;Career_History!D37,0,MIN(A241,Career_History!E37)-Career_History!D37+1),0),IF(Career_History!G38=TRUE,IF(A241&lt;Career_History!D38,0,MIN(A241,Career_History!E38)-Career_History!D38+1),0))/365.2425</f>
        <v>34.418228984852526</v>
      </c>
      <c r="AJ241" s="9">
        <f>SUM(IF(Career_History!I33=TRUE,IF(A241&lt;Career_History!D33,0,MIN(A241,Career_History!E33)-Career_History!D33+1),0),IF(Career_History!I34=TRUE,IF(A241&lt;Career_History!D34,0,MIN(A241,Career_History!E34)-Career_History!D34+1),0),IF(Career_History!I35=TRUE,IF(A241&lt;Career_History!D35,0,MIN(A241,Career_History!E35)-Career_History!D35+1),0),IF(Career_History!I36=TRUE,IF(A241&lt;Career_History!D36,0,MIN(A241,Career_History!E36)-Career_History!D36+1),0),IF(Career_History!I37=TRUE,IF(A241&lt;Career_History!D37,0,MIN(A241,Career_History!E37)-Career_History!D37+1),0),IF(Career_History!I38=TRUE,IF(A241&lt;Career_History!D38,0,MIN(A241,Career_History!E38)-Career_History!D38+1),0))/365.2425</f>
        <v>5.664729597459222</v>
      </c>
      <c r="AK241" s="9">
        <f>SUM(IF(Career_History!H33=TRUE,IF(A241&lt;Career_History!D33,0,MIN(A241,Career_History!E33)-Career_History!D33+1),0),IF(Career_History!H34=TRUE,IF(A241&lt;Career_History!D34,0,MIN(A241,Career_History!E34)-Career_History!D34+1),0),IF(Career_History!H35=TRUE,IF(A241&lt;Career_History!D35,0,MIN(A241,Career_History!E35)-Career_History!D35+1),0),IF(Career_History!H36=TRUE,IF(A241&lt;Career_History!D36,0,MIN(A241,Career_History!E36)-Career_History!D36+1),0),IF(Career_History!H37=TRUE,IF(A241&lt;Career_History!D37,0,MIN(A241,Career_History!E37)-Career_History!D37+1),0),IF(Career_History!H38=TRUE,IF(A241&lt;Career_History!D38,0,MIN(A241,Career_History!E38)-Career_History!D38+1),0))/365.2425</f>
        <v>28.753499387393308</v>
      </c>
      <c r="AL241" s="9">
        <f>SUM(IF(Career_History!G39=TRUE,IF(A241&lt;Career_History!D39,0,MIN(A241,Career_History!E39)-Career_History!D39+1),0),IF(Career_History!G40=TRUE,IF(A241&lt;Career_History!D40,0,MIN(A241,Career_History!E40)-Career_History!D40+1),0))/365.2425</f>
        <v>21.418646515671096</v>
      </c>
      <c r="AM241" s="9">
        <f>SUM(IF(Career_History!I39=TRUE,IF(A241&lt;Career_History!D39,0,MIN(A241,Career_History!E39)-Career_History!D39+1),0),IF(Career_History!I40=TRUE,IF(A241&lt;Career_History!D40,0,MIN(A241,Career_History!E40)-Career_History!D40+1),0))/365.2425</f>
        <v>0</v>
      </c>
      <c r="AN241" s="9">
        <f>SUM(IF(Career_History!H39=TRUE,IF(A241&lt;Career_History!D39,0,MIN(A241,Career_History!E39)-Career_History!D39+1),0),IF(Career_History!H40=TRUE,IF(A241&lt;Career_History!D40,0,MIN(A241,Career_History!E40)-Career_History!D40+1),0))/365.2425</f>
        <v>21.418646515671096</v>
      </c>
      <c r="AO241" s="9">
        <f>SUM(IF(Career_History!G41=TRUE,IF(A241&lt;Career_History!D41,0,MIN(A241,Career_History!E41)-Career_History!D41+1),0),IF(Career_History!G42=TRUE,IF(A241&lt;Career_History!D42,0,MIN(A241,Career_History!E42)-Career_History!D42+1),0))/365.2425</f>
        <v>34.418228984852526</v>
      </c>
      <c r="AP241" s="9">
        <f>SUM(IF(Career_History!I41=TRUE,IF(A241&lt;Career_History!D41,0,MIN(A241,Career_History!E41)-Career_History!D41+1),0),IF(Career_History!I42=TRUE,IF(A241&lt;Career_History!D42,0,MIN(A241,Career_History!E42)-Career_History!D42+1),0))/365.2425</f>
        <v>0</v>
      </c>
      <c r="AQ241" s="9">
        <f>SUM(IF(Career_History!H41=TRUE,IF(A241&lt;Career_History!D41,0,MIN(A241,Career_History!E41)-Career_History!D41+1),0),IF(Career_History!H42=TRUE,IF(A241&lt;Career_History!D42,0,MIN(A241,Career_History!E42)-Career_History!D42+1),0))/365.2425</f>
        <v>34.418228984852526</v>
      </c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9"/>
      <c r="BK241" s="9"/>
      <c r="BL241" s="9"/>
      <c r="BM241" s="9"/>
      <c r="BN241" s="9"/>
      <c r="BO241" s="9"/>
    </row>
    <row r="242" spans="1:67">
      <c r="A242" s="8">
        <v>42004</v>
      </c>
      <c r="B242" s="9">
        <f t="shared" si="9"/>
        <v>33.303353251606815</v>
      </c>
      <c r="C242" s="9">
        <f t="shared" si="10"/>
        <v>1.1329459194918443</v>
      </c>
      <c r="D242" s="9">
        <f t="shared" si="11"/>
        <v>23.888786217376126</v>
      </c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>
        <f>SUM(IF(Career_History!G25=TRUE,IF(A242&lt;Career_History!D25,0,MIN(A242,Career_History!E25)-Career_History!D25+1),0),IF(Career_History!G26=TRUE,IF(A242&lt;Career_History!D26,0,MIN(A242,Career_History!E26)-Career_History!D26+1),0),IF(Career_History!G27=TRUE,IF(A242&lt;Career_History!D27,0,MIN(A242,Career_History!E27)-Career_History!D27+1),0),IF(Career_History!G28=TRUE,IF(A242&lt;Career_History!D28,0,MIN(A242,Career_History!E28)-Career_History!D28+1),0),IF(Career_History!G29=TRUE,IF(A242&lt;Career_History!D29,0,MIN(A242,Career_History!E29)-Career_History!D29+1),0))/365.2425</f>
        <v>41.503932318938787</v>
      </c>
      <c r="AD242" s="9">
        <f>SUM(IF(Career_History!I25=TRUE,IF(A242&lt;Career_History!D25,0,MIN(A242,Career_History!E25)-Career_History!D25+1),0),IF(Career_History!I26=TRUE,IF(A242&lt;Career_History!D26,0,MIN(A242,Career_History!E26)-Career_History!D26+1),0),IF(Career_History!I27=TRUE,IF(A242&lt;Career_History!D27,0,MIN(A242,Career_History!E27)-Career_History!D27+1),0),IF(Career_History!I28=TRUE,IF(A242&lt;Career_History!D28,0,MIN(A242,Career_History!E28)-Career_History!D28+1),0),IF(Career_History!I29=TRUE,IF(A242&lt;Career_History!D29,0,MIN(A242,Career_History!E29)-Career_History!D29+1),0))/365.2425</f>
        <v>0</v>
      </c>
      <c r="AE242" s="9">
        <f>SUM(IF(Career_History!H25=TRUE,IF(A242&lt;Career_History!D25,0,MIN(A242,Career_History!E25)-Career_History!D25+1),0),IF(Career_History!H26=TRUE,IF(A242&lt;Career_History!D26,0,MIN(A242,Career_History!E26)-Career_History!D26+1),0),IF(Career_History!H27=TRUE,IF(A242&lt;Career_History!D27,0,MIN(A242,Career_History!E27)-Career_History!D27+1),0),IF(Career_History!H28=TRUE,IF(A242&lt;Career_History!D28,0,MIN(A242,Career_History!E28)-Career_History!D28+1),0),IF(Career_History!H29=TRUE,IF(A242&lt;Career_History!D29,0,MIN(A242,Career_History!E29)-Career_History!D29+1),0))/365.2425</f>
        <v>28.999911018022271</v>
      </c>
      <c r="AF242" s="9">
        <f>SUM(IF(Career_History!G30=TRUE,IF(A242&lt;Career_History!D30,0,MIN(A242,Career_History!E30)-Career_History!D30+1),0),IF(Career_History!G31=TRUE,IF(A242&lt;Career_History!D31,0,MIN(A242,Career_History!E31)-Career_History!D31+1),0),IF(Career_History!G32=TRUE,IF(A242&lt;Career_History!D32,0,MIN(A242,Career_History!E32)-Career_History!D32+1),0))/365.2425</f>
        <v>34.503104102069173</v>
      </c>
      <c r="AG242" s="9">
        <f>SUM(IF(Career_History!I30=TRUE,IF(A242&lt;Career_History!D30,0,MIN(A242,Career_History!E30)-Career_History!D30+1),0),IF(Career_History!I31=TRUE,IF(A242&lt;Career_History!D31,0,MIN(A242,Career_History!E31)-Career_History!D31+1),0),IF(Career_History!I32=TRUE,IF(A242&lt;Career_History!D32,0,MIN(A242,Career_History!E32)-Career_History!D32+1),0))/365.2425</f>
        <v>0</v>
      </c>
      <c r="AH242" s="9">
        <f>SUM(IF(Career_History!H30=TRUE,IF(A242&lt;Career_History!D30,0,MIN(A242,Career_History!E30)-Career_History!D30+1),0),IF(Career_History!H31=TRUE,IF(A242&lt;Career_History!D31,0,MIN(A242,Career_History!E31)-Career_History!D31+1),0),IF(Career_History!H32=TRUE,IF(A242&lt;Career_History!D32,0,MIN(A242,Career_History!E32)-Career_History!D32+1),0))/365.2425</f>
        <v>5.5990198292914979</v>
      </c>
      <c r="AI242" s="9">
        <f>SUM(IF(Career_History!G33=TRUE,IF(A242&lt;Career_History!D33,0,MIN(A242,Career_History!E33)-Career_History!D33+1),0),IF(Career_History!G34=TRUE,IF(A242&lt;Career_History!D34,0,MIN(A242,Career_History!E34)-Career_History!D34+1),0),IF(Career_History!G35=TRUE,IF(A242&lt;Career_History!D35,0,MIN(A242,Career_History!E35)-Career_History!D35+1),0),IF(Career_History!G36=TRUE,IF(A242&lt;Career_History!D36,0,MIN(A242,Career_History!E36)-Career_History!D36+1),0),IF(Career_History!G37=TRUE,IF(A242&lt;Career_History!D37,0,MIN(A242,Career_History!E37)-Career_History!D37+1),0),IF(Career_History!G38=TRUE,IF(A242&lt;Career_History!D38,0,MIN(A242,Career_History!E38)-Career_History!D38+1),0))/365.2425</f>
        <v>34.503104102069173</v>
      </c>
      <c r="AJ242" s="9">
        <f>SUM(IF(Career_History!I33=TRUE,IF(A242&lt;Career_History!D33,0,MIN(A242,Career_History!E33)-Career_History!D33+1),0),IF(Career_History!I34=TRUE,IF(A242&lt;Career_History!D34,0,MIN(A242,Career_History!E34)-Career_History!D34+1),0),IF(Career_History!I35=TRUE,IF(A242&lt;Career_History!D35,0,MIN(A242,Career_History!E35)-Career_History!D35+1),0),IF(Career_History!I36=TRUE,IF(A242&lt;Career_History!D36,0,MIN(A242,Career_History!E36)-Career_History!D36+1),0),IF(Career_History!I37=TRUE,IF(A242&lt;Career_History!D37,0,MIN(A242,Career_History!E37)-Career_History!D37+1),0),IF(Career_History!I38=TRUE,IF(A242&lt;Career_History!D38,0,MIN(A242,Career_History!E38)-Career_History!D38+1),0))/365.2425</f>
        <v>5.664729597459222</v>
      </c>
      <c r="AK242" s="9">
        <f>SUM(IF(Career_History!H33=TRUE,IF(A242&lt;Career_History!D33,0,MIN(A242,Career_History!E33)-Career_History!D33+1),0),IF(Career_History!H34=TRUE,IF(A242&lt;Career_History!D34,0,MIN(A242,Career_History!E34)-Career_History!D34+1),0),IF(Career_History!H35=TRUE,IF(A242&lt;Career_History!D35,0,MIN(A242,Career_History!E35)-Career_History!D35+1),0),IF(Career_History!H36=TRUE,IF(A242&lt;Career_History!D36,0,MIN(A242,Career_History!E36)-Career_History!D36+1),0),IF(Career_History!H37=TRUE,IF(A242&lt;Career_History!D37,0,MIN(A242,Career_History!E37)-Career_History!D37+1),0),IF(Career_History!H38=TRUE,IF(A242&lt;Career_History!D38,0,MIN(A242,Career_History!E38)-Career_History!D38+1),0))/365.2425</f>
        <v>28.838374504609952</v>
      </c>
      <c r="AL242" s="9">
        <f>SUM(IF(Career_History!G39=TRUE,IF(A242&lt;Career_History!D39,0,MIN(A242,Career_History!E39)-Career_History!D39+1),0),IF(Career_History!G40=TRUE,IF(A242&lt;Career_History!D40,0,MIN(A242,Career_History!E40)-Career_History!D40+1),0))/365.2425</f>
        <v>21.50352163288774</v>
      </c>
      <c r="AM242" s="9">
        <f>SUM(IF(Career_History!I39=TRUE,IF(A242&lt;Career_History!D39,0,MIN(A242,Career_History!E39)-Career_History!D39+1),0),IF(Career_History!I40=TRUE,IF(A242&lt;Career_History!D40,0,MIN(A242,Career_History!E40)-Career_History!D40+1),0))/365.2425</f>
        <v>0</v>
      </c>
      <c r="AN242" s="9">
        <f>SUM(IF(Career_History!H39=TRUE,IF(A242&lt;Career_History!D39,0,MIN(A242,Career_History!E39)-Career_History!D39+1),0),IF(Career_History!H40=TRUE,IF(A242&lt;Career_History!D40,0,MIN(A242,Career_History!E40)-Career_History!D40+1),0))/365.2425</f>
        <v>21.50352163288774</v>
      </c>
      <c r="AO242" s="9">
        <f>SUM(IF(Career_History!G41=TRUE,IF(A242&lt;Career_History!D41,0,MIN(A242,Career_History!E41)-Career_History!D41+1),0),IF(Career_History!G42=TRUE,IF(A242&lt;Career_History!D42,0,MIN(A242,Career_History!E42)-Career_History!D42+1),0))/365.2425</f>
        <v>34.503104102069173</v>
      </c>
      <c r="AP242" s="9">
        <f>SUM(IF(Career_History!I41=TRUE,IF(A242&lt;Career_History!D41,0,MIN(A242,Career_History!E41)-Career_History!D41+1),0),IF(Career_History!I42=TRUE,IF(A242&lt;Career_History!D42,0,MIN(A242,Career_History!E42)-Career_History!D42+1),0))/365.2425</f>
        <v>0</v>
      </c>
      <c r="AQ242" s="9">
        <f>SUM(IF(Career_History!H41=TRUE,IF(A242&lt;Career_History!D41,0,MIN(A242,Career_History!E41)-Career_History!D41+1),0),IF(Career_History!H42=TRUE,IF(A242&lt;Career_History!D42,0,MIN(A242,Career_History!E42)-Career_History!D42+1),0))/365.2425</f>
        <v>34.503104102069173</v>
      </c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9"/>
      <c r="BK242" s="9"/>
      <c r="BL242" s="9"/>
      <c r="BM242" s="9"/>
      <c r="BN242" s="9"/>
      <c r="BO242" s="9"/>
    </row>
    <row r="243" spans="1:67">
      <c r="A243" s="8">
        <v>42035</v>
      </c>
      <c r="B243" s="9">
        <f t="shared" si="9"/>
        <v>33.388228368823448</v>
      </c>
      <c r="C243" s="9">
        <f t="shared" si="10"/>
        <v>1.1329459194918443</v>
      </c>
      <c r="D243" s="9">
        <f t="shared" si="11"/>
        <v>23.973661334592769</v>
      </c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>
        <f>SUM(IF(Career_History!G25=TRUE,IF(A243&lt;Career_History!D25,0,MIN(A243,Career_History!E25)-Career_History!D25+1),0),IF(Career_History!G26=TRUE,IF(A243&lt;Career_History!D26,0,MIN(A243,Career_History!E26)-Career_History!D26+1),0),IF(Career_History!G27=TRUE,IF(A243&lt;Career_History!D27,0,MIN(A243,Career_History!E27)-Career_History!D27+1),0),IF(Career_History!G28=TRUE,IF(A243&lt;Career_History!D28,0,MIN(A243,Career_History!E28)-Career_History!D28+1),0),IF(Career_History!G29=TRUE,IF(A243&lt;Career_History!D29,0,MIN(A243,Career_History!E29)-Career_History!D29+1),0))/365.2425</f>
        <v>41.588807436155427</v>
      </c>
      <c r="AD243" s="9">
        <f>SUM(IF(Career_History!I25=TRUE,IF(A243&lt;Career_History!D25,0,MIN(A243,Career_History!E25)-Career_History!D25+1),0),IF(Career_History!I26=TRUE,IF(A243&lt;Career_History!D26,0,MIN(A243,Career_History!E26)-Career_History!D26+1),0),IF(Career_History!I27=TRUE,IF(A243&lt;Career_History!D27,0,MIN(A243,Career_History!E27)-Career_History!D27+1),0),IF(Career_History!I28=TRUE,IF(A243&lt;Career_History!D28,0,MIN(A243,Career_History!E28)-Career_History!D28+1),0),IF(Career_History!I29=TRUE,IF(A243&lt;Career_History!D29,0,MIN(A243,Career_History!E29)-Career_History!D29+1),0))/365.2425</f>
        <v>0</v>
      </c>
      <c r="AE243" s="9">
        <f>SUM(IF(Career_History!H25=TRUE,IF(A243&lt;Career_History!D25,0,MIN(A243,Career_History!E25)-Career_History!D25+1),0),IF(Career_History!H26=TRUE,IF(A243&lt;Career_History!D26,0,MIN(A243,Career_History!E26)-Career_History!D26+1),0),IF(Career_History!H27=TRUE,IF(A243&lt;Career_History!D27,0,MIN(A243,Career_History!E27)-Career_History!D27+1),0),IF(Career_History!H28=TRUE,IF(A243&lt;Career_History!D28,0,MIN(A243,Career_History!E28)-Career_History!D28+1),0),IF(Career_History!H29=TRUE,IF(A243&lt;Career_History!D29,0,MIN(A243,Career_History!E29)-Career_History!D29+1),0))/365.2425</f>
        <v>29.084786135238915</v>
      </c>
      <c r="AF243" s="9">
        <f>SUM(IF(Career_History!G30=TRUE,IF(A243&lt;Career_History!D30,0,MIN(A243,Career_History!E30)-Career_History!D30+1),0),IF(Career_History!G31=TRUE,IF(A243&lt;Career_History!D31,0,MIN(A243,Career_History!E31)-Career_History!D31+1),0),IF(Career_History!G32=TRUE,IF(A243&lt;Career_History!D32,0,MIN(A243,Career_History!E32)-Career_History!D32+1),0))/365.2425</f>
        <v>34.587979219285813</v>
      </c>
      <c r="AG243" s="9">
        <f>SUM(IF(Career_History!I30=TRUE,IF(A243&lt;Career_History!D30,0,MIN(A243,Career_History!E30)-Career_History!D30+1),0),IF(Career_History!I31=TRUE,IF(A243&lt;Career_History!D31,0,MIN(A243,Career_History!E31)-Career_History!D31+1),0),IF(Career_History!I32=TRUE,IF(A243&lt;Career_History!D32,0,MIN(A243,Career_History!E32)-Career_History!D32+1),0))/365.2425</f>
        <v>0</v>
      </c>
      <c r="AH243" s="9">
        <f>SUM(IF(Career_History!H30=TRUE,IF(A243&lt;Career_History!D30,0,MIN(A243,Career_History!E30)-Career_History!D30+1),0),IF(Career_History!H31=TRUE,IF(A243&lt;Career_History!D31,0,MIN(A243,Career_History!E31)-Career_History!D31+1),0),IF(Career_History!H32=TRUE,IF(A243&lt;Career_History!D32,0,MIN(A243,Career_History!E32)-Career_History!D32+1),0))/365.2425</f>
        <v>5.6838949465081416</v>
      </c>
      <c r="AI243" s="9">
        <f>SUM(IF(Career_History!G33=TRUE,IF(A243&lt;Career_History!D33,0,MIN(A243,Career_History!E33)-Career_History!D33+1),0),IF(Career_History!G34=TRUE,IF(A243&lt;Career_History!D34,0,MIN(A243,Career_History!E34)-Career_History!D34+1),0),IF(Career_History!G35=TRUE,IF(A243&lt;Career_History!D35,0,MIN(A243,Career_History!E35)-Career_History!D35+1),0),IF(Career_History!G36=TRUE,IF(A243&lt;Career_History!D36,0,MIN(A243,Career_History!E36)-Career_History!D36+1),0),IF(Career_History!G37=TRUE,IF(A243&lt;Career_History!D37,0,MIN(A243,Career_History!E37)-Career_History!D37+1),0),IF(Career_History!G38=TRUE,IF(A243&lt;Career_History!D38,0,MIN(A243,Career_History!E38)-Career_History!D38+1),0))/365.2425</f>
        <v>34.587979219285813</v>
      </c>
      <c r="AJ243" s="9">
        <f>SUM(IF(Career_History!I33=TRUE,IF(A243&lt;Career_History!D33,0,MIN(A243,Career_History!E33)-Career_History!D33+1),0),IF(Career_History!I34=TRUE,IF(A243&lt;Career_History!D34,0,MIN(A243,Career_History!E34)-Career_History!D34+1),0),IF(Career_History!I35=TRUE,IF(A243&lt;Career_History!D35,0,MIN(A243,Career_History!E35)-Career_History!D35+1),0),IF(Career_History!I36=TRUE,IF(A243&lt;Career_History!D36,0,MIN(A243,Career_History!E36)-Career_History!D36+1),0),IF(Career_History!I37=TRUE,IF(A243&lt;Career_History!D37,0,MIN(A243,Career_History!E37)-Career_History!D37+1),0),IF(Career_History!I38=TRUE,IF(A243&lt;Career_History!D38,0,MIN(A243,Career_History!E38)-Career_History!D38+1),0))/365.2425</f>
        <v>5.664729597459222</v>
      </c>
      <c r="AK243" s="9">
        <f>SUM(IF(Career_History!H33=TRUE,IF(A243&lt;Career_History!D33,0,MIN(A243,Career_History!E33)-Career_History!D33+1),0),IF(Career_History!H34=TRUE,IF(A243&lt;Career_History!D34,0,MIN(A243,Career_History!E34)-Career_History!D34+1),0),IF(Career_History!H35=TRUE,IF(A243&lt;Career_History!D35,0,MIN(A243,Career_History!E35)-Career_History!D35+1),0),IF(Career_History!H36=TRUE,IF(A243&lt;Career_History!D36,0,MIN(A243,Career_History!E36)-Career_History!D36+1),0),IF(Career_History!H37=TRUE,IF(A243&lt;Career_History!D37,0,MIN(A243,Career_History!E37)-Career_History!D37+1),0),IF(Career_History!H38=TRUE,IF(A243&lt;Career_History!D38,0,MIN(A243,Career_History!E38)-Career_History!D38+1),0))/365.2425</f>
        <v>28.923249621826596</v>
      </c>
      <c r="AL243" s="9">
        <f>SUM(IF(Career_History!G39=TRUE,IF(A243&lt;Career_History!D39,0,MIN(A243,Career_History!E39)-Career_History!D39+1),0),IF(Career_History!G40=TRUE,IF(A243&lt;Career_History!D40,0,MIN(A243,Career_History!E40)-Career_History!D40+1),0))/365.2425</f>
        <v>21.588396750104383</v>
      </c>
      <c r="AM243" s="9">
        <f>SUM(IF(Career_History!I39=TRUE,IF(A243&lt;Career_History!D39,0,MIN(A243,Career_History!E39)-Career_History!D39+1),0),IF(Career_History!I40=TRUE,IF(A243&lt;Career_History!D40,0,MIN(A243,Career_History!E40)-Career_History!D40+1),0))/365.2425</f>
        <v>0</v>
      </c>
      <c r="AN243" s="9">
        <f>SUM(IF(Career_History!H39=TRUE,IF(A243&lt;Career_History!D39,0,MIN(A243,Career_History!E39)-Career_History!D39+1),0),IF(Career_History!H40=TRUE,IF(A243&lt;Career_History!D40,0,MIN(A243,Career_History!E40)-Career_History!D40+1),0))/365.2425</f>
        <v>21.588396750104383</v>
      </c>
      <c r="AO243" s="9">
        <f>SUM(IF(Career_History!G41=TRUE,IF(A243&lt;Career_History!D41,0,MIN(A243,Career_History!E41)-Career_History!D41+1),0),IF(Career_History!G42=TRUE,IF(A243&lt;Career_History!D42,0,MIN(A243,Career_History!E42)-Career_History!D42+1),0))/365.2425</f>
        <v>34.587979219285813</v>
      </c>
      <c r="AP243" s="9">
        <f>SUM(IF(Career_History!I41=TRUE,IF(A243&lt;Career_History!D41,0,MIN(A243,Career_History!E41)-Career_History!D41+1),0),IF(Career_History!I42=TRUE,IF(A243&lt;Career_History!D42,0,MIN(A243,Career_History!E42)-Career_History!D42+1),0))/365.2425</f>
        <v>0</v>
      </c>
      <c r="AQ243" s="9">
        <f>SUM(IF(Career_History!H41=TRUE,IF(A243&lt;Career_History!D41,0,MIN(A243,Career_History!E41)-Career_History!D41+1),0),IF(Career_History!H42=TRUE,IF(A243&lt;Career_History!D42,0,MIN(A243,Career_History!E42)-Career_History!D42+1),0))/365.2425</f>
        <v>34.587979219285813</v>
      </c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/>
      <c r="BO243" s="9"/>
    </row>
    <row r="244" spans="1:67">
      <c r="A244" s="8">
        <v>42063</v>
      </c>
      <c r="B244" s="9">
        <f t="shared" si="9"/>
        <v>33.464889765019123</v>
      </c>
      <c r="C244" s="9">
        <f t="shared" si="10"/>
        <v>1.1329459194918443</v>
      </c>
      <c r="D244" s="9">
        <f t="shared" si="11"/>
        <v>24.050322730788444</v>
      </c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>
        <f>SUM(IF(Career_History!G25=TRUE,IF(A244&lt;Career_History!D25,0,MIN(A244,Career_History!E25)-Career_History!D25+1),0),IF(Career_History!G26=TRUE,IF(A244&lt;Career_History!D26,0,MIN(A244,Career_History!E26)-Career_History!D26+1),0),IF(Career_History!G27=TRUE,IF(A244&lt;Career_History!D27,0,MIN(A244,Career_History!E27)-Career_History!D27+1),0),IF(Career_History!G28=TRUE,IF(A244&lt;Career_History!D28,0,MIN(A244,Career_History!E28)-Career_History!D28+1),0),IF(Career_History!G29=TRUE,IF(A244&lt;Career_History!D29,0,MIN(A244,Career_History!E29)-Career_History!D29+1),0))/365.2425</f>
        <v>41.66546883235111</v>
      </c>
      <c r="AD244" s="9">
        <f>SUM(IF(Career_History!I25=TRUE,IF(A244&lt;Career_History!D25,0,MIN(A244,Career_History!E25)-Career_History!D25+1),0),IF(Career_History!I26=TRUE,IF(A244&lt;Career_History!D26,0,MIN(A244,Career_History!E26)-Career_History!D26+1),0),IF(Career_History!I27=TRUE,IF(A244&lt;Career_History!D27,0,MIN(A244,Career_History!E27)-Career_History!D27+1),0),IF(Career_History!I28=TRUE,IF(A244&lt;Career_History!D28,0,MIN(A244,Career_History!E28)-Career_History!D28+1),0),IF(Career_History!I29=TRUE,IF(A244&lt;Career_History!D29,0,MIN(A244,Career_History!E29)-Career_History!D29+1),0))/365.2425</f>
        <v>0</v>
      </c>
      <c r="AE244" s="9">
        <f>SUM(IF(Career_History!H25=TRUE,IF(A244&lt;Career_History!D25,0,MIN(A244,Career_History!E25)-Career_History!D25+1),0),IF(Career_History!H26=TRUE,IF(A244&lt;Career_History!D26,0,MIN(A244,Career_History!E26)-Career_History!D26+1),0),IF(Career_History!H27=TRUE,IF(A244&lt;Career_History!D27,0,MIN(A244,Career_History!E27)-Career_History!D27+1),0),IF(Career_History!H28=TRUE,IF(A244&lt;Career_History!D28,0,MIN(A244,Career_History!E28)-Career_History!D28+1),0),IF(Career_History!H29=TRUE,IF(A244&lt;Career_History!D29,0,MIN(A244,Career_History!E29)-Career_History!D29+1),0))/365.2425</f>
        <v>29.161447531434593</v>
      </c>
      <c r="AF244" s="9">
        <f>SUM(IF(Career_History!G30=TRUE,IF(A244&lt;Career_History!D30,0,MIN(A244,Career_History!E30)-Career_History!D30+1),0),IF(Career_History!G31=TRUE,IF(A244&lt;Career_History!D31,0,MIN(A244,Career_History!E31)-Career_History!D31+1),0),IF(Career_History!G32=TRUE,IF(A244&lt;Career_History!D32,0,MIN(A244,Career_History!E32)-Career_History!D32+1),0))/365.2425</f>
        <v>34.664640615481495</v>
      </c>
      <c r="AG244" s="9">
        <f>SUM(IF(Career_History!I30=TRUE,IF(A244&lt;Career_History!D30,0,MIN(A244,Career_History!E30)-Career_History!D30+1),0),IF(Career_History!I31=TRUE,IF(A244&lt;Career_History!D31,0,MIN(A244,Career_History!E31)-Career_History!D31+1),0),IF(Career_History!I32=TRUE,IF(A244&lt;Career_History!D32,0,MIN(A244,Career_History!E32)-Career_History!D32+1),0))/365.2425</f>
        <v>0</v>
      </c>
      <c r="AH244" s="9">
        <f>SUM(IF(Career_History!H30=TRUE,IF(A244&lt;Career_History!D30,0,MIN(A244,Career_History!E30)-Career_History!D30+1),0),IF(Career_History!H31=TRUE,IF(A244&lt;Career_History!D31,0,MIN(A244,Career_History!E31)-Career_History!D31+1),0),IF(Career_History!H32=TRUE,IF(A244&lt;Career_History!D32,0,MIN(A244,Career_History!E32)-Career_History!D32+1),0))/365.2425</f>
        <v>5.7605563427038202</v>
      </c>
      <c r="AI244" s="9">
        <f>SUM(IF(Career_History!G33=TRUE,IF(A244&lt;Career_History!D33,0,MIN(A244,Career_History!E33)-Career_History!D33+1),0),IF(Career_History!G34=TRUE,IF(A244&lt;Career_History!D34,0,MIN(A244,Career_History!E34)-Career_History!D34+1),0),IF(Career_History!G35=TRUE,IF(A244&lt;Career_History!D35,0,MIN(A244,Career_History!E35)-Career_History!D35+1),0),IF(Career_History!G36=TRUE,IF(A244&lt;Career_History!D36,0,MIN(A244,Career_History!E36)-Career_History!D36+1),0),IF(Career_History!G37=TRUE,IF(A244&lt;Career_History!D37,0,MIN(A244,Career_History!E37)-Career_History!D37+1),0),IF(Career_History!G38=TRUE,IF(A244&lt;Career_History!D38,0,MIN(A244,Career_History!E38)-Career_History!D38+1),0))/365.2425</f>
        <v>34.664640615481495</v>
      </c>
      <c r="AJ244" s="9">
        <f>SUM(IF(Career_History!I33=TRUE,IF(A244&lt;Career_History!D33,0,MIN(A244,Career_History!E33)-Career_History!D33+1),0),IF(Career_History!I34=TRUE,IF(A244&lt;Career_History!D34,0,MIN(A244,Career_History!E34)-Career_History!D34+1),0),IF(Career_History!I35=TRUE,IF(A244&lt;Career_History!D35,0,MIN(A244,Career_History!E35)-Career_History!D35+1),0),IF(Career_History!I36=TRUE,IF(A244&lt;Career_History!D36,0,MIN(A244,Career_History!E36)-Career_History!D36+1),0),IF(Career_History!I37=TRUE,IF(A244&lt;Career_History!D37,0,MIN(A244,Career_History!E37)-Career_History!D37+1),0),IF(Career_History!I38=TRUE,IF(A244&lt;Career_History!D38,0,MIN(A244,Career_History!E38)-Career_History!D38+1),0))/365.2425</f>
        <v>5.664729597459222</v>
      </c>
      <c r="AK244" s="9">
        <f>SUM(IF(Career_History!H33=TRUE,IF(A244&lt;Career_History!D33,0,MIN(A244,Career_History!E33)-Career_History!D33+1),0),IF(Career_History!H34=TRUE,IF(A244&lt;Career_History!D34,0,MIN(A244,Career_History!E34)-Career_History!D34+1),0),IF(Career_History!H35=TRUE,IF(A244&lt;Career_History!D35,0,MIN(A244,Career_History!E35)-Career_History!D35+1),0),IF(Career_History!H36=TRUE,IF(A244&lt;Career_History!D36,0,MIN(A244,Career_History!E36)-Career_History!D36+1),0),IF(Career_History!H37=TRUE,IF(A244&lt;Career_History!D37,0,MIN(A244,Career_History!E37)-Career_History!D37+1),0),IF(Career_History!H38=TRUE,IF(A244&lt;Career_History!D38,0,MIN(A244,Career_History!E38)-Career_History!D38+1),0))/365.2425</f>
        <v>28.999911018022271</v>
      </c>
      <c r="AL244" s="9">
        <f>SUM(IF(Career_History!G39=TRUE,IF(A244&lt;Career_History!D39,0,MIN(A244,Career_History!E39)-Career_History!D39+1),0),IF(Career_History!G40=TRUE,IF(A244&lt;Career_History!D40,0,MIN(A244,Career_History!E40)-Career_History!D40+1),0))/365.2425</f>
        <v>21.665058146300062</v>
      </c>
      <c r="AM244" s="9">
        <f>SUM(IF(Career_History!I39=TRUE,IF(A244&lt;Career_History!D39,0,MIN(A244,Career_History!E39)-Career_History!D39+1),0),IF(Career_History!I40=TRUE,IF(A244&lt;Career_History!D40,0,MIN(A244,Career_History!E40)-Career_History!D40+1),0))/365.2425</f>
        <v>0</v>
      </c>
      <c r="AN244" s="9">
        <f>SUM(IF(Career_History!H39=TRUE,IF(A244&lt;Career_History!D39,0,MIN(A244,Career_History!E39)-Career_History!D39+1),0),IF(Career_History!H40=TRUE,IF(A244&lt;Career_History!D40,0,MIN(A244,Career_History!E40)-Career_History!D40+1),0))/365.2425</f>
        <v>21.665058146300062</v>
      </c>
      <c r="AO244" s="9">
        <f>SUM(IF(Career_History!G41=TRUE,IF(A244&lt;Career_History!D41,0,MIN(A244,Career_History!E41)-Career_History!D41+1),0),IF(Career_History!G42=TRUE,IF(A244&lt;Career_History!D42,0,MIN(A244,Career_History!E42)-Career_History!D42+1),0))/365.2425</f>
        <v>34.664640615481495</v>
      </c>
      <c r="AP244" s="9">
        <f>SUM(IF(Career_History!I41=TRUE,IF(A244&lt;Career_History!D41,0,MIN(A244,Career_History!E41)-Career_History!D41+1),0),IF(Career_History!I42=TRUE,IF(A244&lt;Career_History!D42,0,MIN(A244,Career_History!E42)-Career_History!D42+1),0))/365.2425</f>
        <v>0</v>
      </c>
      <c r="AQ244" s="9">
        <f>SUM(IF(Career_History!H41=TRUE,IF(A244&lt;Career_History!D41,0,MIN(A244,Career_History!E41)-Career_History!D41+1),0),IF(Career_History!H42=TRUE,IF(A244&lt;Career_History!D42,0,MIN(A244,Career_History!E42)-Career_History!D42+1),0))/365.2425</f>
        <v>34.664640615481495</v>
      </c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9"/>
      <c r="BK244" s="9"/>
      <c r="BL244" s="9"/>
      <c r="BM244" s="9"/>
      <c r="BN244" s="9"/>
      <c r="BO244" s="9"/>
    </row>
    <row r="245" spans="1:67">
      <c r="A245" s="8">
        <v>42094</v>
      </c>
      <c r="B245" s="9">
        <f t="shared" si="9"/>
        <v>33.549764882235777</v>
      </c>
      <c r="C245" s="9">
        <f t="shared" si="10"/>
        <v>1.1329459194918443</v>
      </c>
      <c r="D245" s="9">
        <f t="shared" si="11"/>
        <v>24.135197848005095</v>
      </c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>
        <f>SUM(IF(Career_History!G25=TRUE,IF(A245&lt;Career_History!D25,0,MIN(A245,Career_History!E25)-Career_History!D25+1),0),IF(Career_History!G26=TRUE,IF(A245&lt;Career_History!D26,0,MIN(A245,Career_History!E26)-Career_History!D26+1),0),IF(Career_History!G27=TRUE,IF(A245&lt;Career_History!D27,0,MIN(A245,Career_History!E27)-Career_History!D27+1),0),IF(Career_History!G28=TRUE,IF(A245&lt;Career_History!D28,0,MIN(A245,Career_History!E28)-Career_History!D28+1),0),IF(Career_History!G29=TRUE,IF(A245&lt;Career_History!D29,0,MIN(A245,Career_History!E29)-Career_History!D29+1),0))/365.2425</f>
        <v>41.75034394956775</v>
      </c>
      <c r="AD245" s="9">
        <f>SUM(IF(Career_History!I25=TRUE,IF(A245&lt;Career_History!D25,0,MIN(A245,Career_History!E25)-Career_History!D25+1),0),IF(Career_History!I26=TRUE,IF(A245&lt;Career_History!D26,0,MIN(A245,Career_History!E26)-Career_History!D26+1),0),IF(Career_History!I27=TRUE,IF(A245&lt;Career_History!D27,0,MIN(A245,Career_History!E27)-Career_History!D27+1),0),IF(Career_History!I28=TRUE,IF(A245&lt;Career_History!D28,0,MIN(A245,Career_History!E28)-Career_History!D28+1),0),IF(Career_History!I29=TRUE,IF(A245&lt;Career_History!D29,0,MIN(A245,Career_History!E29)-Career_History!D29+1),0))/365.2425</f>
        <v>0</v>
      </c>
      <c r="AE245" s="9">
        <f>SUM(IF(Career_History!H25=TRUE,IF(A245&lt;Career_History!D25,0,MIN(A245,Career_History!E25)-Career_History!D25+1),0),IF(Career_History!H26=TRUE,IF(A245&lt;Career_History!D26,0,MIN(A245,Career_History!E26)-Career_History!D26+1),0),IF(Career_History!H27=TRUE,IF(A245&lt;Career_History!D27,0,MIN(A245,Career_History!E27)-Career_History!D27+1),0),IF(Career_History!H28=TRUE,IF(A245&lt;Career_History!D28,0,MIN(A245,Career_History!E28)-Career_History!D28+1),0),IF(Career_History!H29=TRUE,IF(A245&lt;Career_History!D29,0,MIN(A245,Career_History!E29)-Career_History!D29+1),0))/365.2425</f>
        <v>29.246322648651237</v>
      </c>
      <c r="AF245" s="9">
        <f>SUM(IF(Career_History!G30=TRUE,IF(A245&lt;Career_History!D30,0,MIN(A245,Career_History!E30)-Career_History!D30+1),0),IF(Career_History!G31=TRUE,IF(A245&lt;Career_History!D31,0,MIN(A245,Career_History!E31)-Career_History!D31+1),0),IF(Career_History!G32=TRUE,IF(A245&lt;Career_History!D32,0,MIN(A245,Career_History!E32)-Career_History!D32+1),0))/365.2425</f>
        <v>34.749515732698136</v>
      </c>
      <c r="AG245" s="9">
        <f>SUM(IF(Career_History!I30=TRUE,IF(A245&lt;Career_History!D30,0,MIN(A245,Career_History!E30)-Career_History!D30+1),0),IF(Career_History!I31=TRUE,IF(A245&lt;Career_History!D31,0,MIN(A245,Career_History!E31)-Career_History!D31+1),0),IF(Career_History!I32=TRUE,IF(A245&lt;Career_History!D32,0,MIN(A245,Career_History!E32)-Career_History!D32+1),0))/365.2425</f>
        <v>0</v>
      </c>
      <c r="AH245" s="9">
        <f>SUM(IF(Career_History!H30=TRUE,IF(A245&lt;Career_History!D30,0,MIN(A245,Career_History!E30)-Career_History!D30+1),0),IF(Career_History!H31=TRUE,IF(A245&lt;Career_History!D31,0,MIN(A245,Career_History!E31)-Career_History!D31+1),0),IF(Career_History!H32=TRUE,IF(A245&lt;Career_History!D32,0,MIN(A245,Career_History!E32)-Career_History!D32+1),0))/365.2425</f>
        <v>5.845431459920464</v>
      </c>
      <c r="AI245" s="9">
        <f>SUM(IF(Career_History!G33=TRUE,IF(A245&lt;Career_History!D33,0,MIN(A245,Career_History!E33)-Career_History!D33+1),0),IF(Career_History!G34=TRUE,IF(A245&lt;Career_History!D34,0,MIN(A245,Career_History!E34)-Career_History!D34+1),0),IF(Career_History!G35=TRUE,IF(A245&lt;Career_History!D35,0,MIN(A245,Career_History!E35)-Career_History!D35+1),0),IF(Career_History!G36=TRUE,IF(A245&lt;Career_History!D36,0,MIN(A245,Career_History!E36)-Career_History!D36+1),0),IF(Career_History!G37=TRUE,IF(A245&lt;Career_History!D37,0,MIN(A245,Career_History!E37)-Career_History!D37+1),0),IF(Career_History!G38=TRUE,IF(A245&lt;Career_History!D38,0,MIN(A245,Career_History!E38)-Career_History!D38+1),0))/365.2425</f>
        <v>34.749515732698136</v>
      </c>
      <c r="AJ245" s="9">
        <f>SUM(IF(Career_History!I33=TRUE,IF(A245&lt;Career_History!D33,0,MIN(A245,Career_History!E33)-Career_History!D33+1),0),IF(Career_History!I34=TRUE,IF(A245&lt;Career_History!D34,0,MIN(A245,Career_History!E34)-Career_History!D34+1),0),IF(Career_History!I35=TRUE,IF(A245&lt;Career_History!D35,0,MIN(A245,Career_History!E35)-Career_History!D35+1),0),IF(Career_History!I36=TRUE,IF(A245&lt;Career_History!D36,0,MIN(A245,Career_History!E36)-Career_History!D36+1),0),IF(Career_History!I37=TRUE,IF(A245&lt;Career_History!D37,0,MIN(A245,Career_History!E37)-Career_History!D37+1),0),IF(Career_History!I38=TRUE,IF(A245&lt;Career_History!D38,0,MIN(A245,Career_History!E38)-Career_History!D38+1),0))/365.2425</f>
        <v>5.664729597459222</v>
      </c>
      <c r="AK245" s="9">
        <f>SUM(IF(Career_History!H33=TRUE,IF(A245&lt;Career_History!D33,0,MIN(A245,Career_History!E33)-Career_History!D33+1),0),IF(Career_History!H34=TRUE,IF(A245&lt;Career_History!D34,0,MIN(A245,Career_History!E34)-Career_History!D34+1),0),IF(Career_History!H35=TRUE,IF(A245&lt;Career_History!D35,0,MIN(A245,Career_History!E35)-Career_History!D35+1),0),IF(Career_History!H36=TRUE,IF(A245&lt;Career_History!D36,0,MIN(A245,Career_History!E36)-Career_History!D36+1),0),IF(Career_History!H37=TRUE,IF(A245&lt;Career_History!D37,0,MIN(A245,Career_History!E37)-Career_History!D37+1),0),IF(Career_History!H38=TRUE,IF(A245&lt;Career_History!D38,0,MIN(A245,Career_History!E38)-Career_History!D38+1),0))/365.2425</f>
        <v>29.084786135238915</v>
      </c>
      <c r="AL245" s="9">
        <f>SUM(IF(Career_History!G39=TRUE,IF(A245&lt;Career_History!D39,0,MIN(A245,Career_History!E39)-Career_History!D39+1),0),IF(Career_History!G40=TRUE,IF(A245&lt;Career_History!D40,0,MIN(A245,Career_History!E40)-Career_History!D40+1),0))/365.2425</f>
        <v>21.749933263516706</v>
      </c>
      <c r="AM245" s="9">
        <f>SUM(IF(Career_History!I39=TRUE,IF(A245&lt;Career_History!D39,0,MIN(A245,Career_History!E39)-Career_History!D39+1),0),IF(Career_History!I40=TRUE,IF(A245&lt;Career_History!D40,0,MIN(A245,Career_History!E40)-Career_History!D40+1),0))/365.2425</f>
        <v>0</v>
      </c>
      <c r="AN245" s="9">
        <f>SUM(IF(Career_History!H39=TRUE,IF(A245&lt;Career_History!D39,0,MIN(A245,Career_History!E39)-Career_History!D39+1),0),IF(Career_History!H40=TRUE,IF(A245&lt;Career_History!D40,0,MIN(A245,Career_History!E40)-Career_History!D40+1),0))/365.2425</f>
        <v>21.749933263516706</v>
      </c>
      <c r="AO245" s="9">
        <f>SUM(IF(Career_History!G41=TRUE,IF(A245&lt;Career_History!D41,0,MIN(A245,Career_History!E41)-Career_History!D41+1),0),IF(Career_History!G42=TRUE,IF(A245&lt;Career_History!D42,0,MIN(A245,Career_History!E42)-Career_History!D42+1),0))/365.2425</f>
        <v>34.749515732698136</v>
      </c>
      <c r="AP245" s="9">
        <f>SUM(IF(Career_History!I41=TRUE,IF(A245&lt;Career_History!D41,0,MIN(A245,Career_History!E41)-Career_History!D41+1),0),IF(Career_History!I42=TRUE,IF(A245&lt;Career_History!D42,0,MIN(A245,Career_History!E42)-Career_History!D42+1),0))/365.2425</f>
        <v>0</v>
      </c>
      <c r="AQ245" s="9">
        <f>SUM(IF(Career_History!H41=TRUE,IF(A245&lt;Career_History!D41,0,MIN(A245,Career_History!E41)-Career_History!D41+1),0),IF(Career_History!H42=TRUE,IF(A245&lt;Career_History!D42,0,MIN(A245,Career_History!E42)-Career_History!D42+1),0))/365.2425</f>
        <v>34.749515732698136</v>
      </c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9"/>
      <c r="BN245" s="9"/>
      <c r="BO245" s="9"/>
    </row>
    <row r="246" spans="1:67">
      <c r="A246" s="8">
        <v>42124</v>
      </c>
      <c r="B246" s="9">
        <f t="shared" si="9"/>
        <v>33.631902092445429</v>
      </c>
      <c r="C246" s="9">
        <f t="shared" si="10"/>
        <v>1.1329459194918443</v>
      </c>
      <c r="D246" s="9">
        <f t="shared" si="11"/>
        <v>24.217335058214747</v>
      </c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>
        <f>SUM(IF(Career_History!G25=TRUE,IF(A246&lt;Career_History!D25,0,MIN(A246,Career_History!E25)-Career_History!D25+1),0),IF(Career_History!G26=TRUE,IF(A246&lt;Career_History!D26,0,MIN(A246,Career_History!E26)-Career_History!D26+1),0),IF(Career_History!G27=TRUE,IF(A246&lt;Career_History!D27,0,MIN(A246,Career_History!E27)-Career_History!D27+1),0),IF(Career_History!G28=TRUE,IF(A246&lt;Career_History!D28,0,MIN(A246,Career_History!E28)-Career_History!D28+1),0),IF(Career_History!G29=TRUE,IF(A246&lt;Career_History!D29,0,MIN(A246,Career_History!E29)-Career_History!D29+1),0))/365.2425</f>
        <v>41.832481159777409</v>
      </c>
      <c r="AD246" s="9">
        <f>SUM(IF(Career_History!I25=TRUE,IF(A246&lt;Career_History!D25,0,MIN(A246,Career_History!E25)-Career_History!D25+1),0),IF(Career_History!I26=TRUE,IF(A246&lt;Career_History!D26,0,MIN(A246,Career_History!E26)-Career_History!D26+1),0),IF(Career_History!I27=TRUE,IF(A246&lt;Career_History!D27,0,MIN(A246,Career_History!E27)-Career_History!D27+1),0),IF(Career_History!I28=TRUE,IF(A246&lt;Career_History!D28,0,MIN(A246,Career_History!E28)-Career_History!D28+1),0),IF(Career_History!I29=TRUE,IF(A246&lt;Career_History!D29,0,MIN(A246,Career_History!E29)-Career_History!D29+1),0))/365.2425</f>
        <v>0</v>
      </c>
      <c r="AE246" s="9">
        <f>SUM(IF(Career_History!H25=TRUE,IF(A246&lt;Career_History!D25,0,MIN(A246,Career_History!E25)-Career_History!D25+1),0),IF(Career_History!H26=TRUE,IF(A246&lt;Career_History!D26,0,MIN(A246,Career_History!E26)-Career_History!D26+1),0),IF(Career_History!H27=TRUE,IF(A246&lt;Career_History!D27,0,MIN(A246,Career_History!E27)-Career_History!D27+1),0),IF(Career_History!H28=TRUE,IF(A246&lt;Career_History!D28,0,MIN(A246,Career_History!E28)-Career_History!D28+1),0),IF(Career_History!H29=TRUE,IF(A246&lt;Career_History!D29,0,MIN(A246,Career_History!E29)-Career_History!D29+1),0))/365.2425</f>
        <v>29.328459858860892</v>
      </c>
      <c r="AF246" s="9">
        <f>SUM(IF(Career_History!G30=TRUE,IF(A246&lt;Career_History!D30,0,MIN(A246,Career_History!E30)-Career_History!D30+1),0),IF(Career_History!G31=TRUE,IF(A246&lt;Career_History!D31,0,MIN(A246,Career_History!E31)-Career_History!D31+1),0),IF(Career_History!G32=TRUE,IF(A246&lt;Career_History!D32,0,MIN(A246,Career_History!E32)-Career_History!D32+1),0))/365.2425</f>
        <v>34.831652942907795</v>
      </c>
      <c r="AG246" s="9">
        <f>SUM(IF(Career_History!I30=TRUE,IF(A246&lt;Career_History!D30,0,MIN(A246,Career_History!E30)-Career_History!D30+1),0),IF(Career_History!I31=TRUE,IF(A246&lt;Career_History!D31,0,MIN(A246,Career_History!E31)-Career_History!D31+1),0),IF(Career_History!I32=TRUE,IF(A246&lt;Career_History!D32,0,MIN(A246,Career_History!E32)-Career_History!D32+1),0))/365.2425</f>
        <v>0</v>
      </c>
      <c r="AH246" s="9">
        <f>SUM(IF(Career_History!H30=TRUE,IF(A246&lt;Career_History!D30,0,MIN(A246,Career_History!E30)-Career_History!D30+1),0),IF(Career_History!H31=TRUE,IF(A246&lt;Career_History!D31,0,MIN(A246,Career_History!E31)-Career_History!D31+1),0),IF(Career_History!H32=TRUE,IF(A246&lt;Career_History!D32,0,MIN(A246,Career_History!E32)-Career_History!D32+1),0))/365.2425</f>
        <v>5.9275686701301193</v>
      </c>
      <c r="AI246" s="9">
        <f>SUM(IF(Career_History!G33=TRUE,IF(A246&lt;Career_History!D33,0,MIN(A246,Career_History!E33)-Career_History!D33+1),0),IF(Career_History!G34=TRUE,IF(A246&lt;Career_History!D34,0,MIN(A246,Career_History!E34)-Career_History!D34+1),0),IF(Career_History!G35=TRUE,IF(A246&lt;Career_History!D35,0,MIN(A246,Career_History!E35)-Career_History!D35+1),0),IF(Career_History!G36=TRUE,IF(A246&lt;Career_History!D36,0,MIN(A246,Career_History!E36)-Career_History!D36+1),0),IF(Career_History!G37=TRUE,IF(A246&lt;Career_History!D37,0,MIN(A246,Career_History!E37)-Career_History!D37+1),0),IF(Career_History!G38=TRUE,IF(A246&lt;Career_History!D38,0,MIN(A246,Career_History!E38)-Career_History!D38+1),0))/365.2425</f>
        <v>34.831652942907795</v>
      </c>
      <c r="AJ246" s="9">
        <f>SUM(IF(Career_History!I33=TRUE,IF(A246&lt;Career_History!D33,0,MIN(A246,Career_History!E33)-Career_History!D33+1),0),IF(Career_History!I34=TRUE,IF(A246&lt;Career_History!D34,0,MIN(A246,Career_History!E34)-Career_History!D34+1),0),IF(Career_History!I35=TRUE,IF(A246&lt;Career_History!D35,0,MIN(A246,Career_History!E35)-Career_History!D35+1),0),IF(Career_History!I36=TRUE,IF(A246&lt;Career_History!D36,0,MIN(A246,Career_History!E36)-Career_History!D36+1),0),IF(Career_History!I37=TRUE,IF(A246&lt;Career_History!D37,0,MIN(A246,Career_History!E37)-Career_History!D37+1),0),IF(Career_History!I38=TRUE,IF(A246&lt;Career_History!D38,0,MIN(A246,Career_History!E38)-Career_History!D38+1),0))/365.2425</f>
        <v>5.664729597459222</v>
      </c>
      <c r="AK246" s="9">
        <f>SUM(IF(Career_History!H33=TRUE,IF(A246&lt;Career_History!D33,0,MIN(A246,Career_History!E33)-Career_History!D33+1),0),IF(Career_History!H34=TRUE,IF(A246&lt;Career_History!D34,0,MIN(A246,Career_History!E34)-Career_History!D34+1),0),IF(Career_History!H35=TRUE,IF(A246&lt;Career_History!D35,0,MIN(A246,Career_History!E35)-Career_History!D35+1),0),IF(Career_History!H36=TRUE,IF(A246&lt;Career_History!D36,0,MIN(A246,Career_History!E36)-Career_History!D36+1),0),IF(Career_History!H37=TRUE,IF(A246&lt;Career_History!D37,0,MIN(A246,Career_History!E37)-Career_History!D37+1),0),IF(Career_History!H38=TRUE,IF(A246&lt;Career_History!D38,0,MIN(A246,Career_History!E38)-Career_History!D38+1),0))/365.2425</f>
        <v>29.16692334544857</v>
      </c>
      <c r="AL246" s="9">
        <f>SUM(IF(Career_History!G39=TRUE,IF(A246&lt;Career_History!D39,0,MIN(A246,Career_History!E39)-Career_History!D39+1),0),IF(Career_History!G40=TRUE,IF(A246&lt;Career_History!D40,0,MIN(A246,Career_History!E40)-Career_History!D40+1),0))/365.2425</f>
        <v>21.832070473726361</v>
      </c>
      <c r="AM246" s="9">
        <f>SUM(IF(Career_History!I39=TRUE,IF(A246&lt;Career_History!D39,0,MIN(A246,Career_History!E39)-Career_History!D39+1),0),IF(Career_History!I40=TRUE,IF(A246&lt;Career_History!D40,0,MIN(A246,Career_History!E40)-Career_History!D40+1),0))/365.2425</f>
        <v>0</v>
      </c>
      <c r="AN246" s="9">
        <f>SUM(IF(Career_History!H39=TRUE,IF(A246&lt;Career_History!D39,0,MIN(A246,Career_History!E39)-Career_History!D39+1),0),IF(Career_History!H40=TRUE,IF(A246&lt;Career_History!D40,0,MIN(A246,Career_History!E40)-Career_History!D40+1),0))/365.2425</f>
        <v>21.832070473726361</v>
      </c>
      <c r="AO246" s="9">
        <f>SUM(IF(Career_History!G41=TRUE,IF(A246&lt;Career_History!D41,0,MIN(A246,Career_History!E41)-Career_History!D41+1),0),IF(Career_History!G42=TRUE,IF(A246&lt;Career_History!D42,0,MIN(A246,Career_History!E42)-Career_History!D42+1),0))/365.2425</f>
        <v>34.831652942907795</v>
      </c>
      <c r="AP246" s="9">
        <f>SUM(IF(Career_History!I41=TRUE,IF(A246&lt;Career_History!D41,0,MIN(A246,Career_History!E41)-Career_History!D41+1),0),IF(Career_History!I42=TRUE,IF(A246&lt;Career_History!D42,0,MIN(A246,Career_History!E42)-Career_History!D42+1),0))/365.2425</f>
        <v>0</v>
      </c>
      <c r="AQ246" s="9">
        <f>SUM(IF(Career_History!H41=TRUE,IF(A246&lt;Career_History!D41,0,MIN(A246,Career_History!E41)-Career_History!D41+1),0),IF(Career_History!H42=TRUE,IF(A246&lt;Career_History!D42,0,MIN(A246,Career_History!E42)-Career_History!D42+1),0))/365.2425</f>
        <v>34.831652942907795</v>
      </c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9"/>
      <c r="BK246" s="9"/>
      <c r="BL246" s="9"/>
      <c r="BM246" s="9"/>
      <c r="BN246" s="9"/>
      <c r="BO246" s="9"/>
    </row>
    <row r="247" spans="1:67">
      <c r="A247" s="8">
        <v>42155</v>
      </c>
      <c r="B247" s="9">
        <f t="shared" si="9"/>
        <v>33.716777209662077</v>
      </c>
      <c r="C247" s="9">
        <f t="shared" si="10"/>
        <v>1.1329459194918443</v>
      </c>
      <c r="D247" s="9">
        <f t="shared" si="11"/>
        <v>24.302210175431391</v>
      </c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>
        <f>SUM(IF(Career_History!G25=TRUE,IF(A247&lt;Career_History!D25,0,MIN(A247,Career_History!E25)-Career_History!D25+1),0),IF(Career_History!G26=TRUE,IF(A247&lt;Career_History!D26,0,MIN(A247,Career_History!E26)-Career_History!D26+1),0),IF(Career_History!G27=TRUE,IF(A247&lt;Career_History!D27,0,MIN(A247,Career_History!E27)-Career_History!D27+1),0),IF(Career_History!G28=TRUE,IF(A247&lt;Career_History!D28,0,MIN(A247,Career_History!E28)-Career_History!D28+1),0),IF(Career_History!G29=TRUE,IF(A247&lt;Career_History!D29,0,MIN(A247,Career_History!E29)-Career_History!D29+1),0))/365.2425</f>
        <v>41.917356276994049</v>
      </c>
      <c r="AD247" s="9">
        <f>SUM(IF(Career_History!I25=TRUE,IF(A247&lt;Career_History!D25,0,MIN(A247,Career_History!E25)-Career_History!D25+1),0),IF(Career_History!I26=TRUE,IF(A247&lt;Career_History!D26,0,MIN(A247,Career_History!E26)-Career_History!D26+1),0),IF(Career_History!I27=TRUE,IF(A247&lt;Career_History!D27,0,MIN(A247,Career_History!E27)-Career_History!D27+1),0),IF(Career_History!I28=TRUE,IF(A247&lt;Career_History!D28,0,MIN(A247,Career_History!E28)-Career_History!D28+1),0),IF(Career_History!I29=TRUE,IF(A247&lt;Career_History!D29,0,MIN(A247,Career_History!E29)-Career_History!D29+1),0))/365.2425</f>
        <v>0</v>
      </c>
      <c r="AE247" s="9">
        <f>SUM(IF(Career_History!H25=TRUE,IF(A247&lt;Career_History!D25,0,MIN(A247,Career_History!E25)-Career_History!D25+1),0),IF(Career_History!H26=TRUE,IF(A247&lt;Career_History!D26,0,MIN(A247,Career_History!E26)-Career_History!D26+1),0),IF(Career_History!H27=TRUE,IF(A247&lt;Career_History!D27,0,MIN(A247,Career_History!E27)-Career_History!D27+1),0),IF(Career_History!H28=TRUE,IF(A247&lt;Career_History!D28,0,MIN(A247,Career_History!E28)-Career_History!D28+1),0),IF(Career_History!H29=TRUE,IF(A247&lt;Career_History!D29,0,MIN(A247,Career_History!E29)-Career_History!D29+1),0))/365.2425</f>
        <v>29.413334976077536</v>
      </c>
      <c r="AF247" s="9">
        <f>SUM(IF(Career_History!G30=TRUE,IF(A247&lt;Career_History!D30,0,MIN(A247,Career_History!E30)-Career_History!D30+1),0),IF(Career_History!G31=TRUE,IF(A247&lt;Career_History!D31,0,MIN(A247,Career_History!E31)-Career_History!D31+1),0),IF(Career_History!G32=TRUE,IF(A247&lt;Career_History!D32,0,MIN(A247,Career_History!E32)-Career_History!D32+1),0))/365.2425</f>
        <v>34.916528060124435</v>
      </c>
      <c r="AG247" s="9">
        <f>SUM(IF(Career_History!I30=TRUE,IF(A247&lt;Career_History!D30,0,MIN(A247,Career_History!E30)-Career_History!D30+1),0),IF(Career_History!I31=TRUE,IF(A247&lt;Career_History!D31,0,MIN(A247,Career_History!E31)-Career_History!D31+1),0),IF(Career_History!I32=TRUE,IF(A247&lt;Career_History!D32,0,MIN(A247,Career_History!E32)-Career_History!D32+1),0))/365.2425</f>
        <v>0</v>
      </c>
      <c r="AH247" s="9">
        <f>SUM(IF(Career_History!H30=TRUE,IF(A247&lt;Career_History!D30,0,MIN(A247,Career_History!E30)-Career_History!D30+1),0),IF(Career_History!H31=TRUE,IF(A247&lt;Career_History!D31,0,MIN(A247,Career_History!E31)-Career_History!D31+1),0),IF(Career_History!H32=TRUE,IF(A247&lt;Career_History!D32,0,MIN(A247,Career_History!E32)-Career_History!D32+1),0))/365.2425</f>
        <v>6.0124437873467622</v>
      </c>
      <c r="AI247" s="9">
        <f>SUM(IF(Career_History!G33=TRUE,IF(A247&lt;Career_History!D33,0,MIN(A247,Career_History!E33)-Career_History!D33+1),0),IF(Career_History!G34=TRUE,IF(A247&lt;Career_History!D34,0,MIN(A247,Career_History!E34)-Career_History!D34+1),0),IF(Career_History!G35=TRUE,IF(A247&lt;Career_History!D35,0,MIN(A247,Career_History!E35)-Career_History!D35+1),0),IF(Career_History!G36=TRUE,IF(A247&lt;Career_History!D36,0,MIN(A247,Career_History!E36)-Career_History!D36+1),0),IF(Career_History!G37=TRUE,IF(A247&lt;Career_History!D37,0,MIN(A247,Career_History!E37)-Career_History!D37+1),0),IF(Career_History!G38=TRUE,IF(A247&lt;Career_History!D38,0,MIN(A247,Career_History!E38)-Career_History!D38+1),0))/365.2425</f>
        <v>34.916528060124435</v>
      </c>
      <c r="AJ247" s="9">
        <f>SUM(IF(Career_History!I33=TRUE,IF(A247&lt;Career_History!D33,0,MIN(A247,Career_History!E33)-Career_History!D33+1),0),IF(Career_History!I34=TRUE,IF(A247&lt;Career_History!D34,0,MIN(A247,Career_History!E34)-Career_History!D34+1),0),IF(Career_History!I35=TRUE,IF(A247&lt;Career_History!D35,0,MIN(A247,Career_History!E35)-Career_History!D35+1),0),IF(Career_History!I36=TRUE,IF(A247&lt;Career_History!D36,0,MIN(A247,Career_History!E36)-Career_History!D36+1),0),IF(Career_History!I37=TRUE,IF(A247&lt;Career_History!D37,0,MIN(A247,Career_History!E37)-Career_History!D37+1),0),IF(Career_History!I38=TRUE,IF(A247&lt;Career_History!D38,0,MIN(A247,Career_History!E38)-Career_History!D38+1),0))/365.2425</f>
        <v>5.664729597459222</v>
      </c>
      <c r="AK247" s="9">
        <f>SUM(IF(Career_History!H33=TRUE,IF(A247&lt;Career_History!D33,0,MIN(A247,Career_History!E33)-Career_History!D33+1),0),IF(Career_History!H34=TRUE,IF(A247&lt;Career_History!D34,0,MIN(A247,Career_History!E34)-Career_History!D34+1),0),IF(Career_History!H35=TRUE,IF(A247&lt;Career_History!D35,0,MIN(A247,Career_History!E35)-Career_History!D35+1),0),IF(Career_History!H36=TRUE,IF(A247&lt;Career_History!D36,0,MIN(A247,Career_History!E36)-Career_History!D36+1),0),IF(Career_History!H37=TRUE,IF(A247&lt;Career_History!D37,0,MIN(A247,Career_History!E37)-Career_History!D37+1),0),IF(Career_History!H38=TRUE,IF(A247&lt;Career_History!D38,0,MIN(A247,Career_History!E38)-Career_History!D38+1),0))/365.2425</f>
        <v>29.251798462665214</v>
      </c>
      <c r="AL247" s="9">
        <f>SUM(IF(Career_History!G39=TRUE,IF(A247&lt;Career_History!D39,0,MIN(A247,Career_History!E39)-Career_History!D39+1),0),IF(Career_History!G40=TRUE,IF(A247&lt;Career_History!D40,0,MIN(A247,Career_History!E40)-Career_History!D40+1),0))/365.2425</f>
        <v>21.916945590943005</v>
      </c>
      <c r="AM247" s="9">
        <f>SUM(IF(Career_History!I39=TRUE,IF(A247&lt;Career_History!D39,0,MIN(A247,Career_History!E39)-Career_History!D39+1),0),IF(Career_History!I40=TRUE,IF(A247&lt;Career_History!D40,0,MIN(A247,Career_History!E40)-Career_History!D40+1),0))/365.2425</f>
        <v>0</v>
      </c>
      <c r="AN247" s="9">
        <f>SUM(IF(Career_History!H39=TRUE,IF(A247&lt;Career_History!D39,0,MIN(A247,Career_History!E39)-Career_History!D39+1),0),IF(Career_History!H40=TRUE,IF(A247&lt;Career_History!D40,0,MIN(A247,Career_History!E40)-Career_History!D40+1),0))/365.2425</f>
        <v>21.916945590943005</v>
      </c>
      <c r="AO247" s="9">
        <f>SUM(IF(Career_History!G41=TRUE,IF(A247&lt;Career_History!D41,0,MIN(A247,Career_History!E41)-Career_History!D41+1),0),IF(Career_History!G42=TRUE,IF(A247&lt;Career_History!D42,0,MIN(A247,Career_History!E42)-Career_History!D42+1),0))/365.2425</f>
        <v>34.916528060124435</v>
      </c>
      <c r="AP247" s="9">
        <f>SUM(IF(Career_History!I41=TRUE,IF(A247&lt;Career_History!D41,0,MIN(A247,Career_History!E41)-Career_History!D41+1),0),IF(Career_History!I42=TRUE,IF(A247&lt;Career_History!D42,0,MIN(A247,Career_History!E42)-Career_History!D42+1),0))/365.2425</f>
        <v>0</v>
      </c>
      <c r="AQ247" s="9">
        <f>SUM(IF(Career_History!H41=TRUE,IF(A247&lt;Career_History!D41,0,MIN(A247,Career_History!E41)-Career_History!D41+1),0),IF(Career_History!H42=TRUE,IF(A247&lt;Career_History!D42,0,MIN(A247,Career_History!E42)-Career_History!D42+1),0))/365.2425</f>
        <v>34.916528060124435</v>
      </c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9"/>
      <c r="BK247" s="9"/>
      <c r="BL247" s="9"/>
      <c r="BM247" s="9"/>
      <c r="BN247" s="9"/>
      <c r="BO247" s="9"/>
    </row>
    <row r="248" spans="1:67">
      <c r="A248" s="8">
        <v>42185</v>
      </c>
      <c r="B248" s="9">
        <f t="shared" si="9"/>
        <v>33.798914419871736</v>
      </c>
      <c r="C248" s="9">
        <f t="shared" si="10"/>
        <v>1.1329459194918443</v>
      </c>
      <c r="D248" s="9">
        <f t="shared" si="11"/>
        <v>24.384347385641046</v>
      </c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>
        <f>SUM(IF(Career_History!G25=TRUE,IF(A248&lt;Career_History!D25,0,MIN(A248,Career_History!E25)-Career_History!D25+1),0),IF(Career_History!G26=TRUE,IF(A248&lt;Career_History!D26,0,MIN(A248,Career_History!E26)-Career_History!D26+1),0),IF(Career_History!G27=TRUE,IF(A248&lt;Career_History!D27,0,MIN(A248,Career_History!E27)-Career_History!D27+1),0),IF(Career_History!G28=TRUE,IF(A248&lt;Career_History!D28,0,MIN(A248,Career_History!E28)-Career_History!D28+1),0),IF(Career_History!G29=TRUE,IF(A248&lt;Career_History!D29,0,MIN(A248,Career_History!E29)-Career_History!D29+1),0))/365.2425</f>
        <v>41.999493487203708</v>
      </c>
      <c r="AD248" s="9">
        <f>SUM(IF(Career_History!I25=TRUE,IF(A248&lt;Career_History!D25,0,MIN(A248,Career_History!E25)-Career_History!D25+1),0),IF(Career_History!I26=TRUE,IF(A248&lt;Career_History!D26,0,MIN(A248,Career_History!E26)-Career_History!D26+1),0),IF(Career_History!I27=TRUE,IF(A248&lt;Career_History!D27,0,MIN(A248,Career_History!E27)-Career_History!D27+1),0),IF(Career_History!I28=TRUE,IF(A248&lt;Career_History!D28,0,MIN(A248,Career_History!E28)-Career_History!D28+1),0),IF(Career_History!I29=TRUE,IF(A248&lt;Career_History!D29,0,MIN(A248,Career_History!E29)-Career_History!D29+1),0))/365.2425</f>
        <v>0</v>
      </c>
      <c r="AE248" s="9">
        <f>SUM(IF(Career_History!H25=TRUE,IF(A248&lt;Career_History!D25,0,MIN(A248,Career_History!E25)-Career_History!D25+1),0),IF(Career_History!H26=TRUE,IF(A248&lt;Career_History!D26,0,MIN(A248,Career_History!E26)-Career_History!D26+1),0),IF(Career_History!H27=TRUE,IF(A248&lt;Career_History!D27,0,MIN(A248,Career_History!E27)-Career_History!D27+1),0),IF(Career_History!H28=TRUE,IF(A248&lt;Career_History!D28,0,MIN(A248,Career_History!E28)-Career_History!D28+1),0),IF(Career_History!H29=TRUE,IF(A248&lt;Career_History!D29,0,MIN(A248,Career_History!E29)-Career_History!D29+1),0))/365.2425</f>
        <v>29.495472186287191</v>
      </c>
      <c r="AF248" s="9">
        <f>SUM(IF(Career_History!G30=TRUE,IF(A248&lt;Career_History!D30,0,MIN(A248,Career_History!E30)-Career_History!D30+1),0),IF(Career_History!G31=TRUE,IF(A248&lt;Career_History!D31,0,MIN(A248,Career_History!E31)-Career_History!D31+1),0),IF(Career_History!G32=TRUE,IF(A248&lt;Career_History!D32,0,MIN(A248,Career_History!E32)-Career_History!D32+1),0))/365.2425</f>
        <v>34.998665270334094</v>
      </c>
      <c r="AG248" s="9">
        <f>SUM(IF(Career_History!I30=TRUE,IF(A248&lt;Career_History!D30,0,MIN(A248,Career_History!E30)-Career_History!D30+1),0),IF(Career_History!I31=TRUE,IF(A248&lt;Career_History!D31,0,MIN(A248,Career_History!E31)-Career_History!D31+1),0),IF(Career_History!I32=TRUE,IF(A248&lt;Career_History!D32,0,MIN(A248,Career_History!E32)-Career_History!D32+1),0))/365.2425</f>
        <v>0</v>
      </c>
      <c r="AH248" s="9">
        <f>SUM(IF(Career_History!H30=TRUE,IF(A248&lt;Career_History!D30,0,MIN(A248,Career_History!E30)-Career_History!D30+1),0),IF(Career_History!H31=TRUE,IF(A248&lt;Career_History!D31,0,MIN(A248,Career_History!E31)-Career_History!D31+1),0),IF(Career_History!H32=TRUE,IF(A248&lt;Career_History!D32,0,MIN(A248,Career_History!E32)-Career_History!D32+1),0))/365.2425</f>
        <v>6.0945809975564176</v>
      </c>
      <c r="AI248" s="9">
        <f>SUM(IF(Career_History!G33=TRUE,IF(A248&lt;Career_History!D33,0,MIN(A248,Career_History!E33)-Career_History!D33+1),0),IF(Career_History!G34=TRUE,IF(A248&lt;Career_History!D34,0,MIN(A248,Career_History!E34)-Career_History!D34+1),0),IF(Career_History!G35=TRUE,IF(A248&lt;Career_History!D35,0,MIN(A248,Career_History!E35)-Career_History!D35+1),0),IF(Career_History!G36=TRUE,IF(A248&lt;Career_History!D36,0,MIN(A248,Career_History!E36)-Career_History!D36+1),0),IF(Career_History!G37=TRUE,IF(A248&lt;Career_History!D37,0,MIN(A248,Career_History!E37)-Career_History!D37+1),0),IF(Career_History!G38=TRUE,IF(A248&lt;Career_History!D38,0,MIN(A248,Career_History!E38)-Career_History!D38+1),0))/365.2425</f>
        <v>34.998665270334094</v>
      </c>
      <c r="AJ248" s="9">
        <f>SUM(IF(Career_History!I33=TRUE,IF(A248&lt;Career_History!D33,0,MIN(A248,Career_History!E33)-Career_History!D33+1),0),IF(Career_History!I34=TRUE,IF(A248&lt;Career_History!D34,0,MIN(A248,Career_History!E34)-Career_History!D34+1),0),IF(Career_History!I35=TRUE,IF(A248&lt;Career_History!D35,0,MIN(A248,Career_History!E35)-Career_History!D35+1),0),IF(Career_History!I36=TRUE,IF(A248&lt;Career_History!D36,0,MIN(A248,Career_History!E36)-Career_History!D36+1),0),IF(Career_History!I37=TRUE,IF(A248&lt;Career_History!D37,0,MIN(A248,Career_History!E37)-Career_History!D37+1),0),IF(Career_History!I38=TRUE,IF(A248&lt;Career_History!D38,0,MIN(A248,Career_History!E38)-Career_History!D38+1),0))/365.2425</f>
        <v>5.664729597459222</v>
      </c>
      <c r="AK248" s="9">
        <f>SUM(IF(Career_History!H33=TRUE,IF(A248&lt;Career_History!D33,0,MIN(A248,Career_History!E33)-Career_History!D33+1),0),IF(Career_History!H34=TRUE,IF(A248&lt;Career_History!D34,0,MIN(A248,Career_History!E34)-Career_History!D34+1),0),IF(Career_History!H35=TRUE,IF(A248&lt;Career_History!D35,0,MIN(A248,Career_History!E35)-Career_History!D35+1),0),IF(Career_History!H36=TRUE,IF(A248&lt;Career_History!D36,0,MIN(A248,Career_History!E36)-Career_History!D36+1),0),IF(Career_History!H37=TRUE,IF(A248&lt;Career_History!D37,0,MIN(A248,Career_History!E37)-Career_History!D37+1),0),IF(Career_History!H38=TRUE,IF(A248&lt;Career_History!D38,0,MIN(A248,Career_History!E38)-Career_History!D38+1),0))/365.2425</f>
        <v>29.333935672874869</v>
      </c>
      <c r="AL248" s="9">
        <f>SUM(IF(Career_History!G39=TRUE,IF(A248&lt;Career_History!D39,0,MIN(A248,Career_History!E39)-Career_History!D39+1),0),IF(Career_History!G40=TRUE,IF(A248&lt;Career_History!D40,0,MIN(A248,Career_History!E40)-Career_History!D40+1),0))/365.2425</f>
        <v>21.999082801152657</v>
      </c>
      <c r="AM248" s="9">
        <f>SUM(IF(Career_History!I39=TRUE,IF(A248&lt;Career_History!D39,0,MIN(A248,Career_History!E39)-Career_History!D39+1),0),IF(Career_History!I40=TRUE,IF(A248&lt;Career_History!D40,0,MIN(A248,Career_History!E40)-Career_History!D40+1),0))/365.2425</f>
        <v>0</v>
      </c>
      <c r="AN248" s="9">
        <f>SUM(IF(Career_History!H39=TRUE,IF(A248&lt;Career_History!D39,0,MIN(A248,Career_History!E39)-Career_History!D39+1),0),IF(Career_History!H40=TRUE,IF(A248&lt;Career_History!D40,0,MIN(A248,Career_History!E40)-Career_History!D40+1),0))/365.2425</f>
        <v>21.999082801152657</v>
      </c>
      <c r="AO248" s="9">
        <f>SUM(IF(Career_History!G41=TRUE,IF(A248&lt;Career_History!D41,0,MIN(A248,Career_History!E41)-Career_History!D41+1),0),IF(Career_History!G42=TRUE,IF(A248&lt;Career_History!D42,0,MIN(A248,Career_History!E42)-Career_History!D42+1),0))/365.2425</f>
        <v>34.998665270334094</v>
      </c>
      <c r="AP248" s="9">
        <f>SUM(IF(Career_History!I41=TRUE,IF(A248&lt;Career_History!D41,0,MIN(A248,Career_History!E41)-Career_History!D41+1),0),IF(Career_History!I42=TRUE,IF(A248&lt;Career_History!D42,0,MIN(A248,Career_History!E42)-Career_History!D42+1),0))/365.2425</f>
        <v>0</v>
      </c>
      <c r="AQ248" s="9">
        <f>SUM(IF(Career_History!H41=TRUE,IF(A248&lt;Career_History!D41,0,MIN(A248,Career_History!E41)-Career_History!D41+1),0),IF(Career_History!H42=TRUE,IF(A248&lt;Career_History!D42,0,MIN(A248,Career_History!E42)-Career_History!D42+1),0))/365.2425</f>
        <v>34.998665270334094</v>
      </c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9"/>
      <c r="BH248" s="9"/>
      <c r="BI248" s="9"/>
      <c r="BJ248" s="9"/>
      <c r="BK248" s="9"/>
      <c r="BL248" s="9"/>
      <c r="BM248" s="9"/>
      <c r="BN248" s="9"/>
      <c r="BO248" s="9"/>
    </row>
    <row r="249" spans="1:67">
      <c r="A249" s="8">
        <v>42216</v>
      </c>
      <c r="B249" s="9">
        <f t="shared" si="9"/>
        <v>33.883789537088361</v>
      </c>
      <c r="C249" s="9">
        <f t="shared" si="10"/>
        <v>1.1329459194918443</v>
      </c>
      <c r="D249" s="9">
        <f t="shared" si="11"/>
        <v>24.469222502857683</v>
      </c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>
        <f>SUM(IF(Career_History!G25=TRUE,IF(A249&lt;Career_History!D25,0,MIN(A249,Career_History!E25)-Career_History!D25+1),0),IF(Career_History!G26=TRUE,IF(A249&lt;Career_History!D26,0,MIN(A249,Career_History!E26)-Career_History!D26+1),0),IF(Career_History!G27=TRUE,IF(A249&lt;Career_History!D27,0,MIN(A249,Career_History!E27)-Career_History!D27+1),0),IF(Career_History!G28=TRUE,IF(A249&lt;Career_History!D28,0,MIN(A249,Career_History!E28)-Career_History!D28+1),0),IF(Career_History!G29=TRUE,IF(A249&lt;Career_History!D29,0,MIN(A249,Career_History!E29)-Career_History!D29+1),0))/365.2425</f>
        <v>42.084368604420348</v>
      </c>
      <c r="AD249" s="9">
        <f>SUM(IF(Career_History!I25=TRUE,IF(A249&lt;Career_History!D25,0,MIN(A249,Career_History!E25)-Career_History!D25+1),0),IF(Career_History!I26=TRUE,IF(A249&lt;Career_History!D26,0,MIN(A249,Career_History!E26)-Career_History!D26+1),0),IF(Career_History!I27=TRUE,IF(A249&lt;Career_History!D27,0,MIN(A249,Career_History!E27)-Career_History!D27+1),0),IF(Career_History!I28=TRUE,IF(A249&lt;Career_History!D28,0,MIN(A249,Career_History!E28)-Career_History!D28+1),0),IF(Career_History!I29=TRUE,IF(A249&lt;Career_History!D29,0,MIN(A249,Career_History!E29)-Career_History!D29+1),0))/365.2425</f>
        <v>0</v>
      </c>
      <c r="AE249" s="9">
        <f>SUM(IF(Career_History!H25=TRUE,IF(A249&lt;Career_History!D25,0,MIN(A249,Career_History!E25)-Career_History!D25+1),0),IF(Career_History!H26=TRUE,IF(A249&lt;Career_History!D26,0,MIN(A249,Career_History!E26)-Career_History!D26+1),0),IF(Career_History!H27=TRUE,IF(A249&lt;Career_History!D27,0,MIN(A249,Career_History!E27)-Career_History!D27+1),0),IF(Career_History!H28=TRUE,IF(A249&lt;Career_History!D28,0,MIN(A249,Career_History!E28)-Career_History!D28+1),0),IF(Career_History!H29=TRUE,IF(A249&lt;Career_History!D29,0,MIN(A249,Career_History!E29)-Career_History!D29+1),0))/365.2425</f>
        <v>29.580347303503835</v>
      </c>
      <c r="AF249" s="9">
        <f>SUM(IF(Career_History!G30=TRUE,IF(A249&lt;Career_History!D30,0,MIN(A249,Career_History!E30)-Career_History!D30+1),0),IF(Career_History!G31=TRUE,IF(A249&lt;Career_History!D31,0,MIN(A249,Career_History!E31)-Career_History!D31+1),0),IF(Career_History!G32=TRUE,IF(A249&lt;Career_History!D32,0,MIN(A249,Career_History!E32)-Career_History!D32+1),0))/365.2425</f>
        <v>35.083540387550734</v>
      </c>
      <c r="AG249" s="9">
        <f>SUM(IF(Career_History!I30=TRUE,IF(A249&lt;Career_History!D30,0,MIN(A249,Career_History!E30)-Career_History!D30+1),0),IF(Career_History!I31=TRUE,IF(A249&lt;Career_History!D31,0,MIN(A249,Career_History!E31)-Career_History!D31+1),0),IF(Career_History!I32=TRUE,IF(A249&lt;Career_History!D32,0,MIN(A249,Career_History!E32)-Career_History!D32+1),0))/365.2425</f>
        <v>0</v>
      </c>
      <c r="AH249" s="9">
        <f>SUM(IF(Career_History!H30=TRUE,IF(A249&lt;Career_History!D30,0,MIN(A249,Career_History!E30)-Career_History!D30+1),0),IF(Career_History!H31=TRUE,IF(A249&lt;Career_History!D31,0,MIN(A249,Career_History!E31)-Career_History!D31+1),0),IF(Career_History!H32=TRUE,IF(A249&lt;Career_History!D32,0,MIN(A249,Career_History!E32)-Career_History!D32+1),0))/365.2425</f>
        <v>6.1794561147730613</v>
      </c>
      <c r="AI249" s="9">
        <f>SUM(IF(Career_History!G33=TRUE,IF(A249&lt;Career_History!D33,0,MIN(A249,Career_History!E33)-Career_History!D33+1),0),IF(Career_History!G34=TRUE,IF(A249&lt;Career_History!D34,0,MIN(A249,Career_History!E34)-Career_History!D34+1),0),IF(Career_History!G35=TRUE,IF(A249&lt;Career_History!D35,0,MIN(A249,Career_History!E35)-Career_History!D35+1),0),IF(Career_History!G36=TRUE,IF(A249&lt;Career_History!D36,0,MIN(A249,Career_History!E36)-Career_History!D36+1),0),IF(Career_History!G37=TRUE,IF(A249&lt;Career_History!D37,0,MIN(A249,Career_History!E37)-Career_History!D37+1),0),IF(Career_History!G38=TRUE,IF(A249&lt;Career_History!D38,0,MIN(A249,Career_History!E38)-Career_History!D38+1),0))/365.2425</f>
        <v>35.083540387550734</v>
      </c>
      <c r="AJ249" s="9">
        <f>SUM(IF(Career_History!I33=TRUE,IF(A249&lt;Career_History!D33,0,MIN(A249,Career_History!E33)-Career_History!D33+1),0),IF(Career_History!I34=TRUE,IF(A249&lt;Career_History!D34,0,MIN(A249,Career_History!E34)-Career_History!D34+1),0),IF(Career_History!I35=TRUE,IF(A249&lt;Career_History!D35,0,MIN(A249,Career_History!E35)-Career_History!D35+1),0),IF(Career_History!I36=TRUE,IF(A249&lt;Career_History!D36,0,MIN(A249,Career_History!E36)-Career_History!D36+1),0),IF(Career_History!I37=TRUE,IF(A249&lt;Career_History!D37,0,MIN(A249,Career_History!E37)-Career_History!D37+1),0),IF(Career_History!I38=TRUE,IF(A249&lt;Career_History!D38,0,MIN(A249,Career_History!E38)-Career_History!D38+1),0))/365.2425</f>
        <v>5.664729597459222</v>
      </c>
      <c r="AK249" s="9">
        <f>SUM(IF(Career_History!H33=TRUE,IF(A249&lt;Career_History!D33,0,MIN(A249,Career_History!E33)-Career_History!D33+1),0),IF(Career_History!H34=TRUE,IF(A249&lt;Career_History!D34,0,MIN(A249,Career_History!E34)-Career_History!D34+1),0),IF(Career_History!H35=TRUE,IF(A249&lt;Career_History!D35,0,MIN(A249,Career_History!E35)-Career_History!D35+1),0),IF(Career_History!H36=TRUE,IF(A249&lt;Career_History!D36,0,MIN(A249,Career_History!E36)-Career_History!D36+1),0),IF(Career_History!H37=TRUE,IF(A249&lt;Career_History!D37,0,MIN(A249,Career_History!E37)-Career_History!D37+1),0),IF(Career_History!H38=TRUE,IF(A249&lt;Career_History!D38,0,MIN(A249,Career_History!E38)-Career_History!D38+1),0))/365.2425</f>
        <v>29.418810790091513</v>
      </c>
      <c r="AL249" s="9">
        <f>SUM(IF(Career_History!G39=TRUE,IF(A249&lt;Career_History!D39,0,MIN(A249,Career_History!E39)-Career_History!D39+1),0),IF(Career_History!G40=TRUE,IF(A249&lt;Career_History!D40,0,MIN(A249,Career_History!E40)-Career_History!D40+1),0))/365.2425</f>
        <v>22.0839579183693</v>
      </c>
      <c r="AM249" s="9">
        <f>SUM(IF(Career_History!I39=TRUE,IF(A249&lt;Career_History!D39,0,MIN(A249,Career_History!E39)-Career_History!D39+1),0),IF(Career_History!I40=TRUE,IF(A249&lt;Career_History!D40,0,MIN(A249,Career_History!E40)-Career_History!D40+1),0))/365.2425</f>
        <v>0</v>
      </c>
      <c r="AN249" s="9">
        <f>SUM(IF(Career_History!H39=TRUE,IF(A249&lt;Career_History!D39,0,MIN(A249,Career_History!E39)-Career_History!D39+1),0),IF(Career_History!H40=TRUE,IF(A249&lt;Career_History!D40,0,MIN(A249,Career_History!E40)-Career_History!D40+1),0))/365.2425</f>
        <v>22.0839579183693</v>
      </c>
      <c r="AO249" s="9">
        <f>SUM(IF(Career_History!G41=TRUE,IF(A249&lt;Career_History!D41,0,MIN(A249,Career_History!E41)-Career_History!D41+1),0),IF(Career_History!G42=TRUE,IF(A249&lt;Career_History!D42,0,MIN(A249,Career_History!E42)-Career_History!D42+1),0))/365.2425</f>
        <v>35.083540387550734</v>
      </c>
      <c r="AP249" s="9">
        <f>SUM(IF(Career_History!I41=TRUE,IF(A249&lt;Career_History!D41,0,MIN(A249,Career_History!E41)-Career_History!D41+1),0),IF(Career_History!I42=TRUE,IF(A249&lt;Career_History!D42,0,MIN(A249,Career_History!E42)-Career_History!D42+1),0))/365.2425</f>
        <v>0</v>
      </c>
      <c r="AQ249" s="9">
        <f>SUM(IF(Career_History!H41=TRUE,IF(A249&lt;Career_History!D41,0,MIN(A249,Career_History!E41)-Career_History!D41+1),0),IF(Career_History!H42=TRUE,IF(A249&lt;Career_History!D42,0,MIN(A249,Career_History!E42)-Career_History!D42+1),0))/365.2425</f>
        <v>35.083540387550734</v>
      </c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9"/>
      <c r="BH249" s="9"/>
      <c r="BI249" s="9"/>
      <c r="BJ249" s="9"/>
      <c r="BK249" s="9"/>
      <c r="BL249" s="9"/>
      <c r="BM249" s="9"/>
      <c r="BN249" s="9"/>
      <c r="BO249" s="9"/>
    </row>
    <row r="250" spans="1:67">
      <c r="A250" s="8">
        <v>42247</v>
      </c>
      <c r="B250" s="9">
        <f t="shared" si="9"/>
        <v>33.968664654305016</v>
      </c>
      <c r="C250" s="9">
        <f t="shared" si="10"/>
        <v>1.1329459194918443</v>
      </c>
      <c r="D250" s="9">
        <f t="shared" si="11"/>
        <v>24.554097620074334</v>
      </c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>
        <f>SUM(IF(Career_History!G25=TRUE,IF(A250&lt;Career_History!D25,0,MIN(A250,Career_History!E25)-Career_History!D25+1),0),IF(Career_History!G26=TRUE,IF(A250&lt;Career_History!D26,0,MIN(A250,Career_History!E26)-Career_History!D26+1),0),IF(Career_History!G27=TRUE,IF(A250&lt;Career_History!D27,0,MIN(A250,Career_History!E27)-Career_History!D27+1),0),IF(Career_History!G28=TRUE,IF(A250&lt;Career_History!D28,0,MIN(A250,Career_History!E28)-Career_History!D28+1),0),IF(Career_History!G29=TRUE,IF(A250&lt;Career_History!D29,0,MIN(A250,Career_History!E29)-Career_History!D29+1),0))/365.2425</f>
        <v>42.169243721636995</v>
      </c>
      <c r="AD250" s="9">
        <f>SUM(IF(Career_History!I25=TRUE,IF(A250&lt;Career_History!D25,0,MIN(A250,Career_History!E25)-Career_History!D25+1),0),IF(Career_History!I26=TRUE,IF(A250&lt;Career_History!D26,0,MIN(A250,Career_History!E26)-Career_History!D26+1),0),IF(Career_History!I27=TRUE,IF(A250&lt;Career_History!D27,0,MIN(A250,Career_History!E27)-Career_History!D27+1),0),IF(Career_History!I28=TRUE,IF(A250&lt;Career_History!D28,0,MIN(A250,Career_History!E28)-Career_History!D28+1),0),IF(Career_History!I29=TRUE,IF(A250&lt;Career_History!D29,0,MIN(A250,Career_History!E29)-Career_History!D29+1),0))/365.2425</f>
        <v>0</v>
      </c>
      <c r="AE250" s="9">
        <f>SUM(IF(Career_History!H25=TRUE,IF(A250&lt;Career_History!D25,0,MIN(A250,Career_History!E25)-Career_History!D25+1),0),IF(Career_History!H26=TRUE,IF(A250&lt;Career_History!D26,0,MIN(A250,Career_History!E26)-Career_History!D26+1),0),IF(Career_History!H27=TRUE,IF(A250&lt;Career_History!D27,0,MIN(A250,Career_History!E27)-Career_History!D27+1),0),IF(Career_History!H28=TRUE,IF(A250&lt;Career_History!D28,0,MIN(A250,Career_History!E28)-Career_History!D28+1),0),IF(Career_History!H29=TRUE,IF(A250&lt;Career_History!D29,0,MIN(A250,Career_History!E29)-Career_History!D29+1),0))/365.2425</f>
        <v>29.665222420720479</v>
      </c>
      <c r="AF250" s="9">
        <f>SUM(IF(Career_History!G30=TRUE,IF(A250&lt;Career_History!D30,0,MIN(A250,Career_History!E30)-Career_History!D30+1),0),IF(Career_History!G31=TRUE,IF(A250&lt;Career_History!D31,0,MIN(A250,Career_History!E31)-Career_History!D31+1),0),IF(Career_History!G32=TRUE,IF(A250&lt;Career_History!D32,0,MIN(A250,Career_History!E32)-Career_History!D32+1),0))/365.2425</f>
        <v>35.168415504767381</v>
      </c>
      <c r="AG250" s="9">
        <f>SUM(IF(Career_History!I30=TRUE,IF(A250&lt;Career_History!D30,0,MIN(A250,Career_History!E30)-Career_History!D30+1),0),IF(Career_History!I31=TRUE,IF(A250&lt;Career_History!D31,0,MIN(A250,Career_History!E31)-Career_History!D31+1),0),IF(Career_History!I32=TRUE,IF(A250&lt;Career_History!D32,0,MIN(A250,Career_History!E32)-Career_History!D32+1),0))/365.2425</f>
        <v>0</v>
      </c>
      <c r="AH250" s="9">
        <f>SUM(IF(Career_History!H30=TRUE,IF(A250&lt;Career_History!D30,0,MIN(A250,Career_History!E30)-Career_History!D30+1),0),IF(Career_History!H31=TRUE,IF(A250&lt;Career_History!D31,0,MIN(A250,Career_History!E31)-Career_History!D31+1),0),IF(Career_History!H32=TRUE,IF(A250&lt;Career_History!D32,0,MIN(A250,Career_History!E32)-Career_History!D32+1),0))/365.2425</f>
        <v>6.2643312319897051</v>
      </c>
      <c r="AI250" s="9">
        <f>SUM(IF(Career_History!G33=TRUE,IF(A250&lt;Career_History!D33,0,MIN(A250,Career_History!E33)-Career_History!D33+1),0),IF(Career_History!G34=TRUE,IF(A250&lt;Career_History!D34,0,MIN(A250,Career_History!E34)-Career_History!D34+1),0),IF(Career_History!G35=TRUE,IF(A250&lt;Career_History!D35,0,MIN(A250,Career_History!E35)-Career_History!D35+1),0),IF(Career_History!G36=TRUE,IF(A250&lt;Career_History!D36,0,MIN(A250,Career_History!E36)-Career_History!D36+1),0),IF(Career_History!G37=TRUE,IF(A250&lt;Career_History!D37,0,MIN(A250,Career_History!E37)-Career_History!D37+1),0),IF(Career_History!G38=TRUE,IF(A250&lt;Career_History!D38,0,MIN(A250,Career_History!E38)-Career_History!D38+1),0))/365.2425</f>
        <v>35.168415504767381</v>
      </c>
      <c r="AJ250" s="9">
        <f>SUM(IF(Career_History!I33=TRUE,IF(A250&lt;Career_History!D33,0,MIN(A250,Career_History!E33)-Career_History!D33+1),0),IF(Career_History!I34=TRUE,IF(A250&lt;Career_History!D34,0,MIN(A250,Career_History!E34)-Career_History!D34+1),0),IF(Career_History!I35=TRUE,IF(A250&lt;Career_History!D35,0,MIN(A250,Career_History!E35)-Career_History!D35+1),0),IF(Career_History!I36=TRUE,IF(A250&lt;Career_History!D36,0,MIN(A250,Career_History!E36)-Career_History!D36+1),0),IF(Career_History!I37=TRUE,IF(A250&lt;Career_History!D37,0,MIN(A250,Career_History!E37)-Career_History!D37+1),0),IF(Career_History!I38=TRUE,IF(A250&lt;Career_History!D38,0,MIN(A250,Career_History!E38)-Career_History!D38+1),0))/365.2425</f>
        <v>5.664729597459222</v>
      </c>
      <c r="AK250" s="9">
        <f>SUM(IF(Career_History!H33=TRUE,IF(A250&lt;Career_History!D33,0,MIN(A250,Career_History!E33)-Career_History!D33+1),0),IF(Career_History!H34=TRUE,IF(A250&lt;Career_History!D34,0,MIN(A250,Career_History!E34)-Career_History!D34+1),0),IF(Career_History!H35=TRUE,IF(A250&lt;Career_History!D35,0,MIN(A250,Career_History!E35)-Career_History!D35+1),0),IF(Career_History!H36=TRUE,IF(A250&lt;Career_History!D36,0,MIN(A250,Career_History!E36)-Career_History!D36+1),0),IF(Career_History!H37=TRUE,IF(A250&lt;Career_History!D37,0,MIN(A250,Career_History!E37)-Career_History!D37+1),0),IF(Career_History!H38=TRUE,IF(A250&lt;Career_History!D38,0,MIN(A250,Career_History!E38)-Career_History!D38+1),0))/365.2425</f>
        <v>29.503685907308157</v>
      </c>
      <c r="AL250" s="9">
        <f>SUM(IF(Career_History!G39=TRUE,IF(A250&lt;Career_History!D39,0,MIN(A250,Career_History!E39)-Career_History!D39+1),0),IF(Career_History!G40=TRUE,IF(A250&lt;Career_History!D40,0,MIN(A250,Career_History!E40)-Career_History!D40+1),0))/365.2425</f>
        <v>22.168833035585944</v>
      </c>
      <c r="AM250" s="9">
        <f>SUM(IF(Career_History!I39=TRUE,IF(A250&lt;Career_History!D39,0,MIN(A250,Career_History!E39)-Career_History!D39+1),0),IF(Career_History!I40=TRUE,IF(A250&lt;Career_History!D40,0,MIN(A250,Career_History!E40)-Career_History!D40+1),0))/365.2425</f>
        <v>0</v>
      </c>
      <c r="AN250" s="9">
        <f>SUM(IF(Career_History!H39=TRUE,IF(A250&lt;Career_History!D39,0,MIN(A250,Career_History!E39)-Career_History!D39+1),0),IF(Career_History!H40=TRUE,IF(A250&lt;Career_History!D40,0,MIN(A250,Career_History!E40)-Career_History!D40+1),0))/365.2425</f>
        <v>22.168833035585944</v>
      </c>
      <c r="AO250" s="9">
        <f>SUM(IF(Career_History!G41=TRUE,IF(A250&lt;Career_History!D41,0,MIN(A250,Career_History!E41)-Career_History!D41+1),0),IF(Career_History!G42=TRUE,IF(A250&lt;Career_History!D42,0,MIN(A250,Career_History!E42)-Career_History!D42+1),0))/365.2425</f>
        <v>35.168415504767381</v>
      </c>
      <c r="AP250" s="9">
        <f>SUM(IF(Career_History!I41=TRUE,IF(A250&lt;Career_History!D41,0,MIN(A250,Career_History!E41)-Career_History!D41+1),0),IF(Career_History!I42=TRUE,IF(A250&lt;Career_History!D42,0,MIN(A250,Career_History!E42)-Career_History!D42+1),0))/365.2425</f>
        <v>0</v>
      </c>
      <c r="AQ250" s="9">
        <f>SUM(IF(Career_History!H41=TRUE,IF(A250&lt;Career_History!D41,0,MIN(A250,Career_History!E41)-Career_History!D41+1),0),IF(Career_History!H42=TRUE,IF(A250&lt;Career_History!D42,0,MIN(A250,Career_History!E42)-Career_History!D42+1),0))/365.2425</f>
        <v>35.168415504767381</v>
      </c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9"/>
      <c r="BH250" s="9"/>
      <c r="BI250" s="9"/>
      <c r="BJ250" s="9"/>
      <c r="BK250" s="9"/>
      <c r="BL250" s="9"/>
      <c r="BM250" s="9"/>
      <c r="BN250" s="9"/>
      <c r="BO250" s="9"/>
    </row>
    <row r="251" spans="1:67">
      <c r="A251" s="8">
        <v>42277</v>
      </c>
      <c r="B251" s="9">
        <f t="shared" si="9"/>
        <v>34.050801864514668</v>
      </c>
      <c r="C251" s="9">
        <f t="shared" si="10"/>
        <v>1.1329459194918443</v>
      </c>
      <c r="D251" s="9">
        <f t="shared" si="11"/>
        <v>24.636234830283989</v>
      </c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>
        <f>SUM(IF(Career_History!G25=TRUE,IF(A251&lt;Career_History!D25,0,MIN(A251,Career_History!E25)-Career_History!D25+1),0),IF(Career_History!G26=TRUE,IF(A251&lt;Career_History!D26,0,MIN(A251,Career_History!E26)-Career_History!D26+1),0),IF(Career_History!G27=TRUE,IF(A251&lt;Career_History!D27,0,MIN(A251,Career_History!E27)-Career_History!D27+1),0),IF(Career_History!G28=TRUE,IF(A251&lt;Career_History!D28,0,MIN(A251,Career_History!E28)-Career_History!D28+1),0),IF(Career_History!G29=TRUE,IF(A251&lt;Career_History!D29,0,MIN(A251,Career_History!E29)-Career_History!D29+1),0))/365.2425</f>
        <v>42.251380931846647</v>
      </c>
      <c r="AD251" s="9">
        <f>SUM(IF(Career_History!I25=TRUE,IF(A251&lt;Career_History!D25,0,MIN(A251,Career_History!E25)-Career_History!D25+1),0),IF(Career_History!I26=TRUE,IF(A251&lt;Career_History!D26,0,MIN(A251,Career_History!E26)-Career_History!D26+1),0),IF(Career_History!I27=TRUE,IF(A251&lt;Career_History!D27,0,MIN(A251,Career_History!E27)-Career_History!D27+1),0),IF(Career_History!I28=TRUE,IF(A251&lt;Career_History!D28,0,MIN(A251,Career_History!E28)-Career_History!D28+1),0),IF(Career_History!I29=TRUE,IF(A251&lt;Career_History!D29,0,MIN(A251,Career_History!E29)-Career_History!D29+1),0))/365.2425</f>
        <v>0</v>
      </c>
      <c r="AE251" s="9">
        <f>SUM(IF(Career_History!H25=TRUE,IF(A251&lt;Career_History!D25,0,MIN(A251,Career_History!E25)-Career_History!D25+1),0),IF(Career_History!H26=TRUE,IF(A251&lt;Career_History!D26,0,MIN(A251,Career_History!E26)-Career_History!D26+1),0),IF(Career_History!H27=TRUE,IF(A251&lt;Career_History!D27,0,MIN(A251,Career_History!E27)-Career_History!D27+1),0),IF(Career_History!H28=TRUE,IF(A251&lt;Career_History!D28,0,MIN(A251,Career_History!E28)-Career_History!D28+1),0),IF(Career_History!H29=TRUE,IF(A251&lt;Career_History!D29,0,MIN(A251,Career_History!E29)-Career_History!D29+1),0))/365.2425</f>
        <v>29.747359630930134</v>
      </c>
      <c r="AF251" s="9">
        <f>SUM(IF(Career_History!G30=TRUE,IF(A251&lt;Career_History!D30,0,MIN(A251,Career_History!E30)-Career_History!D30+1),0),IF(Career_History!G31=TRUE,IF(A251&lt;Career_History!D31,0,MIN(A251,Career_History!E31)-Career_History!D31+1),0),IF(Career_History!G32=TRUE,IF(A251&lt;Career_History!D32,0,MIN(A251,Career_History!E32)-Career_History!D32+1),0))/365.2425</f>
        <v>35.250552714977033</v>
      </c>
      <c r="AG251" s="9">
        <f>SUM(IF(Career_History!I30=TRUE,IF(A251&lt;Career_History!D30,0,MIN(A251,Career_History!E30)-Career_History!D30+1),0),IF(Career_History!I31=TRUE,IF(A251&lt;Career_History!D31,0,MIN(A251,Career_History!E31)-Career_History!D31+1),0),IF(Career_History!I32=TRUE,IF(A251&lt;Career_History!D32,0,MIN(A251,Career_History!E32)-Career_History!D32+1),0))/365.2425</f>
        <v>0</v>
      </c>
      <c r="AH251" s="9">
        <f>SUM(IF(Career_History!H30=TRUE,IF(A251&lt;Career_History!D30,0,MIN(A251,Career_History!E30)-Career_History!D30+1),0),IF(Career_History!H31=TRUE,IF(A251&lt;Career_History!D31,0,MIN(A251,Career_History!E31)-Career_History!D31+1),0),IF(Career_History!H32=TRUE,IF(A251&lt;Career_History!D32,0,MIN(A251,Career_History!E32)-Career_History!D32+1),0))/365.2425</f>
        <v>6.3464684421993605</v>
      </c>
      <c r="AI251" s="9">
        <f>SUM(IF(Career_History!G33=TRUE,IF(A251&lt;Career_History!D33,0,MIN(A251,Career_History!E33)-Career_History!D33+1),0),IF(Career_History!G34=TRUE,IF(A251&lt;Career_History!D34,0,MIN(A251,Career_History!E34)-Career_History!D34+1),0),IF(Career_History!G35=TRUE,IF(A251&lt;Career_History!D35,0,MIN(A251,Career_History!E35)-Career_History!D35+1),0),IF(Career_History!G36=TRUE,IF(A251&lt;Career_History!D36,0,MIN(A251,Career_History!E36)-Career_History!D36+1),0),IF(Career_History!G37=TRUE,IF(A251&lt;Career_History!D37,0,MIN(A251,Career_History!E37)-Career_History!D37+1),0),IF(Career_History!G38=TRUE,IF(A251&lt;Career_History!D38,0,MIN(A251,Career_History!E38)-Career_History!D38+1),0))/365.2425</f>
        <v>35.250552714977033</v>
      </c>
      <c r="AJ251" s="9">
        <f>SUM(IF(Career_History!I33=TRUE,IF(A251&lt;Career_History!D33,0,MIN(A251,Career_History!E33)-Career_History!D33+1),0),IF(Career_History!I34=TRUE,IF(A251&lt;Career_History!D34,0,MIN(A251,Career_History!E34)-Career_History!D34+1),0),IF(Career_History!I35=TRUE,IF(A251&lt;Career_History!D35,0,MIN(A251,Career_History!E35)-Career_History!D35+1),0),IF(Career_History!I36=TRUE,IF(A251&lt;Career_History!D36,0,MIN(A251,Career_History!E36)-Career_History!D36+1),0),IF(Career_History!I37=TRUE,IF(A251&lt;Career_History!D37,0,MIN(A251,Career_History!E37)-Career_History!D37+1),0),IF(Career_History!I38=TRUE,IF(A251&lt;Career_History!D38,0,MIN(A251,Career_History!E38)-Career_History!D38+1),0))/365.2425</f>
        <v>5.664729597459222</v>
      </c>
      <c r="AK251" s="9">
        <f>SUM(IF(Career_History!H33=TRUE,IF(A251&lt;Career_History!D33,0,MIN(A251,Career_History!E33)-Career_History!D33+1),0),IF(Career_History!H34=TRUE,IF(A251&lt;Career_History!D34,0,MIN(A251,Career_History!E34)-Career_History!D34+1),0),IF(Career_History!H35=TRUE,IF(A251&lt;Career_History!D35,0,MIN(A251,Career_History!E35)-Career_History!D35+1),0),IF(Career_History!H36=TRUE,IF(A251&lt;Career_History!D36,0,MIN(A251,Career_History!E36)-Career_History!D36+1),0),IF(Career_History!H37=TRUE,IF(A251&lt;Career_History!D37,0,MIN(A251,Career_History!E37)-Career_History!D37+1),0),IF(Career_History!H38=TRUE,IF(A251&lt;Career_History!D38,0,MIN(A251,Career_History!E38)-Career_History!D38+1),0))/365.2425</f>
        <v>29.585823117517812</v>
      </c>
      <c r="AL251" s="9">
        <f>SUM(IF(Career_History!G39=TRUE,IF(A251&lt;Career_History!D39,0,MIN(A251,Career_History!E39)-Career_History!D39+1),0),IF(Career_History!G40=TRUE,IF(A251&lt;Career_History!D40,0,MIN(A251,Career_History!E40)-Career_History!D40+1),0))/365.2425</f>
        <v>22.2509702457956</v>
      </c>
      <c r="AM251" s="9">
        <f>SUM(IF(Career_History!I39=TRUE,IF(A251&lt;Career_History!D39,0,MIN(A251,Career_History!E39)-Career_History!D39+1),0),IF(Career_History!I40=TRUE,IF(A251&lt;Career_History!D40,0,MIN(A251,Career_History!E40)-Career_History!D40+1),0))/365.2425</f>
        <v>0</v>
      </c>
      <c r="AN251" s="9">
        <f>SUM(IF(Career_History!H39=TRUE,IF(A251&lt;Career_History!D39,0,MIN(A251,Career_History!E39)-Career_History!D39+1),0),IF(Career_History!H40=TRUE,IF(A251&lt;Career_History!D40,0,MIN(A251,Career_History!E40)-Career_History!D40+1),0))/365.2425</f>
        <v>22.2509702457956</v>
      </c>
      <c r="AO251" s="9">
        <f>SUM(IF(Career_History!G41=TRUE,IF(A251&lt;Career_History!D41,0,MIN(A251,Career_History!E41)-Career_History!D41+1),0),IF(Career_History!G42=TRUE,IF(A251&lt;Career_History!D42,0,MIN(A251,Career_History!E42)-Career_History!D42+1),0))/365.2425</f>
        <v>35.250552714977033</v>
      </c>
      <c r="AP251" s="9">
        <f>SUM(IF(Career_History!I41=TRUE,IF(A251&lt;Career_History!D41,0,MIN(A251,Career_History!E41)-Career_History!D41+1),0),IF(Career_History!I42=TRUE,IF(A251&lt;Career_History!D42,0,MIN(A251,Career_History!E42)-Career_History!D42+1),0))/365.2425</f>
        <v>0</v>
      </c>
      <c r="AQ251" s="9">
        <f>SUM(IF(Career_History!H41=TRUE,IF(A251&lt;Career_History!D41,0,MIN(A251,Career_History!E41)-Career_History!D41+1),0),IF(Career_History!H42=TRUE,IF(A251&lt;Career_History!D42,0,MIN(A251,Career_History!E42)-Career_History!D42+1),0))/365.2425</f>
        <v>35.250552714977033</v>
      </c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9"/>
      <c r="BI251" s="9"/>
      <c r="BJ251" s="9"/>
      <c r="BK251" s="9"/>
      <c r="BL251" s="9"/>
      <c r="BM251" s="9"/>
      <c r="BN251" s="9"/>
      <c r="BO251" s="9"/>
    </row>
    <row r="252" spans="1:67">
      <c r="A252" s="8">
        <v>42308</v>
      </c>
      <c r="B252" s="9">
        <f t="shared" si="9"/>
        <v>34.135676981731322</v>
      </c>
      <c r="C252" s="9">
        <f t="shared" si="10"/>
        <v>1.1329459194918443</v>
      </c>
      <c r="D252" s="9">
        <f t="shared" si="11"/>
        <v>24.721109947500633</v>
      </c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>
        <f>SUM(IF(Career_History!G25=TRUE,IF(A252&lt;Career_History!D25,0,MIN(A252,Career_History!E25)-Career_History!D25+1),0),IF(Career_History!G26=TRUE,IF(A252&lt;Career_History!D26,0,MIN(A252,Career_History!E26)-Career_History!D26+1),0),IF(Career_History!G27=TRUE,IF(A252&lt;Career_History!D27,0,MIN(A252,Career_History!E27)-Career_History!D27+1),0),IF(Career_History!G28=TRUE,IF(A252&lt;Career_History!D28,0,MIN(A252,Career_History!E28)-Career_History!D28+1),0),IF(Career_History!G29=TRUE,IF(A252&lt;Career_History!D29,0,MIN(A252,Career_History!E29)-Career_History!D29+1),0))/365.2425</f>
        <v>42.336256049063294</v>
      </c>
      <c r="AD252" s="9">
        <f>SUM(IF(Career_History!I25=TRUE,IF(A252&lt;Career_History!D25,0,MIN(A252,Career_History!E25)-Career_History!D25+1),0),IF(Career_History!I26=TRUE,IF(A252&lt;Career_History!D26,0,MIN(A252,Career_History!E26)-Career_History!D26+1),0),IF(Career_History!I27=TRUE,IF(A252&lt;Career_History!D27,0,MIN(A252,Career_History!E27)-Career_History!D27+1),0),IF(Career_History!I28=TRUE,IF(A252&lt;Career_History!D28,0,MIN(A252,Career_History!E28)-Career_History!D28+1),0),IF(Career_History!I29=TRUE,IF(A252&lt;Career_History!D29,0,MIN(A252,Career_History!E29)-Career_History!D29+1),0))/365.2425</f>
        <v>0</v>
      </c>
      <c r="AE252" s="9">
        <f>SUM(IF(Career_History!H25=TRUE,IF(A252&lt;Career_History!D25,0,MIN(A252,Career_History!E25)-Career_History!D25+1),0),IF(Career_History!H26=TRUE,IF(A252&lt;Career_History!D26,0,MIN(A252,Career_History!E26)-Career_History!D26+1),0),IF(Career_History!H27=TRUE,IF(A252&lt;Career_History!D27,0,MIN(A252,Career_History!E27)-Career_History!D27+1),0),IF(Career_History!H28=TRUE,IF(A252&lt;Career_History!D28,0,MIN(A252,Career_History!E28)-Career_History!D28+1),0),IF(Career_History!H29=TRUE,IF(A252&lt;Career_History!D29,0,MIN(A252,Career_History!E29)-Career_History!D29+1),0))/365.2425</f>
        <v>29.832234748146778</v>
      </c>
      <c r="AF252" s="9">
        <f>SUM(IF(Career_History!G30=TRUE,IF(A252&lt;Career_History!D30,0,MIN(A252,Career_History!E30)-Career_History!D30+1),0),IF(Career_History!G31=TRUE,IF(A252&lt;Career_History!D31,0,MIN(A252,Career_History!E31)-Career_History!D31+1),0),IF(Career_History!G32=TRUE,IF(A252&lt;Career_History!D32,0,MIN(A252,Career_History!E32)-Career_History!D32+1),0))/365.2425</f>
        <v>35.33542783219368</v>
      </c>
      <c r="AG252" s="9">
        <f>SUM(IF(Career_History!I30=TRUE,IF(A252&lt;Career_History!D30,0,MIN(A252,Career_History!E30)-Career_History!D30+1),0),IF(Career_History!I31=TRUE,IF(A252&lt;Career_History!D31,0,MIN(A252,Career_History!E31)-Career_History!D31+1),0),IF(Career_History!I32=TRUE,IF(A252&lt;Career_History!D32,0,MIN(A252,Career_History!E32)-Career_History!D32+1),0))/365.2425</f>
        <v>0</v>
      </c>
      <c r="AH252" s="9">
        <f>SUM(IF(Career_History!H30=TRUE,IF(A252&lt;Career_History!D30,0,MIN(A252,Career_History!E30)-Career_History!D30+1),0),IF(Career_History!H31=TRUE,IF(A252&lt;Career_History!D31,0,MIN(A252,Career_History!E31)-Career_History!D31+1),0),IF(Career_History!H32=TRUE,IF(A252&lt;Career_History!D32,0,MIN(A252,Career_History!E32)-Career_History!D32+1),0))/365.2425</f>
        <v>6.4313435594160042</v>
      </c>
      <c r="AI252" s="9">
        <f>SUM(IF(Career_History!G33=TRUE,IF(A252&lt;Career_History!D33,0,MIN(A252,Career_History!E33)-Career_History!D33+1),0),IF(Career_History!G34=TRUE,IF(A252&lt;Career_History!D34,0,MIN(A252,Career_History!E34)-Career_History!D34+1),0),IF(Career_History!G35=TRUE,IF(A252&lt;Career_History!D35,0,MIN(A252,Career_History!E35)-Career_History!D35+1),0),IF(Career_History!G36=TRUE,IF(A252&lt;Career_History!D36,0,MIN(A252,Career_History!E36)-Career_History!D36+1),0),IF(Career_History!G37=TRUE,IF(A252&lt;Career_History!D37,0,MIN(A252,Career_History!E37)-Career_History!D37+1),0),IF(Career_History!G38=TRUE,IF(A252&lt;Career_History!D38,0,MIN(A252,Career_History!E38)-Career_History!D38+1),0))/365.2425</f>
        <v>35.33542783219368</v>
      </c>
      <c r="AJ252" s="9">
        <f>SUM(IF(Career_History!I33=TRUE,IF(A252&lt;Career_History!D33,0,MIN(A252,Career_History!E33)-Career_History!D33+1),0),IF(Career_History!I34=TRUE,IF(A252&lt;Career_History!D34,0,MIN(A252,Career_History!E34)-Career_History!D34+1),0),IF(Career_History!I35=TRUE,IF(A252&lt;Career_History!D35,0,MIN(A252,Career_History!E35)-Career_History!D35+1),0),IF(Career_History!I36=TRUE,IF(A252&lt;Career_History!D36,0,MIN(A252,Career_History!E36)-Career_History!D36+1),0),IF(Career_History!I37=TRUE,IF(A252&lt;Career_History!D37,0,MIN(A252,Career_History!E37)-Career_History!D37+1),0),IF(Career_History!I38=TRUE,IF(A252&lt;Career_History!D38,0,MIN(A252,Career_History!E38)-Career_History!D38+1),0))/365.2425</f>
        <v>5.664729597459222</v>
      </c>
      <c r="AK252" s="9">
        <f>SUM(IF(Career_History!H33=TRUE,IF(A252&lt;Career_History!D33,0,MIN(A252,Career_History!E33)-Career_History!D33+1),0),IF(Career_History!H34=TRUE,IF(A252&lt;Career_History!D34,0,MIN(A252,Career_History!E34)-Career_History!D34+1),0),IF(Career_History!H35=TRUE,IF(A252&lt;Career_History!D35,0,MIN(A252,Career_History!E35)-Career_History!D35+1),0),IF(Career_History!H36=TRUE,IF(A252&lt;Career_History!D36,0,MIN(A252,Career_History!E36)-Career_History!D36+1),0),IF(Career_History!H37=TRUE,IF(A252&lt;Career_History!D37,0,MIN(A252,Career_History!E37)-Career_History!D37+1),0),IF(Career_History!H38=TRUE,IF(A252&lt;Career_History!D38,0,MIN(A252,Career_History!E38)-Career_History!D38+1),0))/365.2425</f>
        <v>29.670698234734456</v>
      </c>
      <c r="AL252" s="9">
        <f>SUM(IF(Career_History!G39=TRUE,IF(A252&lt;Career_History!D39,0,MIN(A252,Career_History!E39)-Career_History!D39+1),0),IF(Career_History!G40=TRUE,IF(A252&lt;Career_History!D40,0,MIN(A252,Career_History!E40)-Career_History!D40+1),0))/365.2425</f>
        <v>22.335845363012243</v>
      </c>
      <c r="AM252" s="9">
        <f>SUM(IF(Career_History!I39=TRUE,IF(A252&lt;Career_History!D39,0,MIN(A252,Career_History!E39)-Career_History!D39+1),0),IF(Career_History!I40=TRUE,IF(A252&lt;Career_History!D40,0,MIN(A252,Career_History!E40)-Career_History!D40+1),0))/365.2425</f>
        <v>0</v>
      </c>
      <c r="AN252" s="9">
        <f>SUM(IF(Career_History!H39=TRUE,IF(A252&lt;Career_History!D39,0,MIN(A252,Career_History!E39)-Career_History!D39+1),0),IF(Career_History!H40=TRUE,IF(A252&lt;Career_History!D40,0,MIN(A252,Career_History!E40)-Career_History!D40+1),0))/365.2425</f>
        <v>22.335845363012243</v>
      </c>
      <c r="AO252" s="9">
        <f>SUM(IF(Career_History!G41=TRUE,IF(A252&lt;Career_History!D41,0,MIN(A252,Career_History!E41)-Career_History!D41+1),0),IF(Career_History!G42=TRUE,IF(A252&lt;Career_History!D42,0,MIN(A252,Career_History!E42)-Career_History!D42+1),0))/365.2425</f>
        <v>35.33542783219368</v>
      </c>
      <c r="AP252" s="9">
        <f>SUM(IF(Career_History!I41=TRUE,IF(A252&lt;Career_History!D41,0,MIN(A252,Career_History!E41)-Career_History!D41+1),0),IF(Career_History!I42=TRUE,IF(A252&lt;Career_History!D42,0,MIN(A252,Career_History!E42)-Career_History!D42+1),0))/365.2425</f>
        <v>0</v>
      </c>
      <c r="AQ252" s="9">
        <f>SUM(IF(Career_History!H41=TRUE,IF(A252&lt;Career_History!D41,0,MIN(A252,Career_History!E41)-Career_History!D41+1),0),IF(Career_History!H42=TRUE,IF(A252&lt;Career_History!D42,0,MIN(A252,Career_History!E42)-Career_History!D42+1),0))/365.2425</f>
        <v>35.33542783219368</v>
      </c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9"/>
      <c r="BH252" s="9"/>
      <c r="BI252" s="9"/>
      <c r="BJ252" s="9"/>
      <c r="BK252" s="9"/>
      <c r="BL252" s="9"/>
      <c r="BM252" s="9"/>
      <c r="BN252" s="9"/>
      <c r="BO252" s="9"/>
    </row>
    <row r="253" spans="1:67">
      <c r="A253" s="8">
        <v>42338</v>
      </c>
      <c r="B253" s="9">
        <f t="shared" si="9"/>
        <v>34.217814191940974</v>
      </c>
      <c r="C253" s="9">
        <f t="shared" si="10"/>
        <v>1.1329459194918443</v>
      </c>
      <c r="D253" s="9">
        <f t="shared" si="11"/>
        <v>24.803247157710292</v>
      </c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>
        <f>SUM(IF(Career_History!G25=TRUE,IF(A253&lt;Career_History!D25,0,MIN(A253,Career_History!E25)-Career_History!D25+1),0),IF(Career_History!G26=TRUE,IF(A253&lt;Career_History!D26,0,MIN(A253,Career_History!E26)-Career_History!D26+1),0),IF(Career_History!G27=TRUE,IF(A253&lt;Career_History!D27,0,MIN(A253,Career_History!E27)-Career_History!D27+1),0),IF(Career_History!G28=TRUE,IF(A253&lt;Career_History!D28,0,MIN(A253,Career_History!E28)-Career_History!D28+1),0),IF(Career_History!G29=TRUE,IF(A253&lt;Career_History!D29,0,MIN(A253,Career_History!E29)-Career_History!D29+1),0))/365.2425</f>
        <v>42.418393259272946</v>
      </c>
      <c r="AD253" s="9">
        <f>SUM(IF(Career_History!I25=TRUE,IF(A253&lt;Career_History!D25,0,MIN(A253,Career_History!E25)-Career_History!D25+1),0),IF(Career_History!I26=TRUE,IF(A253&lt;Career_History!D26,0,MIN(A253,Career_History!E26)-Career_History!D26+1),0),IF(Career_History!I27=TRUE,IF(A253&lt;Career_History!D27,0,MIN(A253,Career_History!E27)-Career_History!D27+1),0),IF(Career_History!I28=TRUE,IF(A253&lt;Career_History!D28,0,MIN(A253,Career_History!E28)-Career_History!D28+1),0),IF(Career_History!I29=TRUE,IF(A253&lt;Career_History!D29,0,MIN(A253,Career_History!E29)-Career_History!D29+1),0))/365.2425</f>
        <v>0</v>
      </c>
      <c r="AE253" s="9">
        <f>SUM(IF(Career_History!H25=TRUE,IF(A253&lt;Career_History!D25,0,MIN(A253,Career_History!E25)-Career_History!D25+1),0),IF(Career_History!H26=TRUE,IF(A253&lt;Career_History!D26,0,MIN(A253,Career_History!E26)-Career_History!D26+1),0),IF(Career_History!H27=TRUE,IF(A253&lt;Career_History!D27,0,MIN(A253,Career_History!E27)-Career_History!D27+1),0),IF(Career_History!H28=TRUE,IF(A253&lt;Career_History!D28,0,MIN(A253,Career_History!E28)-Career_History!D28+1),0),IF(Career_History!H29=TRUE,IF(A253&lt;Career_History!D29,0,MIN(A253,Career_History!E29)-Career_History!D29+1),0))/365.2425</f>
        <v>29.914371958356433</v>
      </c>
      <c r="AF253" s="9">
        <f>SUM(IF(Career_History!G30=TRUE,IF(A253&lt;Career_History!D30,0,MIN(A253,Career_History!E30)-Career_History!D30+1),0),IF(Career_History!G31=TRUE,IF(A253&lt;Career_History!D31,0,MIN(A253,Career_History!E31)-Career_History!D31+1),0),IF(Career_History!G32=TRUE,IF(A253&lt;Career_History!D32,0,MIN(A253,Career_History!E32)-Career_History!D32+1),0))/365.2425</f>
        <v>35.417565042403332</v>
      </c>
      <c r="AG253" s="9">
        <f>SUM(IF(Career_History!I30=TRUE,IF(A253&lt;Career_History!D30,0,MIN(A253,Career_History!E30)-Career_History!D30+1),0),IF(Career_History!I31=TRUE,IF(A253&lt;Career_History!D31,0,MIN(A253,Career_History!E31)-Career_History!D31+1),0),IF(Career_History!I32=TRUE,IF(A253&lt;Career_History!D32,0,MIN(A253,Career_History!E32)-Career_History!D32+1),0))/365.2425</f>
        <v>0</v>
      </c>
      <c r="AH253" s="9">
        <f>SUM(IF(Career_History!H30=TRUE,IF(A253&lt;Career_History!D30,0,MIN(A253,Career_History!E30)-Career_History!D30+1),0),IF(Career_History!H31=TRUE,IF(A253&lt;Career_History!D31,0,MIN(A253,Career_History!E31)-Career_History!D31+1),0),IF(Career_History!H32=TRUE,IF(A253&lt;Career_History!D32,0,MIN(A253,Career_History!E32)-Career_History!D32+1),0))/365.2425</f>
        <v>6.5134807696256596</v>
      </c>
      <c r="AI253" s="9">
        <f>SUM(IF(Career_History!G33=TRUE,IF(A253&lt;Career_History!D33,0,MIN(A253,Career_History!E33)-Career_History!D33+1),0),IF(Career_History!G34=TRUE,IF(A253&lt;Career_History!D34,0,MIN(A253,Career_History!E34)-Career_History!D34+1),0),IF(Career_History!G35=TRUE,IF(A253&lt;Career_History!D35,0,MIN(A253,Career_History!E35)-Career_History!D35+1),0),IF(Career_History!G36=TRUE,IF(A253&lt;Career_History!D36,0,MIN(A253,Career_History!E36)-Career_History!D36+1),0),IF(Career_History!G37=TRUE,IF(A253&lt;Career_History!D37,0,MIN(A253,Career_History!E37)-Career_History!D37+1),0),IF(Career_History!G38=TRUE,IF(A253&lt;Career_History!D38,0,MIN(A253,Career_History!E38)-Career_History!D38+1),0))/365.2425</f>
        <v>35.417565042403332</v>
      </c>
      <c r="AJ253" s="9">
        <f>SUM(IF(Career_History!I33=TRUE,IF(A253&lt;Career_History!D33,0,MIN(A253,Career_History!E33)-Career_History!D33+1),0),IF(Career_History!I34=TRUE,IF(A253&lt;Career_History!D34,0,MIN(A253,Career_History!E34)-Career_History!D34+1),0),IF(Career_History!I35=TRUE,IF(A253&lt;Career_History!D35,0,MIN(A253,Career_History!E35)-Career_History!D35+1),0),IF(Career_History!I36=TRUE,IF(A253&lt;Career_History!D36,0,MIN(A253,Career_History!E36)-Career_History!D36+1),0),IF(Career_History!I37=TRUE,IF(A253&lt;Career_History!D37,0,MIN(A253,Career_History!E37)-Career_History!D37+1),0),IF(Career_History!I38=TRUE,IF(A253&lt;Career_History!D38,0,MIN(A253,Career_History!E38)-Career_History!D38+1),0))/365.2425</f>
        <v>5.664729597459222</v>
      </c>
      <c r="AK253" s="9">
        <f>SUM(IF(Career_History!H33=TRUE,IF(A253&lt;Career_History!D33,0,MIN(A253,Career_History!E33)-Career_History!D33+1),0),IF(Career_History!H34=TRUE,IF(A253&lt;Career_History!D34,0,MIN(A253,Career_History!E34)-Career_History!D34+1),0),IF(Career_History!H35=TRUE,IF(A253&lt;Career_History!D35,0,MIN(A253,Career_History!E35)-Career_History!D35+1),0),IF(Career_History!H36=TRUE,IF(A253&lt;Career_History!D36,0,MIN(A253,Career_History!E36)-Career_History!D36+1),0),IF(Career_History!H37=TRUE,IF(A253&lt;Career_History!D37,0,MIN(A253,Career_History!E37)-Career_History!D37+1),0),IF(Career_History!H38=TRUE,IF(A253&lt;Career_History!D38,0,MIN(A253,Career_History!E38)-Career_History!D38+1),0))/365.2425</f>
        <v>29.752835444944111</v>
      </c>
      <c r="AL253" s="9">
        <f>SUM(IF(Career_History!G39=TRUE,IF(A253&lt;Career_History!D39,0,MIN(A253,Career_History!E39)-Career_History!D39+1),0),IF(Career_History!G40=TRUE,IF(A253&lt;Career_History!D40,0,MIN(A253,Career_History!E40)-Career_History!D40+1),0))/365.2425</f>
        <v>22.417982573221899</v>
      </c>
      <c r="AM253" s="9">
        <f>SUM(IF(Career_History!I39=TRUE,IF(A253&lt;Career_History!D39,0,MIN(A253,Career_History!E39)-Career_History!D39+1),0),IF(Career_History!I40=TRUE,IF(A253&lt;Career_History!D40,0,MIN(A253,Career_History!E40)-Career_History!D40+1),0))/365.2425</f>
        <v>0</v>
      </c>
      <c r="AN253" s="9">
        <f>SUM(IF(Career_History!H39=TRUE,IF(A253&lt;Career_History!D39,0,MIN(A253,Career_History!E39)-Career_History!D39+1),0),IF(Career_History!H40=TRUE,IF(A253&lt;Career_History!D40,0,MIN(A253,Career_History!E40)-Career_History!D40+1),0))/365.2425</f>
        <v>22.417982573221899</v>
      </c>
      <c r="AO253" s="9">
        <f>SUM(IF(Career_History!G41=TRUE,IF(A253&lt;Career_History!D41,0,MIN(A253,Career_History!E41)-Career_History!D41+1),0),IF(Career_History!G42=TRUE,IF(A253&lt;Career_History!D42,0,MIN(A253,Career_History!E42)-Career_History!D42+1),0))/365.2425</f>
        <v>35.417565042403332</v>
      </c>
      <c r="AP253" s="9">
        <f>SUM(IF(Career_History!I41=TRUE,IF(A253&lt;Career_History!D41,0,MIN(A253,Career_History!E41)-Career_History!D41+1),0),IF(Career_History!I42=TRUE,IF(A253&lt;Career_History!D42,0,MIN(A253,Career_History!E42)-Career_History!D42+1),0))/365.2425</f>
        <v>0</v>
      </c>
      <c r="AQ253" s="9">
        <f>SUM(IF(Career_History!H41=TRUE,IF(A253&lt;Career_History!D41,0,MIN(A253,Career_History!E41)-Career_History!D41+1),0),IF(Career_History!H42=TRUE,IF(A253&lt;Career_History!D42,0,MIN(A253,Career_History!E42)-Career_History!D42+1),0))/365.2425</f>
        <v>35.417565042403332</v>
      </c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9"/>
      <c r="BH253" s="9"/>
      <c r="BI253" s="9"/>
      <c r="BJ253" s="9"/>
      <c r="BK253" s="9"/>
      <c r="BL253" s="9"/>
      <c r="BM253" s="9"/>
      <c r="BN253" s="9"/>
      <c r="BO253" s="9"/>
    </row>
    <row r="254" spans="1:67">
      <c r="A254" s="8">
        <v>42369</v>
      </c>
      <c r="B254" s="9">
        <f t="shared" si="9"/>
        <v>34.302689309157621</v>
      </c>
      <c r="C254" s="9">
        <f t="shared" si="10"/>
        <v>1.1329459194918443</v>
      </c>
      <c r="D254" s="9">
        <f t="shared" si="11"/>
        <v>24.888122274926932</v>
      </c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>
        <f>SUM(IF(Career_History!G25=TRUE,IF(A254&lt;Career_History!D25,0,MIN(A254,Career_History!E25)-Career_History!D25+1),0),IF(Career_History!G26=TRUE,IF(A254&lt;Career_History!D26,0,MIN(A254,Career_History!E26)-Career_History!D26+1),0),IF(Career_History!G27=TRUE,IF(A254&lt;Career_History!D27,0,MIN(A254,Career_History!E27)-Career_History!D27+1),0),IF(Career_History!G28=TRUE,IF(A254&lt;Career_History!D28,0,MIN(A254,Career_History!E28)-Career_History!D28+1),0),IF(Career_History!G29=TRUE,IF(A254&lt;Career_History!D29,0,MIN(A254,Career_History!E29)-Career_History!D29+1),0))/365.2425</f>
        <v>42.503268376489594</v>
      </c>
      <c r="AD254" s="9">
        <f>SUM(IF(Career_History!I25=TRUE,IF(A254&lt;Career_History!D25,0,MIN(A254,Career_History!E25)-Career_History!D25+1),0),IF(Career_History!I26=TRUE,IF(A254&lt;Career_History!D26,0,MIN(A254,Career_History!E26)-Career_History!D26+1),0),IF(Career_History!I27=TRUE,IF(A254&lt;Career_History!D27,0,MIN(A254,Career_History!E27)-Career_History!D27+1),0),IF(Career_History!I28=TRUE,IF(A254&lt;Career_History!D28,0,MIN(A254,Career_History!E28)-Career_History!D28+1),0),IF(Career_History!I29=TRUE,IF(A254&lt;Career_History!D29,0,MIN(A254,Career_History!E29)-Career_History!D29+1),0))/365.2425</f>
        <v>0</v>
      </c>
      <c r="AE254" s="9">
        <f>SUM(IF(Career_History!H25=TRUE,IF(A254&lt;Career_History!D25,0,MIN(A254,Career_History!E25)-Career_History!D25+1),0),IF(Career_History!H26=TRUE,IF(A254&lt;Career_History!D26,0,MIN(A254,Career_History!E26)-Career_History!D26+1),0),IF(Career_History!H27=TRUE,IF(A254&lt;Career_History!D27,0,MIN(A254,Career_History!E27)-Career_History!D27+1),0),IF(Career_History!H28=TRUE,IF(A254&lt;Career_History!D28,0,MIN(A254,Career_History!E28)-Career_History!D28+1),0),IF(Career_History!H29=TRUE,IF(A254&lt;Career_History!D29,0,MIN(A254,Career_History!E29)-Career_History!D29+1),0))/365.2425</f>
        <v>29.999247075573077</v>
      </c>
      <c r="AF254" s="9">
        <f>SUM(IF(Career_History!G30=TRUE,IF(A254&lt;Career_History!D30,0,MIN(A254,Career_History!E30)-Career_History!D30+1),0),IF(Career_History!G31=TRUE,IF(A254&lt;Career_History!D31,0,MIN(A254,Career_History!E31)-Career_History!D31+1),0),IF(Career_History!G32=TRUE,IF(A254&lt;Career_History!D32,0,MIN(A254,Career_History!E32)-Career_History!D32+1),0))/365.2425</f>
        <v>35.502440159619979</v>
      </c>
      <c r="AG254" s="9">
        <f>SUM(IF(Career_History!I30=TRUE,IF(A254&lt;Career_History!D30,0,MIN(A254,Career_History!E30)-Career_History!D30+1),0),IF(Career_History!I31=TRUE,IF(A254&lt;Career_History!D31,0,MIN(A254,Career_History!E31)-Career_History!D31+1),0),IF(Career_History!I32=TRUE,IF(A254&lt;Career_History!D32,0,MIN(A254,Career_History!E32)-Career_History!D32+1),0))/365.2425</f>
        <v>0</v>
      </c>
      <c r="AH254" s="9">
        <f>SUM(IF(Career_History!H30=TRUE,IF(A254&lt;Career_History!D30,0,MIN(A254,Career_History!E30)-Career_History!D30+1),0),IF(Career_History!H31=TRUE,IF(A254&lt;Career_History!D31,0,MIN(A254,Career_History!E31)-Career_History!D31+1),0),IF(Career_History!H32=TRUE,IF(A254&lt;Career_History!D32,0,MIN(A254,Career_History!E32)-Career_History!D32+1),0))/365.2425</f>
        <v>6.5983558868423033</v>
      </c>
      <c r="AI254" s="9">
        <f>SUM(IF(Career_History!G33=TRUE,IF(A254&lt;Career_History!D33,0,MIN(A254,Career_History!E33)-Career_History!D33+1),0),IF(Career_History!G34=TRUE,IF(A254&lt;Career_History!D34,0,MIN(A254,Career_History!E34)-Career_History!D34+1),0),IF(Career_History!G35=TRUE,IF(A254&lt;Career_History!D35,0,MIN(A254,Career_History!E35)-Career_History!D35+1),0),IF(Career_History!G36=TRUE,IF(A254&lt;Career_History!D36,0,MIN(A254,Career_History!E36)-Career_History!D36+1),0),IF(Career_History!G37=TRUE,IF(A254&lt;Career_History!D37,0,MIN(A254,Career_History!E37)-Career_History!D37+1),0),IF(Career_History!G38=TRUE,IF(A254&lt;Career_History!D38,0,MIN(A254,Career_History!E38)-Career_History!D38+1),0))/365.2425</f>
        <v>35.502440159619979</v>
      </c>
      <c r="AJ254" s="9">
        <f>SUM(IF(Career_History!I33=TRUE,IF(A254&lt;Career_History!D33,0,MIN(A254,Career_History!E33)-Career_History!D33+1),0),IF(Career_History!I34=TRUE,IF(A254&lt;Career_History!D34,0,MIN(A254,Career_History!E34)-Career_History!D34+1),0),IF(Career_History!I35=TRUE,IF(A254&lt;Career_History!D35,0,MIN(A254,Career_History!E35)-Career_History!D35+1),0),IF(Career_History!I36=TRUE,IF(A254&lt;Career_History!D36,0,MIN(A254,Career_History!E36)-Career_History!D36+1),0),IF(Career_History!I37=TRUE,IF(A254&lt;Career_History!D37,0,MIN(A254,Career_History!E37)-Career_History!D37+1),0),IF(Career_History!I38=TRUE,IF(A254&lt;Career_History!D38,0,MIN(A254,Career_History!E38)-Career_History!D38+1),0))/365.2425</f>
        <v>5.664729597459222</v>
      </c>
      <c r="AK254" s="9">
        <f>SUM(IF(Career_History!H33=TRUE,IF(A254&lt;Career_History!D33,0,MIN(A254,Career_History!E33)-Career_History!D33+1),0),IF(Career_History!H34=TRUE,IF(A254&lt;Career_History!D34,0,MIN(A254,Career_History!E34)-Career_History!D34+1),0),IF(Career_History!H35=TRUE,IF(A254&lt;Career_History!D35,0,MIN(A254,Career_History!E35)-Career_History!D35+1),0),IF(Career_History!H36=TRUE,IF(A254&lt;Career_History!D36,0,MIN(A254,Career_History!E36)-Career_History!D36+1),0),IF(Career_History!H37=TRUE,IF(A254&lt;Career_History!D37,0,MIN(A254,Career_History!E37)-Career_History!D37+1),0),IF(Career_History!H38=TRUE,IF(A254&lt;Career_History!D38,0,MIN(A254,Career_History!E38)-Career_History!D38+1),0))/365.2425</f>
        <v>29.837710562160755</v>
      </c>
      <c r="AL254" s="9">
        <f>SUM(IF(Career_History!G39=TRUE,IF(A254&lt;Career_History!D39,0,MIN(A254,Career_History!E39)-Career_History!D39+1),0),IF(Career_History!G40=TRUE,IF(A254&lt;Career_History!D40,0,MIN(A254,Career_History!E40)-Career_History!D40+1),0))/365.2425</f>
        <v>22.502857690438542</v>
      </c>
      <c r="AM254" s="9">
        <f>SUM(IF(Career_History!I39=TRUE,IF(A254&lt;Career_History!D39,0,MIN(A254,Career_History!E39)-Career_History!D39+1),0),IF(Career_History!I40=TRUE,IF(A254&lt;Career_History!D40,0,MIN(A254,Career_History!E40)-Career_History!D40+1),0))/365.2425</f>
        <v>0</v>
      </c>
      <c r="AN254" s="9">
        <f>SUM(IF(Career_History!H39=TRUE,IF(A254&lt;Career_History!D39,0,MIN(A254,Career_History!E39)-Career_History!D39+1),0),IF(Career_History!H40=TRUE,IF(A254&lt;Career_History!D40,0,MIN(A254,Career_History!E40)-Career_History!D40+1),0))/365.2425</f>
        <v>22.502857690438542</v>
      </c>
      <c r="AO254" s="9">
        <f>SUM(IF(Career_History!G41=TRUE,IF(A254&lt;Career_History!D41,0,MIN(A254,Career_History!E41)-Career_History!D41+1),0),IF(Career_History!G42=TRUE,IF(A254&lt;Career_History!D42,0,MIN(A254,Career_History!E42)-Career_History!D42+1),0))/365.2425</f>
        <v>35.502440159619979</v>
      </c>
      <c r="AP254" s="9">
        <f>SUM(IF(Career_History!I41=TRUE,IF(A254&lt;Career_History!D41,0,MIN(A254,Career_History!E41)-Career_History!D41+1),0),IF(Career_History!I42=TRUE,IF(A254&lt;Career_History!D42,0,MIN(A254,Career_History!E42)-Career_History!D42+1),0))/365.2425</f>
        <v>0</v>
      </c>
      <c r="AQ254" s="9">
        <f>SUM(IF(Career_History!H41=TRUE,IF(A254&lt;Career_History!D41,0,MIN(A254,Career_History!E41)-Career_History!D41+1),0),IF(Career_History!H42=TRUE,IF(A254&lt;Career_History!D42,0,MIN(A254,Career_History!E42)-Career_History!D42+1),0))/365.2425</f>
        <v>35.502440159619979</v>
      </c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9"/>
      <c r="BI254" s="9"/>
      <c r="BJ254" s="9"/>
      <c r="BK254" s="9"/>
      <c r="BL254" s="9"/>
      <c r="BM254" s="9"/>
      <c r="BN254" s="9"/>
      <c r="BO254" s="9"/>
    </row>
    <row r="255" spans="1:67">
      <c r="A255" s="8">
        <v>42400</v>
      </c>
      <c r="B255" s="9">
        <f t="shared" si="9"/>
        <v>34.387564426374254</v>
      </c>
      <c r="C255" s="9">
        <f t="shared" si="10"/>
        <v>1.1329459194918443</v>
      </c>
      <c r="D255" s="9">
        <f t="shared" si="11"/>
        <v>24.972997392143576</v>
      </c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>
        <f>SUM(IF(Career_History!G25=TRUE,IF(A255&lt;Career_History!D25,0,MIN(A255,Career_History!E25)-Career_History!D25+1),0),IF(Career_History!G26=TRUE,IF(A255&lt;Career_History!D26,0,MIN(A255,Career_History!E26)-Career_History!D26+1),0),IF(Career_History!G27=TRUE,IF(A255&lt;Career_History!D27,0,MIN(A255,Career_History!E27)-Career_History!D27+1),0),IF(Career_History!G28=TRUE,IF(A255&lt;Career_History!D28,0,MIN(A255,Career_History!E28)-Career_History!D28+1),0),IF(Career_History!G29=TRUE,IF(A255&lt;Career_History!D29,0,MIN(A255,Career_History!E29)-Career_History!D29+1),0))/365.2425</f>
        <v>42.588143493706234</v>
      </c>
      <c r="AD255" s="9">
        <f>SUM(IF(Career_History!I25=TRUE,IF(A255&lt;Career_History!D25,0,MIN(A255,Career_History!E25)-Career_History!D25+1),0),IF(Career_History!I26=TRUE,IF(A255&lt;Career_History!D26,0,MIN(A255,Career_History!E26)-Career_History!D26+1),0),IF(Career_History!I27=TRUE,IF(A255&lt;Career_History!D27,0,MIN(A255,Career_History!E27)-Career_History!D27+1),0),IF(Career_History!I28=TRUE,IF(A255&lt;Career_History!D28,0,MIN(A255,Career_History!E28)-Career_History!D28+1),0),IF(Career_History!I29=TRUE,IF(A255&lt;Career_History!D29,0,MIN(A255,Career_History!E29)-Career_History!D29+1),0))/365.2425</f>
        <v>0</v>
      </c>
      <c r="AE255" s="9">
        <f>SUM(IF(Career_History!H25=TRUE,IF(A255&lt;Career_History!D25,0,MIN(A255,Career_History!E25)-Career_History!D25+1),0),IF(Career_History!H26=TRUE,IF(A255&lt;Career_History!D26,0,MIN(A255,Career_History!E26)-Career_History!D26+1),0),IF(Career_History!H27=TRUE,IF(A255&lt;Career_History!D27,0,MIN(A255,Career_History!E27)-Career_History!D27+1),0),IF(Career_History!H28=TRUE,IF(A255&lt;Career_History!D28,0,MIN(A255,Career_History!E28)-Career_History!D28+1),0),IF(Career_History!H29=TRUE,IF(A255&lt;Career_History!D29,0,MIN(A255,Career_History!E29)-Career_History!D29+1),0))/365.2425</f>
        <v>30.084122192789721</v>
      </c>
      <c r="AF255" s="9">
        <f>SUM(IF(Career_History!G30=TRUE,IF(A255&lt;Career_History!D30,0,MIN(A255,Career_History!E30)-Career_History!D30+1),0),IF(Career_History!G31=TRUE,IF(A255&lt;Career_History!D31,0,MIN(A255,Career_History!E31)-Career_History!D31+1),0),IF(Career_History!G32=TRUE,IF(A255&lt;Career_History!D32,0,MIN(A255,Career_History!E32)-Career_History!D32+1),0))/365.2425</f>
        <v>35.58731527683662</v>
      </c>
      <c r="AG255" s="9">
        <f>SUM(IF(Career_History!I30=TRUE,IF(A255&lt;Career_History!D30,0,MIN(A255,Career_History!E30)-Career_History!D30+1),0),IF(Career_History!I31=TRUE,IF(A255&lt;Career_History!D31,0,MIN(A255,Career_History!E31)-Career_History!D31+1),0),IF(Career_History!I32=TRUE,IF(A255&lt;Career_History!D32,0,MIN(A255,Career_History!E32)-Career_History!D32+1),0))/365.2425</f>
        <v>0</v>
      </c>
      <c r="AH255" s="9">
        <f>SUM(IF(Career_History!H30=TRUE,IF(A255&lt;Career_History!D30,0,MIN(A255,Career_History!E30)-Career_History!D30+1),0),IF(Career_History!H31=TRUE,IF(A255&lt;Career_History!D31,0,MIN(A255,Career_History!E31)-Career_History!D31+1),0),IF(Career_History!H32=TRUE,IF(A255&lt;Career_History!D32,0,MIN(A255,Career_History!E32)-Career_History!D32+1),0))/365.2425</f>
        <v>6.6832310040589471</v>
      </c>
      <c r="AI255" s="9">
        <f>SUM(IF(Career_History!G33=TRUE,IF(A255&lt;Career_History!D33,0,MIN(A255,Career_History!E33)-Career_History!D33+1),0),IF(Career_History!G34=TRUE,IF(A255&lt;Career_History!D34,0,MIN(A255,Career_History!E34)-Career_History!D34+1),0),IF(Career_History!G35=TRUE,IF(A255&lt;Career_History!D35,0,MIN(A255,Career_History!E35)-Career_History!D35+1),0),IF(Career_History!G36=TRUE,IF(A255&lt;Career_History!D36,0,MIN(A255,Career_History!E36)-Career_History!D36+1),0),IF(Career_History!G37=TRUE,IF(A255&lt;Career_History!D37,0,MIN(A255,Career_History!E37)-Career_History!D37+1),0),IF(Career_History!G38=TRUE,IF(A255&lt;Career_History!D38,0,MIN(A255,Career_History!E38)-Career_History!D38+1),0))/365.2425</f>
        <v>35.58731527683662</v>
      </c>
      <c r="AJ255" s="9">
        <f>SUM(IF(Career_History!I33=TRUE,IF(A255&lt;Career_History!D33,0,MIN(A255,Career_History!E33)-Career_History!D33+1),0),IF(Career_History!I34=TRUE,IF(A255&lt;Career_History!D34,0,MIN(A255,Career_History!E34)-Career_History!D34+1),0),IF(Career_History!I35=TRUE,IF(A255&lt;Career_History!D35,0,MIN(A255,Career_History!E35)-Career_History!D35+1),0),IF(Career_History!I36=TRUE,IF(A255&lt;Career_History!D36,0,MIN(A255,Career_History!E36)-Career_History!D36+1),0),IF(Career_History!I37=TRUE,IF(A255&lt;Career_History!D37,0,MIN(A255,Career_History!E37)-Career_History!D37+1),0),IF(Career_History!I38=TRUE,IF(A255&lt;Career_History!D38,0,MIN(A255,Career_History!E38)-Career_History!D38+1),0))/365.2425</f>
        <v>5.664729597459222</v>
      </c>
      <c r="AK255" s="9">
        <f>SUM(IF(Career_History!H33=TRUE,IF(A255&lt;Career_History!D33,0,MIN(A255,Career_History!E33)-Career_History!D33+1),0),IF(Career_History!H34=TRUE,IF(A255&lt;Career_History!D34,0,MIN(A255,Career_History!E34)-Career_History!D34+1),0),IF(Career_History!H35=TRUE,IF(A255&lt;Career_History!D35,0,MIN(A255,Career_History!E35)-Career_History!D35+1),0),IF(Career_History!H36=TRUE,IF(A255&lt;Career_History!D36,0,MIN(A255,Career_History!E36)-Career_History!D36+1),0),IF(Career_History!H37=TRUE,IF(A255&lt;Career_History!D37,0,MIN(A255,Career_History!E37)-Career_History!D37+1),0),IF(Career_History!H38=TRUE,IF(A255&lt;Career_History!D38,0,MIN(A255,Career_History!E38)-Career_History!D38+1),0))/365.2425</f>
        <v>29.922585679377399</v>
      </c>
      <c r="AL255" s="9">
        <f>SUM(IF(Career_History!G39=TRUE,IF(A255&lt;Career_History!D39,0,MIN(A255,Career_History!E39)-Career_History!D39+1),0),IF(Career_History!G40=TRUE,IF(A255&lt;Career_History!D40,0,MIN(A255,Career_History!E40)-Career_History!D40+1),0))/365.2425</f>
        <v>22.587732807655186</v>
      </c>
      <c r="AM255" s="9">
        <f>SUM(IF(Career_History!I39=TRUE,IF(A255&lt;Career_History!D39,0,MIN(A255,Career_History!E39)-Career_History!D39+1),0),IF(Career_History!I40=TRUE,IF(A255&lt;Career_History!D40,0,MIN(A255,Career_History!E40)-Career_History!D40+1),0))/365.2425</f>
        <v>0</v>
      </c>
      <c r="AN255" s="9">
        <f>SUM(IF(Career_History!H39=TRUE,IF(A255&lt;Career_History!D39,0,MIN(A255,Career_History!E39)-Career_History!D39+1),0),IF(Career_History!H40=TRUE,IF(A255&lt;Career_History!D40,0,MIN(A255,Career_History!E40)-Career_History!D40+1),0))/365.2425</f>
        <v>22.587732807655186</v>
      </c>
      <c r="AO255" s="9">
        <f>SUM(IF(Career_History!G41=TRUE,IF(A255&lt;Career_History!D41,0,MIN(A255,Career_History!E41)-Career_History!D41+1),0),IF(Career_History!G42=TRUE,IF(A255&lt;Career_History!D42,0,MIN(A255,Career_History!E42)-Career_History!D42+1),0))/365.2425</f>
        <v>35.58731527683662</v>
      </c>
      <c r="AP255" s="9">
        <f>SUM(IF(Career_History!I41=TRUE,IF(A255&lt;Career_History!D41,0,MIN(A255,Career_History!E41)-Career_History!D41+1),0),IF(Career_History!I42=TRUE,IF(A255&lt;Career_History!D42,0,MIN(A255,Career_History!E42)-Career_History!D42+1),0))/365.2425</f>
        <v>0</v>
      </c>
      <c r="AQ255" s="9">
        <f>SUM(IF(Career_History!H41=TRUE,IF(A255&lt;Career_History!D41,0,MIN(A255,Career_History!E41)-Career_History!D41+1),0),IF(Career_History!H42=TRUE,IF(A255&lt;Career_History!D42,0,MIN(A255,Career_History!E42)-Career_History!D42+1),0))/365.2425</f>
        <v>35.58731527683662</v>
      </c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9"/>
      <c r="BH255" s="9"/>
      <c r="BI255" s="9"/>
      <c r="BJ255" s="9"/>
      <c r="BK255" s="9"/>
      <c r="BL255" s="9"/>
      <c r="BM255" s="9"/>
      <c r="BN255" s="9"/>
      <c r="BO255" s="9"/>
    </row>
    <row r="256" spans="1:67">
      <c r="A256" s="8">
        <v>42429</v>
      </c>
      <c r="B256" s="9">
        <f t="shared" si="9"/>
        <v>34.466963729576932</v>
      </c>
      <c r="C256" s="9">
        <f t="shared" si="10"/>
        <v>1.1329459194918443</v>
      </c>
      <c r="D256" s="9">
        <f t="shared" si="11"/>
        <v>25.052396695346243</v>
      </c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>
        <f>SUM(IF(Career_History!G25=TRUE,IF(A256&lt;Career_History!D25,0,MIN(A256,Career_History!E25)-Career_History!D25+1),0),IF(Career_History!G26=TRUE,IF(A256&lt;Career_History!D26,0,MIN(A256,Career_History!E26)-Career_History!D26+1),0),IF(Career_History!G27=TRUE,IF(A256&lt;Career_History!D27,0,MIN(A256,Career_History!E27)-Career_History!D27+1),0),IF(Career_History!G28=TRUE,IF(A256&lt;Career_History!D28,0,MIN(A256,Career_History!E28)-Career_History!D28+1),0),IF(Career_History!G29=TRUE,IF(A256&lt;Career_History!D29,0,MIN(A256,Career_History!E29)-Career_History!D29+1),0))/365.2425</f>
        <v>42.667542796908904</v>
      </c>
      <c r="AD256" s="9">
        <f>SUM(IF(Career_History!I25=TRUE,IF(A256&lt;Career_History!D25,0,MIN(A256,Career_History!E25)-Career_History!D25+1),0),IF(Career_History!I26=TRUE,IF(A256&lt;Career_History!D26,0,MIN(A256,Career_History!E26)-Career_History!D26+1),0),IF(Career_History!I27=TRUE,IF(A256&lt;Career_History!D27,0,MIN(A256,Career_History!E27)-Career_History!D27+1),0),IF(Career_History!I28=TRUE,IF(A256&lt;Career_History!D28,0,MIN(A256,Career_History!E28)-Career_History!D28+1),0),IF(Career_History!I29=TRUE,IF(A256&lt;Career_History!D29,0,MIN(A256,Career_History!E29)-Career_History!D29+1),0))/365.2425</f>
        <v>0</v>
      </c>
      <c r="AE256" s="9">
        <f>SUM(IF(Career_History!H25=TRUE,IF(A256&lt;Career_History!D25,0,MIN(A256,Career_History!E25)-Career_History!D25+1),0),IF(Career_History!H26=TRUE,IF(A256&lt;Career_History!D26,0,MIN(A256,Career_History!E26)-Career_History!D26+1),0),IF(Career_History!H27=TRUE,IF(A256&lt;Career_History!D27,0,MIN(A256,Career_History!E27)-Career_History!D27+1),0),IF(Career_History!H28=TRUE,IF(A256&lt;Career_History!D28,0,MIN(A256,Career_History!E28)-Career_History!D28+1),0),IF(Career_History!H29=TRUE,IF(A256&lt;Career_History!D29,0,MIN(A256,Career_History!E29)-Career_History!D29+1),0))/365.2425</f>
        <v>30.163521495992388</v>
      </c>
      <c r="AF256" s="9">
        <f>SUM(IF(Career_History!G30=TRUE,IF(A256&lt;Career_History!D30,0,MIN(A256,Career_History!E30)-Career_History!D30+1),0),IF(Career_History!G31=TRUE,IF(A256&lt;Career_History!D31,0,MIN(A256,Career_History!E31)-Career_History!D31+1),0),IF(Career_History!G32=TRUE,IF(A256&lt;Career_History!D32,0,MIN(A256,Career_History!E32)-Career_History!D32+1),0))/365.2425</f>
        <v>35.66671458003929</v>
      </c>
      <c r="AG256" s="9">
        <f>SUM(IF(Career_History!I30=TRUE,IF(A256&lt;Career_History!D30,0,MIN(A256,Career_History!E30)-Career_History!D30+1),0),IF(Career_History!I31=TRUE,IF(A256&lt;Career_History!D31,0,MIN(A256,Career_History!E31)-Career_History!D31+1),0),IF(Career_History!I32=TRUE,IF(A256&lt;Career_History!D32,0,MIN(A256,Career_History!E32)-Career_History!D32+1),0))/365.2425</f>
        <v>0</v>
      </c>
      <c r="AH256" s="9">
        <f>SUM(IF(Career_History!H30=TRUE,IF(A256&lt;Career_History!D30,0,MIN(A256,Career_History!E30)-Career_History!D30+1),0),IF(Career_History!H31=TRUE,IF(A256&lt;Career_History!D31,0,MIN(A256,Career_History!E31)-Career_History!D31+1),0),IF(Career_History!H32=TRUE,IF(A256&lt;Career_History!D32,0,MIN(A256,Career_History!E32)-Career_History!D32+1),0))/365.2425</f>
        <v>6.7626303072616141</v>
      </c>
      <c r="AI256" s="9">
        <f>SUM(IF(Career_History!G33=TRUE,IF(A256&lt;Career_History!D33,0,MIN(A256,Career_History!E33)-Career_History!D33+1),0),IF(Career_History!G34=TRUE,IF(A256&lt;Career_History!D34,0,MIN(A256,Career_History!E34)-Career_History!D34+1),0),IF(Career_History!G35=TRUE,IF(A256&lt;Career_History!D35,0,MIN(A256,Career_History!E35)-Career_History!D35+1),0),IF(Career_History!G36=TRUE,IF(A256&lt;Career_History!D36,0,MIN(A256,Career_History!E36)-Career_History!D36+1),0),IF(Career_History!G37=TRUE,IF(A256&lt;Career_History!D37,0,MIN(A256,Career_History!E37)-Career_History!D37+1),0),IF(Career_History!G38=TRUE,IF(A256&lt;Career_History!D38,0,MIN(A256,Career_History!E38)-Career_History!D38+1),0))/365.2425</f>
        <v>35.66671458003929</v>
      </c>
      <c r="AJ256" s="9">
        <f>SUM(IF(Career_History!I33=TRUE,IF(A256&lt;Career_History!D33,0,MIN(A256,Career_History!E33)-Career_History!D33+1),0),IF(Career_History!I34=TRUE,IF(A256&lt;Career_History!D34,0,MIN(A256,Career_History!E34)-Career_History!D34+1),0),IF(Career_History!I35=TRUE,IF(A256&lt;Career_History!D35,0,MIN(A256,Career_History!E35)-Career_History!D35+1),0),IF(Career_History!I36=TRUE,IF(A256&lt;Career_History!D36,0,MIN(A256,Career_History!E36)-Career_History!D36+1),0),IF(Career_History!I37=TRUE,IF(A256&lt;Career_History!D37,0,MIN(A256,Career_History!E37)-Career_History!D37+1),0),IF(Career_History!I38=TRUE,IF(A256&lt;Career_History!D38,0,MIN(A256,Career_History!E38)-Career_History!D38+1),0))/365.2425</f>
        <v>5.664729597459222</v>
      </c>
      <c r="AK256" s="9">
        <f>SUM(IF(Career_History!H33=TRUE,IF(A256&lt;Career_History!D33,0,MIN(A256,Career_History!E33)-Career_History!D33+1),0),IF(Career_History!H34=TRUE,IF(A256&lt;Career_History!D34,0,MIN(A256,Career_History!E34)-Career_History!D34+1),0),IF(Career_History!H35=TRUE,IF(A256&lt;Career_History!D35,0,MIN(A256,Career_History!E35)-Career_History!D35+1),0),IF(Career_History!H36=TRUE,IF(A256&lt;Career_History!D36,0,MIN(A256,Career_History!E36)-Career_History!D36+1),0),IF(Career_History!H37=TRUE,IF(A256&lt;Career_History!D37,0,MIN(A256,Career_History!E37)-Career_History!D37+1),0),IF(Career_History!H38=TRUE,IF(A256&lt;Career_History!D38,0,MIN(A256,Career_History!E38)-Career_History!D38+1),0))/365.2425</f>
        <v>30.001984982580066</v>
      </c>
      <c r="AL256" s="9">
        <f>SUM(IF(Career_History!G39=TRUE,IF(A256&lt;Career_History!D39,0,MIN(A256,Career_History!E39)-Career_History!D39+1),0),IF(Career_History!G40=TRUE,IF(A256&lt;Career_History!D40,0,MIN(A256,Career_History!E40)-Career_History!D40+1),0))/365.2425</f>
        <v>22.667132110857853</v>
      </c>
      <c r="AM256" s="9">
        <f>SUM(IF(Career_History!I39=TRUE,IF(A256&lt;Career_History!D39,0,MIN(A256,Career_History!E39)-Career_History!D39+1),0),IF(Career_History!I40=TRUE,IF(A256&lt;Career_History!D40,0,MIN(A256,Career_History!E40)-Career_History!D40+1),0))/365.2425</f>
        <v>0</v>
      </c>
      <c r="AN256" s="9">
        <f>SUM(IF(Career_History!H39=TRUE,IF(A256&lt;Career_History!D39,0,MIN(A256,Career_History!E39)-Career_History!D39+1),0),IF(Career_History!H40=TRUE,IF(A256&lt;Career_History!D40,0,MIN(A256,Career_History!E40)-Career_History!D40+1),0))/365.2425</f>
        <v>22.667132110857853</v>
      </c>
      <c r="AO256" s="9">
        <f>SUM(IF(Career_History!G41=TRUE,IF(A256&lt;Career_History!D41,0,MIN(A256,Career_History!E41)-Career_History!D41+1),0),IF(Career_History!G42=TRUE,IF(A256&lt;Career_History!D42,0,MIN(A256,Career_History!E42)-Career_History!D42+1),0))/365.2425</f>
        <v>35.66671458003929</v>
      </c>
      <c r="AP256" s="9">
        <f>SUM(IF(Career_History!I41=TRUE,IF(A256&lt;Career_History!D41,0,MIN(A256,Career_History!E41)-Career_History!D41+1),0),IF(Career_History!I42=TRUE,IF(A256&lt;Career_History!D42,0,MIN(A256,Career_History!E42)-Career_History!D42+1),0))/365.2425</f>
        <v>0</v>
      </c>
      <c r="AQ256" s="9">
        <f>SUM(IF(Career_History!H41=TRUE,IF(A256&lt;Career_History!D41,0,MIN(A256,Career_History!E41)-Career_History!D41+1),0),IF(Career_History!H42=TRUE,IF(A256&lt;Career_History!D42,0,MIN(A256,Career_History!E42)-Career_History!D42+1),0))/365.2425</f>
        <v>35.66671458003929</v>
      </c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9"/>
      <c r="BH256" s="9"/>
      <c r="BI256" s="9"/>
      <c r="BJ256" s="9"/>
      <c r="BK256" s="9"/>
      <c r="BL256" s="9"/>
      <c r="BM256" s="9"/>
      <c r="BN256" s="9"/>
      <c r="BO256" s="9"/>
    </row>
    <row r="257" spans="1:67">
      <c r="A257" s="8">
        <v>42460</v>
      </c>
      <c r="B257" s="9">
        <f t="shared" si="9"/>
        <v>34.551838846793558</v>
      </c>
      <c r="C257" s="9">
        <f t="shared" si="10"/>
        <v>1.1329459194918443</v>
      </c>
      <c r="D257" s="9">
        <f t="shared" si="11"/>
        <v>25.137271812562879</v>
      </c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>
        <f>SUM(IF(Career_History!G25=TRUE,IF(A257&lt;Career_History!D25,0,MIN(A257,Career_History!E25)-Career_History!D25+1),0),IF(Career_History!G26=TRUE,IF(A257&lt;Career_History!D26,0,MIN(A257,Career_History!E26)-Career_History!D26+1),0),IF(Career_History!G27=TRUE,IF(A257&lt;Career_History!D27,0,MIN(A257,Career_History!E27)-Career_History!D27+1),0),IF(Career_History!G28=TRUE,IF(A257&lt;Career_History!D28,0,MIN(A257,Career_History!E28)-Career_History!D28+1),0),IF(Career_History!G29=TRUE,IF(A257&lt;Career_History!D29,0,MIN(A257,Career_History!E29)-Career_History!D29+1),0))/365.2425</f>
        <v>42.752417914125544</v>
      </c>
      <c r="AD257" s="9">
        <f>SUM(IF(Career_History!I25=TRUE,IF(A257&lt;Career_History!D25,0,MIN(A257,Career_History!E25)-Career_History!D25+1),0),IF(Career_History!I26=TRUE,IF(A257&lt;Career_History!D26,0,MIN(A257,Career_History!E26)-Career_History!D26+1),0),IF(Career_History!I27=TRUE,IF(A257&lt;Career_History!D27,0,MIN(A257,Career_History!E27)-Career_History!D27+1),0),IF(Career_History!I28=TRUE,IF(A257&lt;Career_History!D28,0,MIN(A257,Career_History!E28)-Career_History!D28+1),0),IF(Career_History!I29=TRUE,IF(A257&lt;Career_History!D29,0,MIN(A257,Career_History!E29)-Career_History!D29+1),0))/365.2425</f>
        <v>0</v>
      </c>
      <c r="AE257" s="9">
        <f>SUM(IF(Career_History!H25=TRUE,IF(A257&lt;Career_History!D25,0,MIN(A257,Career_History!E25)-Career_History!D25+1),0),IF(Career_History!H26=TRUE,IF(A257&lt;Career_History!D26,0,MIN(A257,Career_History!E26)-Career_History!D26+1),0),IF(Career_History!H27=TRUE,IF(A257&lt;Career_History!D27,0,MIN(A257,Career_History!E27)-Career_History!D27+1),0),IF(Career_History!H28=TRUE,IF(A257&lt;Career_History!D28,0,MIN(A257,Career_History!E28)-Career_History!D28+1),0),IF(Career_History!H29=TRUE,IF(A257&lt;Career_History!D29,0,MIN(A257,Career_History!E29)-Career_History!D29+1),0))/365.2425</f>
        <v>30.248396613209032</v>
      </c>
      <c r="AF257" s="9">
        <f>SUM(IF(Career_History!G30=TRUE,IF(A257&lt;Career_History!D30,0,MIN(A257,Career_History!E30)-Career_History!D30+1),0),IF(Career_History!G31=TRUE,IF(A257&lt;Career_History!D31,0,MIN(A257,Career_History!E31)-Career_History!D31+1),0),IF(Career_History!G32=TRUE,IF(A257&lt;Career_History!D32,0,MIN(A257,Career_History!E32)-Career_History!D32+1),0))/365.2425</f>
        <v>35.75158969725593</v>
      </c>
      <c r="AG257" s="9">
        <f>SUM(IF(Career_History!I30=TRUE,IF(A257&lt;Career_History!D30,0,MIN(A257,Career_History!E30)-Career_History!D30+1),0),IF(Career_History!I31=TRUE,IF(A257&lt;Career_History!D31,0,MIN(A257,Career_History!E31)-Career_History!D31+1),0),IF(Career_History!I32=TRUE,IF(A257&lt;Career_History!D32,0,MIN(A257,Career_History!E32)-Career_History!D32+1),0))/365.2425</f>
        <v>0</v>
      </c>
      <c r="AH257" s="9">
        <f>SUM(IF(Career_History!H30=TRUE,IF(A257&lt;Career_History!D30,0,MIN(A257,Career_History!E30)-Career_History!D30+1),0),IF(Career_History!H31=TRUE,IF(A257&lt;Career_History!D31,0,MIN(A257,Career_History!E31)-Career_History!D31+1),0),IF(Career_History!H32=TRUE,IF(A257&lt;Career_History!D32,0,MIN(A257,Career_History!E32)-Career_History!D32+1),0))/365.2425</f>
        <v>6.8475054244782578</v>
      </c>
      <c r="AI257" s="9">
        <f>SUM(IF(Career_History!G33=TRUE,IF(A257&lt;Career_History!D33,0,MIN(A257,Career_History!E33)-Career_History!D33+1),0),IF(Career_History!G34=TRUE,IF(A257&lt;Career_History!D34,0,MIN(A257,Career_History!E34)-Career_History!D34+1),0),IF(Career_History!G35=TRUE,IF(A257&lt;Career_History!D35,0,MIN(A257,Career_History!E35)-Career_History!D35+1),0),IF(Career_History!G36=TRUE,IF(A257&lt;Career_History!D36,0,MIN(A257,Career_History!E36)-Career_History!D36+1),0),IF(Career_History!G37=TRUE,IF(A257&lt;Career_History!D37,0,MIN(A257,Career_History!E37)-Career_History!D37+1),0),IF(Career_History!G38=TRUE,IF(A257&lt;Career_History!D38,0,MIN(A257,Career_History!E38)-Career_History!D38+1),0))/365.2425</f>
        <v>35.75158969725593</v>
      </c>
      <c r="AJ257" s="9">
        <f>SUM(IF(Career_History!I33=TRUE,IF(A257&lt;Career_History!D33,0,MIN(A257,Career_History!E33)-Career_History!D33+1),0),IF(Career_History!I34=TRUE,IF(A257&lt;Career_History!D34,0,MIN(A257,Career_History!E34)-Career_History!D34+1),0),IF(Career_History!I35=TRUE,IF(A257&lt;Career_History!D35,0,MIN(A257,Career_History!E35)-Career_History!D35+1),0),IF(Career_History!I36=TRUE,IF(A257&lt;Career_History!D36,0,MIN(A257,Career_History!E36)-Career_History!D36+1),0),IF(Career_History!I37=TRUE,IF(A257&lt;Career_History!D37,0,MIN(A257,Career_History!E37)-Career_History!D37+1),0),IF(Career_History!I38=TRUE,IF(A257&lt;Career_History!D38,0,MIN(A257,Career_History!E38)-Career_History!D38+1),0))/365.2425</f>
        <v>5.664729597459222</v>
      </c>
      <c r="AK257" s="9">
        <f>SUM(IF(Career_History!H33=TRUE,IF(A257&lt;Career_History!D33,0,MIN(A257,Career_History!E33)-Career_History!D33+1),0),IF(Career_History!H34=TRUE,IF(A257&lt;Career_History!D34,0,MIN(A257,Career_History!E34)-Career_History!D34+1),0),IF(Career_History!H35=TRUE,IF(A257&lt;Career_History!D35,0,MIN(A257,Career_History!E35)-Career_History!D35+1),0),IF(Career_History!H36=TRUE,IF(A257&lt;Career_History!D36,0,MIN(A257,Career_History!E36)-Career_History!D36+1),0),IF(Career_History!H37=TRUE,IF(A257&lt;Career_History!D37,0,MIN(A257,Career_History!E37)-Career_History!D37+1),0),IF(Career_History!H38=TRUE,IF(A257&lt;Career_History!D38,0,MIN(A257,Career_History!E38)-Career_History!D38+1),0))/365.2425</f>
        <v>30.086860099796709</v>
      </c>
      <c r="AL257" s="9">
        <f>SUM(IF(Career_History!G39=TRUE,IF(A257&lt;Career_History!D39,0,MIN(A257,Career_History!E39)-Career_History!D39+1),0),IF(Career_History!G40=TRUE,IF(A257&lt;Career_History!D40,0,MIN(A257,Career_History!E40)-Career_History!D40+1),0))/365.2425</f>
        <v>22.752007228074497</v>
      </c>
      <c r="AM257" s="9">
        <f>SUM(IF(Career_History!I39=TRUE,IF(A257&lt;Career_History!D39,0,MIN(A257,Career_History!E39)-Career_History!D39+1),0),IF(Career_History!I40=TRUE,IF(A257&lt;Career_History!D40,0,MIN(A257,Career_History!E40)-Career_History!D40+1),0))/365.2425</f>
        <v>0</v>
      </c>
      <c r="AN257" s="9">
        <f>SUM(IF(Career_History!H39=TRUE,IF(A257&lt;Career_History!D39,0,MIN(A257,Career_History!E39)-Career_History!D39+1),0),IF(Career_History!H40=TRUE,IF(A257&lt;Career_History!D40,0,MIN(A257,Career_History!E40)-Career_History!D40+1),0))/365.2425</f>
        <v>22.752007228074497</v>
      </c>
      <c r="AO257" s="9">
        <f>SUM(IF(Career_History!G41=TRUE,IF(A257&lt;Career_History!D41,0,MIN(A257,Career_History!E41)-Career_History!D41+1),0),IF(Career_History!G42=TRUE,IF(A257&lt;Career_History!D42,0,MIN(A257,Career_History!E42)-Career_History!D42+1),0))/365.2425</f>
        <v>35.75158969725593</v>
      </c>
      <c r="AP257" s="9">
        <f>SUM(IF(Career_History!I41=TRUE,IF(A257&lt;Career_History!D41,0,MIN(A257,Career_History!E41)-Career_History!D41+1),0),IF(Career_History!I42=TRUE,IF(A257&lt;Career_History!D42,0,MIN(A257,Career_History!E42)-Career_History!D42+1),0))/365.2425</f>
        <v>0</v>
      </c>
      <c r="AQ257" s="9">
        <f>SUM(IF(Career_History!H41=TRUE,IF(A257&lt;Career_History!D41,0,MIN(A257,Career_History!E41)-Career_History!D41+1),0),IF(Career_History!H42=TRUE,IF(A257&lt;Career_History!D42,0,MIN(A257,Career_History!E42)-Career_History!D42+1),0))/365.2425</f>
        <v>35.75158969725593</v>
      </c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9"/>
      <c r="BH257" s="9"/>
      <c r="BI257" s="9"/>
      <c r="BJ257" s="9"/>
      <c r="BK257" s="9"/>
      <c r="BL257" s="9"/>
      <c r="BM257" s="9"/>
      <c r="BN257" s="9"/>
      <c r="BO257" s="9"/>
    </row>
    <row r="258" spans="1:67">
      <c r="A258" s="8">
        <v>42490</v>
      </c>
      <c r="B258" s="9">
        <f t="shared" si="9"/>
        <v>34.633976057003224</v>
      </c>
      <c r="C258" s="9">
        <f t="shared" si="10"/>
        <v>1.1329459194918443</v>
      </c>
      <c r="D258" s="9">
        <f t="shared" si="11"/>
        <v>25.219409022772542</v>
      </c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>
        <f>SUM(IF(Career_History!G25=TRUE,IF(A258&lt;Career_History!D25,0,MIN(A258,Career_History!E25)-Career_History!D25+1),0),IF(Career_History!G26=TRUE,IF(A258&lt;Career_History!D26,0,MIN(A258,Career_History!E26)-Career_History!D26+1),0),IF(Career_History!G27=TRUE,IF(A258&lt;Career_History!D27,0,MIN(A258,Career_History!E27)-Career_History!D27+1),0),IF(Career_History!G28=TRUE,IF(A258&lt;Career_History!D28,0,MIN(A258,Career_History!E28)-Career_History!D28+1),0),IF(Career_History!G29=TRUE,IF(A258&lt;Career_History!D29,0,MIN(A258,Career_History!E29)-Career_History!D29+1),0))/365.2425</f>
        <v>42.834555124335203</v>
      </c>
      <c r="AD258" s="9">
        <f>SUM(IF(Career_History!I25=TRUE,IF(A258&lt;Career_History!D25,0,MIN(A258,Career_History!E25)-Career_History!D25+1),0),IF(Career_History!I26=TRUE,IF(A258&lt;Career_History!D26,0,MIN(A258,Career_History!E26)-Career_History!D26+1),0),IF(Career_History!I27=TRUE,IF(A258&lt;Career_History!D27,0,MIN(A258,Career_History!E27)-Career_History!D27+1),0),IF(Career_History!I28=TRUE,IF(A258&lt;Career_History!D28,0,MIN(A258,Career_History!E28)-Career_History!D28+1),0),IF(Career_History!I29=TRUE,IF(A258&lt;Career_History!D29,0,MIN(A258,Career_History!E29)-Career_History!D29+1),0))/365.2425</f>
        <v>0</v>
      </c>
      <c r="AE258" s="9">
        <f>SUM(IF(Career_History!H25=TRUE,IF(A258&lt;Career_History!D25,0,MIN(A258,Career_History!E25)-Career_History!D25+1),0),IF(Career_History!H26=TRUE,IF(A258&lt;Career_History!D26,0,MIN(A258,Career_History!E26)-Career_History!D26+1),0),IF(Career_History!H27=TRUE,IF(A258&lt;Career_History!D27,0,MIN(A258,Career_History!E27)-Career_History!D27+1),0),IF(Career_History!H28=TRUE,IF(A258&lt;Career_History!D28,0,MIN(A258,Career_History!E28)-Career_History!D28+1),0),IF(Career_History!H29=TRUE,IF(A258&lt;Career_History!D29,0,MIN(A258,Career_History!E29)-Career_History!D29+1),0))/365.2425</f>
        <v>30.330533823418687</v>
      </c>
      <c r="AF258" s="9">
        <f>SUM(IF(Career_History!G30=TRUE,IF(A258&lt;Career_History!D30,0,MIN(A258,Career_History!E30)-Career_History!D30+1),0),IF(Career_History!G31=TRUE,IF(A258&lt;Career_History!D31,0,MIN(A258,Career_History!E31)-Career_History!D31+1),0),IF(Career_History!G32=TRUE,IF(A258&lt;Career_History!D32,0,MIN(A258,Career_History!E32)-Career_History!D32+1),0))/365.2425</f>
        <v>35.833726907465589</v>
      </c>
      <c r="AG258" s="9">
        <f>SUM(IF(Career_History!I30=TRUE,IF(A258&lt;Career_History!D30,0,MIN(A258,Career_History!E30)-Career_History!D30+1),0),IF(Career_History!I31=TRUE,IF(A258&lt;Career_History!D31,0,MIN(A258,Career_History!E31)-Career_History!D31+1),0),IF(Career_History!I32=TRUE,IF(A258&lt;Career_History!D32,0,MIN(A258,Career_History!E32)-Career_History!D32+1),0))/365.2425</f>
        <v>0</v>
      </c>
      <c r="AH258" s="9">
        <f>SUM(IF(Career_History!H30=TRUE,IF(A258&lt;Career_History!D30,0,MIN(A258,Career_History!E30)-Career_History!D30+1),0),IF(Career_History!H31=TRUE,IF(A258&lt;Career_History!D31,0,MIN(A258,Career_History!E31)-Career_History!D31+1),0),IF(Career_History!H32=TRUE,IF(A258&lt;Career_History!D32,0,MIN(A258,Career_History!E32)-Career_History!D32+1),0))/365.2425</f>
        <v>6.9296426346879123</v>
      </c>
      <c r="AI258" s="9">
        <f>SUM(IF(Career_History!G33=TRUE,IF(A258&lt;Career_History!D33,0,MIN(A258,Career_History!E33)-Career_History!D33+1),0),IF(Career_History!G34=TRUE,IF(A258&lt;Career_History!D34,0,MIN(A258,Career_History!E34)-Career_History!D34+1),0),IF(Career_History!G35=TRUE,IF(A258&lt;Career_History!D35,0,MIN(A258,Career_History!E35)-Career_History!D35+1),0),IF(Career_History!G36=TRUE,IF(A258&lt;Career_History!D36,0,MIN(A258,Career_History!E36)-Career_History!D36+1),0),IF(Career_History!G37=TRUE,IF(A258&lt;Career_History!D37,0,MIN(A258,Career_History!E37)-Career_History!D37+1),0),IF(Career_History!G38=TRUE,IF(A258&lt;Career_History!D38,0,MIN(A258,Career_History!E38)-Career_History!D38+1),0))/365.2425</f>
        <v>35.833726907465589</v>
      </c>
      <c r="AJ258" s="9">
        <f>SUM(IF(Career_History!I33=TRUE,IF(A258&lt;Career_History!D33,0,MIN(A258,Career_History!E33)-Career_History!D33+1),0),IF(Career_History!I34=TRUE,IF(A258&lt;Career_History!D34,0,MIN(A258,Career_History!E34)-Career_History!D34+1),0),IF(Career_History!I35=TRUE,IF(A258&lt;Career_History!D35,0,MIN(A258,Career_History!E35)-Career_History!D35+1),0),IF(Career_History!I36=TRUE,IF(A258&lt;Career_History!D36,0,MIN(A258,Career_History!E36)-Career_History!D36+1),0),IF(Career_History!I37=TRUE,IF(A258&lt;Career_History!D37,0,MIN(A258,Career_History!E37)-Career_History!D37+1),0),IF(Career_History!I38=TRUE,IF(A258&lt;Career_History!D38,0,MIN(A258,Career_History!E38)-Career_History!D38+1),0))/365.2425</f>
        <v>5.664729597459222</v>
      </c>
      <c r="AK258" s="9">
        <f>SUM(IF(Career_History!H33=TRUE,IF(A258&lt;Career_History!D33,0,MIN(A258,Career_History!E33)-Career_History!D33+1),0),IF(Career_History!H34=TRUE,IF(A258&lt;Career_History!D34,0,MIN(A258,Career_History!E34)-Career_History!D34+1),0),IF(Career_History!H35=TRUE,IF(A258&lt;Career_History!D35,0,MIN(A258,Career_History!E35)-Career_History!D35+1),0),IF(Career_History!H36=TRUE,IF(A258&lt;Career_History!D36,0,MIN(A258,Career_History!E36)-Career_History!D36+1),0),IF(Career_History!H37=TRUE,IF(A258&lt;Career_History!D37,0,MIN(A258,Career_History!E37)-Career_History!D37+1),0),IF(Career_History!H38=TRUE,IF(A258&lt;Career_History!D38,0,MIN(A258,Career_History!E38)-Career_History!D38+1),0))/365.2425</f>
        <v>30.168997310006365</v>
      </c>
      <c r="AL258" s="9">
        <f>SUM(IF(Career_History!G39=TRUE,IF(A258&lt;Career_History!D39,0,MIN(A258,Career_History!E39)-Career_History!D39+1),0),IF(Career_History!G40=TRUE,IF(A258&lt;Career_History!D40,0,MIN(A258,Career_History!E40)-Career_History!D40+1),0))/365.2425</f>
        <v>22.834144438284152</v>
      </c>
      <c r="AM258" s="9">
        <f>SUM(IF(Career_History!I39=TRUE,IF(A258&lt;Career_History!D39,0,MIN(A258,Career_History!E39)-Career_History!D39+1),0),IF(Career_History!I40=TRUE,IF(A258&lt;Career_History!D40,0,MIN(A258,Career_History!E40)-Career_History!D40+1),0))/365.2425</f>
        <v>0</v>
      </c>
      <c r="AN258" s="9">
        <f>SUM(IF(Career_History!H39=TRUE,IF(A258&lt;Career_History!D39,0,MIN(A258,Career_History!E39)-Career_History!D39+1),0),IF(Career_History!H40=TRUE,IF(A258&lt;Career_History!D40,0,MIN(A258,Career_History!E40)-Career_History!D40+1),0))/365.2425</f>
        <v>22.834144438284152</v>
      </c>
      <c r="AO258" s="9">
        <f>SUM(IF(Career_History!G41=TRUE,IF(A258&lt;Career_History!D41,0,MIN(A258,Career_History!E41)-Career_History!D41+1),0),IF(Career_History!G42=TRUE,IF(A258&lt;Career_History!D42,0,MIN(A258,Career_History!E42)-Career_History!D42+1),0))/365.2425</f>
        <v>35.833726907465589</v>
      </c>
      <c r="AP258" s="9">
        <f>SUM(IF(Career_History!I41=TRUE,IF(A258&lt;Career_History!D41,0,MIN(A258,Career_History!E41)-Career_History!D41+1),0),IF(Career_History!I42=TRUE,IF(A258&lt;Career_History!D42,0,MIN(A258,Career_History!E42)-Career_History!D42+1),0))/365.2425</f>
        <v>0</v>
      </c>
      <c r="AQ258" s="9">
        <f>SUM(IF(Career_History!H41=TRUE,IF(A258&lt;Career_History!D41,0,MIN(A258,Career_History!E41)-Career_History!D41+1),0),IF(Career_History!H42=TRUE,IF(A258&lt;Career_History!D42,0,MIN(A258,Career_History!E42)-Career_History!D42+1),0))/365.2425</f>
        <v>35.833726907465589</v>
      </c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9"/>
      <c r="BH258" s="9"/>
      <c r="BI258" s="9"/>
      <c r="BJ258" s="9"/>
      <c r="BK258" s="9"/>
      <c r="BL258" s="9"/>
      <c r="BM258" s="9"/>
      <c r="BN258" s="9"/>
      <c r="BO258" s="9"/>
    </row>
    <row r="259" spans="1:67">
      <c r="A259" s="8">
        <v>42521</v>
      </c>
      <c r="B259" s="9">
        <f t="shared" ref="B259:B322" si="12">IFERROR(AVERAGE(E259,H259,K259,N259,Q259,T259,W259,Z259,AC259,AF259,AI259,AL259,AO259,AR259,AU259,AX259,BA259,BD259,BG259,BJ259,BM259),"")</f>
        <v>34.718851174219864</v>
      </c>
      <c r="C259" s="9">
        <f t="shared" ref="C259:C322" si="13">IFERROR(AVERAGE(F259,I259,L259,O259,R259,U259,X259,AA259,AD259,AG259,AJ259,AM259,AP259,AS259,AV259,AY259,BB259,BE259,BH259,BK259,BN259),"")</f>
        <v>1.1329459194918443</v>
      </c>
      <c r="D259" s="9">
        <f t="shared" ref="D259:D322" si="14">IFERROR(AVERAGE(G259,J259,M259,P259,S259,V259,Y259,AB259,AE259,AH259,AK259,AN259,AQ259,AT259,AW259,AZ259,BC259,BF259,BI259,BL259,BO259),"")</f>
        <v>25.304284139989186</v>
      </c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>
        <f>SUM(IF(Career_History!G25=TRUE,IF(A259&lt;Career_History!D25,0,MIN(A259,Career_History!E25)-Career_History!D25+1),0),IF(Career_History!G26=TRUE,IF(A259&lt;Career_History!D26,0,MIN(A259,Career_History!E26)-Career_History!D26+1),0),IF(Career_History!G27=TRUE,IF(A259&lt;Career_History!D27,0,MIN(A259,Career_History!E27)-Career_History!D27+1),0),IF(Career_History!G28=TRUE,IF(A259&lt;Career_History!D28,0,MIN(A259,Career_History!E28)-Career_History!D28+1),0),IF(Career_History!G29=TRUE,IF(A259&lt;Career_History!D29,0,MIN(A259,Career_History!E29)-Career_History!D29+1),0))/365.2425</f>
        <v>42.919430241551844</v>
      </c>
      <c r="AD259" s="9">
        <f>SUM(IF(Career_History!I25=TRUE,IF(A259&lt;Career_History!D25,0,MIN(A259,Career_History!E25)-Career_History!D25+1),0),IF(Career_History!I26=TRUE,IF(A259&lt;Career_History!D26,0,MIN(A259,Career_History!E26)-Career_History!D26+1),0),IF(Career_History!I27=TRUE,IF(A259&lt;Career_History!D27,0,MIN(A259,Career_History!E27)-Career_History!D27+1),0),IF(Career_History!I28=TRUE,IF(A259&lt;Career_History!D28,0,MIN(A259,Career_History!E28)-Career_History!D28+1),0),IF(Career_History!I29=TRUE,IF(A259&lt;Career_History!D29,0,MIN(A259,Career_History!E29)-Career_History!D29+1),0))/365.2425</f>
        <v>0</v>
      </c>
      <c r="AE259" s="9">
        <f>SUM(IF(Career_History!H25=TRUE,IF(A259&lt;Career_History!D25,0,MIN(A259,Career_History!E25)-Career_History!D25+1),0),IF(Career_History!H26=TRUE,IF(A259&lt;Career_History!D26,0,MIN(A259,Career_History!E26)-Career_History!D26+1),0),IF(Career_History!H27=TRUE,IF(A259&lt;Career_History!D27,0,MIN(A259,Career_History!E27)-Career_History!D27+1),0),IF(Career_History!H28=TRUE,IF(A259&lt;Career_History!D28,0,MIN(A259,Career_History!E28)-Career_History!D28+1),0),IF(Career_History!H29=TRUE,IF(A259&lt;Career_History!D29,0,MIN(A259,Career_History!E29)-Career_History!D29+1),0))/365.2425</f>
        <v>30.415408940635331</v>
      </c>
      <c r="AF259" s="9">
        <f>SUM(IF(Career_History!G30=TRUE,IF(A259&lt;Career_History!D30,0,MIN(A259,Career_History!E30)-Career_History!D30+1),0),IF(Career_History!G31=TRUE,IF(A259&lt;Career_History!D31,0,MIN(A259,Career_History!E31)-Career_History!D31+1),0),IF(Career_History!G32=TRUE,IF(A259&lt;Career_History!D32,0,MIN(A259,Career_History!E32)-Career_History!D32+1),0))/365.2425</f>
        <v>35.91860202468223</v>
      </c>
      <c r="AG259" s="9">
        <f>SUM(IF(Career_History!I30=TRUE,IF(A259&lt;Career_History!D30,0,MIN(A259,Career_History!E30)-Career_History!D30+1),0),IF(Career_History!I31=TRUE,IF(A259&lt;Career_History!D31,0,MIN(A259,Career_History!E31)-Career_History!D31+1),0),IF(Career_History!I32=TRUE,IF(A259&lt;Career_History!D32,0,MIN(A259,Career_History!E32)-Career_History!D32+1),0))/365.2425</f>
        <v>0</v>
      </c>
      <c r="AH259" s="9">
        <f>SUM(IF(Career_History!H30=TRUE,IF(A259&lt;Career_History!D30,0,MIN(A259,Career_History!E30)-Career_History!D30+1),0),IF(Career_History!H31=TRUE,IF(A259&lt;Career_History!D31,0,MIN(A259,Career_History!E31)-Career_History!D31+1),0),IF(Career_History!H32=TRUE,IF(A259&lt;Career_History!D32,0,MIN(A259,Career_History!E32)-Career_History!D32+1),0))/365.2425</f>
        <v>7.0145177519045561</v>
      </c>
      <c r="AI259" s="9">
        <f>SUM(IF(Career_History!G33=TRUE,IF(A259&lt;Career_History!D33,0,MIN(A259,Career_History!E33)-Career_History!D33+1),0),IF(Career_History!G34=TRUE,IF(A259&lt;Career_History!D34,0,MIN(A259,Career_History!E34)-Career_History!D34+1),0),IF(Career_History!G35=TRUE,IF(A259&lt;Career_History!D35,0,MIN(A259,Career_History!E35)-Career_History!D35+1),0),IF(Career_History!G36=TRUE,IF(A259&lt;Career_History!D36,0,MIN(A259,Career_History!E36)-Career_History!D36+1),0),IF(Career_History!G37=TRUE,IF(A259&lt;Career_History!D37,0,MIN(A259,Career_History!E37)-Career_History!D37+1),0),IF(Career_History!G38=TRUE,IF(A259&lt;Career_History!D38,0,MIN(A259,Career_History!E38)-Career_History!D38+1),0))/365.2425</f>
        <v>35.91860202468223</v>
      </c>
      <c r="AJ259" s="9">
        <f>SUM(IF(Career_History!I33=TRUE,IF(A259&lt;Career_History!D33,0,MIN(A259,Career_History!E33)-Career_History!D33+1),0),IF(Career_History!I34=TRUE,IF(A259&lt;Career_History!D34,0,MIN(A259,Career_History!E34)-Career_History!D34+1),0),IF(Career_History!I35=TRUE,IF(A259&lt;Career_History!D35,0,MIN(A259,Career_History!E35)-Career_History!D35+1),0),IF(Career_History!I36=TRUE,IF(A259&lt;Career_History!D36,0,MIN(A259,Career_History!E36)-Career_History!D36+1),0),IF(Career_History!I37=TRUE,IF(A259&lt;Career_History!D37,0,MIN(A259,Career_History!E37)-Career_History!D37+1),0),IF(Career_History!I38=TRUE,IF(A259&lt;Career_History!D38,0,MIN(A259,Career_History!E38)-Career_History!D38+1),0))/365.2425</f>
        <v>5.664729597459222</v>
      </c>
      <c r="AK259" s="9">
        <f>SUM(IF(Career_History!H33=TRUE,IF(A259&lt;Career_History!D33,0,MIN(A259,Career_History!E33)-Career_History!D33+1),0),IF(Career_History!H34=TRUE,IF(A259&lt;Career_History!D34,0,MIN(A259,Career_History!E34)-Career_History!D34+1),0),IF(Career_History!H35=TRUE,IF(A259&lt;Career_History!D35,0,MIN(A259,Career_History!E35)-Career_History!D35+1),0),IF(Career_History!H36=TRUE,IF(A259&lt;Career_History!D36,0,MIN(A259,Career_History!E36)-Career_History!D36+1),0),IF(Career_History!H37=TRUE,IF(A259&lt;Career_History!D37,0,MIN(A259,Career_History!E37)-Career_History!D37+1),0),IF(Career_History!H38=TRUE,IF(A259&lt;Career_History!D38,0,MIN(A259,Career_History!E38)-Career_History!D38+1),0))/365.2425</f>
        <v>30.253872427223008</v>
      </c>
      <c r="AL259" s="9">
        <f>SUM(IF(Career_History!G39=TRUE,IF(A259&lt;Career_History!D39,0,MIN(A259,Career_History!E39)-Career_History!D39+1),0),IF(Career_History!G40=TRUE,IF(A259&lt;Career_History!D40,0,MIN(A259,Career_History!E40)-Career_History!D40+1),0))/365.2425</f>
        <v>22.919019555500796</v>
      </c>
      <c r="AM259" s="9">
        <f>SUM(IF(Career_History!I39=TRUE,IF(A259&lt;Career_History!D39,0,MIN(A259,Career_History!E39)-Career_History!D39+1),0),IF(Career_History!I40=TRUE,IF(A259&lt;Career_History!D40,0,MIN(A259,Career_History!E40)-Career_History!D40+1),0))/365.2425</f>
        <v>0</v>
      </c>
      <c r="AN259" s="9">
        <f>SUM(IF(Career_History!H39=TRUE,IF(A259&lt;Career_History!D39,0,MIN(A259,Career_History!E39)-Career_History!D39+1),0),IF(Career_History!H40=TRUE,IF(A259&lt;Career_History!D40,0,MIN(A259,Career_History!E40)-Career_History!D40+1),0))/365.2425</f>
        <v>22.919019555500796</v>
      </c>
      <c r="AO259" s="9">
        <f>SUM(IF(Career_History!G41=TRUE,IF(A259&lt;Career_History!D41,0,MIN(A259,Career_History!E41)-Career_History!D41+1),0),IF(Career_History!G42=TRUE,IF(A259&lt;Career_History!D42,0,MIN(A259,Career_History!E42)-Career_History!D42+1),0))/365.2425</f>
        <v>35.91860202468223</v>
      </c>
      <c r="AP259" s="9">
        <f>SUM(IF(Career_History!I41=TRUE,IF(A259&lt;Career_History!D41,0,MIN(A259,Career_History!E41)-Career_History!D41+1),0),IF(Career_History!I42=TRUE,IF(A259&lt;Career_History!D42,0,MIN(A259,Career_History!E42)-Career_History!D42+1),0))/365.2425</f>
        <v>0</v>
      </c>
      <c r="AQ259" s="9">
        <f>SUM(IF(Career_History!H41=TRUE,IF(A259&lt;Career_History!D41,0,MIN(A259,Career_History!E41)-Career_History!D41+1),0),IF(Career_History!H42=TRUE,IF(A259&lt;Career_History!D42,0,MIN(A259,Career_History!E42)-Career_History!D42+1),0))/365.2425</f>
        <v>35.91860202468223</v>
      </c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9"/>
      <c r="BH259" s="9"/>
      <c r="BI259" s="9"/>
      <c r="BJ259" s="9"/>
      <c r="BK259" s="9"/>
      <c r="BL259" s="9"/>
      <c r="BM259" s="9"/>
      <c r="BN259" s="9"/>
      <c r="BO259" s="9"/>
    </row>
    <row r="260" spans="1:67">
      <c r="A260" s="8">
        <v>42551</v>
      </c>
      <c r="B260" s="9">
        <f t="shared" si="12"/>
        <v>34.800988384429516</v>
      </c>
      <c r="C260" s="9">
        <f t="shared" si="13"/>
        <v>1.1329459194918443</v>
      </c>
      <c r="D260" s="9">
        <f t="shared" si="14"/>
        <v>25.386421350198837</v>
      </c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>
        <f>SUM(IF(Career_History!G25=TRUE,IF(A260&lt;Career_History!D25,0,MIN(A260,Career_History!E25)-Career_History!D25+1),0),IF(Career_History!G26=TRUE,IF(A260&lt;Career_History!D26,0,MIN(A260,Career_History!E26)-Career_History!D26+1),0),IF(Career_History!G27=TRUE,IF(A260&lt;Career_History!D27,0,MIN(A260,Career_History!E27)-Career_History!D27+1),0),IF(Career_History!G28=TRUE,IF(A260&lt;Career_History!D28,0,MIN(A260,Career_History!E28)-Career_History!D28+1),0),IF(Career_History!G29=TRUE,IF(A260&lt;Career_History!D29,0,MIN(A260,Career_History!E29)-Career_History!D29+1),0))/365.2425</f>
        <v>43.001567451761503</v>
      </c>
      <c r="AD260" s="9">
        <f>SUM(IF(Career_History!I25=TRUE,IF(A260&lt;Career_History!D25,0,MIN(A260,Career_History!E25)-Career_History!D25+1),0),IF(Career_History!I26=TRUE,IF(A260&lt;Career_History!D26,0,MIN(A260,Career_History!E26)-Career_History!D26+1),0),IF(Career_History!I27=TRUE,IF(A260&lt;Career_History!D27,0,MIN(A260,Career_History!E27)-Career_History!D27+1),0),IF(Career_History!I28=TRUE,IF(A260&lt;Career_History!D28,0,MIN(A260,Career_History!E28)-Career_History!D28+1),0),IF(Career_History!I29=TRUE,IF(A260&lt;Career_History!D29,0,MIN(A260,Career_History!E29)-Career_History!D29+1),0))/365.2425</f>
        <v>0</v>
      </c>
      <c r="AE260" s="9">
        <f>SUM(IF(Career_History!H25=TRUE,IF(A260&lt;Career_History!D25,0,MIN(A260,Career_History!E25)-Career_History!D25+1),0),IF(Career_History!H26=TRUE,IF(A260&lt;Career_History!D26,0,MIN(A260,Career_History!E26)-Career_History!D26+1),0),IF(Career_History!H27=TRUE,IF(A260&lt;Career_History!D27,0,MIN(A260,Career_History!E27)-Career_History!D27+1),0),IF(Career_History!H28=TRUE,IF(A260&lt;Career_History!D28,0,MIN(A260,Career_History!E28)-Career_History!D28+1),0),IF(Career_History!H29=TRUE,IF(A260&lt;Career_History!D29,0,MIN(A260,Career_History!E29)-Career_History!D29+1),0))/365.2425</f>
        <v>30.497546150844986</v>
      </c>
      <c r="AF260" s="9">
        <f>SUM(IF(Career_History!G30=TRUE,IF(A260&lt;Career_History!D30,0,MIN(A260,Career_History!E30)-Career_History!D30+1),0),IF(Career_History!G31=TRUE,IF(A260&lt;Career_History!D31,0,MIN(A260,Career_History!E31)-Career_History!D31+1),0),IF(Career_History!G32=TRUE,IF(A260&lt;Career_History!D32,0,MIN(A260,Career_History!E32)-Career_History!D32+1),0))/365.2425</f>
        <v>36.000739234891888</v>
      </c>
      <c r="AG260" s="9">
        <f>SUM(IF(Career_History!I30=TRUE,IF(A260&lt;Career_History!D30,0,MIN(A260,Career_History!E30)-Career_History!D30+1),0),IF(Career_History!I31=TRUE,IF(A260&lt;Career_History!D31,0,MIN(A260,Career_History!E31)-Career_History!D31+1),0),IF(Career_History!I32=TRUE,IF(A260&lt;Career_History!D32,0,MIN(A260,Career_History!E32)-Career_History!D32+1),0))/365.2425</f>
        <v>0</v>
      </c>
      <c r="AH260" s="9">
        <f>SUM(IF(Career_History!H30=TRUE,IF(A260&lt;Career_History!D30,0,MIN(A260,Career_History!E30)-Career_History!D30+1),0),IF(Career_History!H31=TRUE,IF(A260&lt;Career_History!D31,0,MIN(A260,Career_History!E31)-Career_History!D31+1),0),IF(Career_History!H32=TRUE,IF(A260&lt;Career_History!D32,0,MIN(A260,Career_History!E32)-Career_History!D32+1),0))/365.2425</f>
        <v>7.0966549621142114</v>
      </c>
      <c r="AI260" s="9">
        <f>SUM(IF(Career_History!G33=TRUE,IF(A260&lt;Career_History!D33,0,MIN(A260,Career_History!E33)-Career_History!D33+1),0),IF(Career_History!G34=TRUE,IF(A260&lt;Career_History!D34,0,MIN(A260,Career_History!E34)-Career_History!D34+1),0),IF(Career_History!G35=TRUE,IF(A260&lt;Career_History!D35,0,MIN(A260,Career_History!E35)-Career_History!D35+1),0),IF(Career_History!G36=TRUE,IF(A260&lt;Career_History!D36,0,MIN(A260,Career_History!E36)-Career_History!D36+1),0),IF(Career_History!G37=TRUE,IF(A260&lt;Career_History!D37,0,MIN(A260,Career_History!E37)-Career_History!D37+1),0),IF(Career_History!G38=TRUE,IF(A260&lt;Career_History!D38,0,MIN(A260,Career_History!E38)-Career_History!D38+1),0))/365.2425</f>
        <v>36.000739234891888</v>
      </c>
      <c r="AJ260" s="9">
        <f>SUM(IF(Career_History!I33=TRUE,IF(A260&lt;Career_History!D33,0,MIN(A260,Career_History!E33)-Career_History!D33+1),0),IF(Career_History!I34=TRUE,IF(A260&lt;Career_History!D34,0,MIN(A260,Career_History!E34)-Career_History!D34+1),0),IF(Career_History!I35=TRUE,IF(A260&lt;Career_History!D35,0,MIN(A260,Career_History!E35)-Career_History!D35+1),0),IF(Career_History!I36=TRUE,IF(A260&lt;Career_History!D36,0,MIN(A260,Career_History!E36)-Career_History!D36+1),0),IF(Career_History!I37=TRUE,IF(A260&lt;Career_History!D37,0,MIN(A260,Career_History!E37)-Career_History!D37+1),0),IF(Career_History!I38=TRUE,IF(A260&lt;Career_History!D38,0,MIN(A260,Career_History!E38)-Career_History!D38+1),0))/365.2425</f>
        <v>5.664729597459222</v>
      </c>
      <c r="AK260" s="9">
        <f>SUM(IF(Career_History!H33=TRUE,IF(A260&lt;Career_History!D33,0,MIN(A260,Career_History!E33)-Career_History!D33+1),0),IF(Career_History!H34=TRUE,IF(A260&lt;Career_History!D34,0,MIN(A260,Career_History!E34)-Career_History!D34+1),0),IF(Career_History!H35=TRUE,IF(A260&lt;Career_History!D35,0,MIN(A260,Career_History!E35)-Career_History!D35+1),0),IF(Career_History!H36=TRUE,IF(A260&lt;Career_History!D36,0,MIN(A260,Career_History!E36)-Career_History!D36+1),0),IF(Career_History!H37=TRUE,IF(A260&lt;Career_History!D37,0,MIN(A260,Career_History!E37)-Career_History!D37+1),0),IF(Career_History!H38=TRUE,IF(A260&lt;Career_History!D38,0,MIN(A260,Career_History!E38)-Career_History!D38+1),0))/365.2425</f>
        <v>30.336009637432664</v>
      </c>
      <c r="AL260" s="9">
        <f>SUM(IF(Career_History!G39=TRUE,IF(A260&lt;Career_History!D39,0,MIN(A260,Career_History!E39)-Career_History!D39+1),0),IF(Career_History!G40=TRUE,IF(A260&lt;Career_History!D40,0,MIN(A260,Career_History!E40)-Career_History!D40+1),0))/365.2425</f>
        <v>23.001156765710451</v>
      </c>
      <c r="AM260" s="9">
        <f>SUM(IF(Career_History!I39=TRUE,IF(A260&lt;Career_History!D39,0,MIN(A260,Career_History!E39)-Career_History!D39+1),0),IF(Career_History!I40=TRUE,IF(A260&lt;Career_History!D40,0,MIN(A260,Career_History!E40)-Career_History!D40+1),0))/365.2425</f>
        <v>0</v>
      </c>
      <c r="AN260" s="9">
        <f>SUM(IF(Career_History!H39=TRUE,IF(A260&lt;Career_History!D39,0,MIN(A260,Career_History!E39)-Career_History!D39+1),0),IF(Career_History!H40=TRUE,IF(A260&lt;Career_History!D40,0,MIN(A260,Career_History!E40)-Career_History!D40+1),0))/365.2425</f>
        <v>23.001156765710451</v>
      </c>
      <c r="AO260" s="9">
        <f>SUM(IF(Career_History!G41=TRUE,IF(A260&lt;Career_History!D41,0,MIN(A260,Career_History!E41)-Career_History!D41+1),0),IF(Career_History!G42=TRUE,IF(A260&lt;Career_History!D42,0,MIN(A260,Career_History!E42)-Career_History!D42+1),0))/365.2425</f>
        <v>36.000739234891888</v>
      </c>
      <c r="AP260" s="9">
        <f>SUM(IF(Career_History!I41=TRUE,IF(A260&lt;Career_History!D41,0,MIN(A260,Career_History!E41)-Career_History!D41+1),0),IF(Career_History!I42=TRUE,IF(A260&lt;Career_History!D42,0,MIN(A260,Career_History!E42)-Career_History!D42+1),0))/365.2425</f>
        <v>0</v>
      </c>
      <c r="AQ260" s="9">
        <f>SUM(IF(Career_History!H41=TRUE,IF(A260&lt;Career_History!D41,0,MIN(A260,Career_History!E41)-Career_History!D41+1),0),IF(Career_History!H42=TRUE,IF(A260&lt;Career_History!D42,0,MIN(A260,Career_History!E42)-Career_History!D42+1),0))/365.2425</f>
        <v>36.000739234891888</v>
      </c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9"/>
      <c r="BH260" s="9"/>
      <c r="BI260" s="9"/>
      <c r="BJ260" s="9"/>
      <c r="BK260" s="9"/>
      <c r="BL260" s="9"/>
      <c r="BM260" s="9"/>
      <c r="BN260" s="9"/>
      <c r="BO260" s="9"/>
    </row>
    <row r="261" spans="1:67">
      <c r="A261" s="8">
        <v>42582</v>
      </c>
      <c r="B261" s="9">
        <f t="shared" si="12"/>
        <v>34.88586350164617</v>
      </c>
      <c r="C261" s="9">
        <f t="shared" si="13"/>
        <v>1.1329459194918443</v>
      </c>
      <c r="D261" s="9">
        <f t="shared" si="14"/>
        <v>25.471296467415488</v>
      </c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>
        <f>SUM(IF(Career_History!G25=TRUE,IF(A261&lt;Career_History!D25,0,MIN(A261,Career_History!E25)-Career_History!D25+1),0),IF(Career_History!G26=TRUE,IF(A261&lt;Career_History!D26,0,MIN(A261,Career_History!E26)-Career_History!D26+1),0),IF(Career_History!G27=TRUE,IF(A261&lt;Career_History!D27,0,MIN(A261,Career_History!E27)-Career_History!D27+1),0),IF(Career_History!G28=TRUE,IF(A261&lt;Career_History!D28,0,MIN(A261,Career_History!E28)-Career_History!D28+1),0),IF(Career_History!G29=TRUE,IF(A261&lt;Career_History!D29,0,MIN(A261,Career_History!E29)-Career_History!D29+1),0))/365.2425</f>
        <v>43.086442568978143</v>
      </c>
      <c r="AD261" s="9">
        <f>SUM(IF(Career_History!I25=TRUE,IF(A261&lt;Career_History!D25,0,MIN(A261,Career_History!E25)-Career_History!D25+1),0),IF(Career_History!I26=TRUE,IF(A261&lt;Career_History!D26,0,MIN(A261,Career_History!E26)-Career_History!D26+1),0),IF(Career_History!I27=TRUE,IF(A261&lt;Career_History!D27,0,MIN(A261,Career_History!E27)-Career_History!D27+1),0),IF(Career_History!I28=TRUE,IF(A261&lt;Career_History!D28,0,MIN(A261,Career_History!E28)-Career_History!D28+1),0),IF(Career_History!I29=TRUE,IF(A261&lt;Career_History!D29,0,MIN(A261,Career_History!E29)-Career_History!D29+1),0))/365.2425</f>
        <v>0</v>
      </c>
      <c r="AE261" s="9">
        <f>SUM(IF(Career_History!H25=TRUE,IF(A261&lt;Career_History!D25,0,MIN(A261,Career_History!E25)-Career_History!D25+1),0),IF(Career_History!H26=TRUE,IF(A261&lt;Career_History!D26,0,MIN(A261,Career_History!E26)-Career_History!D26+1),0),IF(Career_History!H27=TRUE,IF(A261&lt;Career_History!D27,0,MIN(A261,Career_History!E27)-Career_History!D27+1),0),IF(Career_History!H28=TRUE,IF(A261&lt;Career_History!D28,0,MIN(A261,Career_History!E28)-Career_History!D28+1),0),IF(Career_History!H29=TRUE,IF(A261&lt;Career_History!D29,0,MIN(A261,Career_History!E29)-Career_History!D29+1),0))/365.2425</f>
        <v>30.58242126806163</v>
      </c>
      <c r="AF261" s="9">
        <f>SUM(IF(Career_History!G30=TRUE,IF(A261&lt;Career_History!D30,0,MIN(A261,Career_History!E30)-Career_History!D30+1),0),IF(Career_History!G31=TRUE,IF(A261&lt;Career_History!D31,0,MIN(A261,Career_History!E31)-Career_History!D31+1),0),IF(Career_History!G32=TRUE,IF(A261&lt;Career_History!D32,0,MIN(A261,Career_History!E32)-Career_History!D32+1),0))/365.2425</f>
        <v>36.085614352108529</v>
      </c>
      <c r="AG261" s="9">
        <f>SUM(IF(Career_History!I30=TRUE,IF(A261&lt;Career_History!D30,0,MIN(A261,Career_History!E30)-Career_History!D30+1),0),IF(Career_History!I31=TRUE,IF(A261&lt;Career_History!D31,0,MIN(A261,Career_History!E31)-Career_History!D31+1),0),IF(Career_History!I32=TRUE,IF(A261&lt;Career_History!D32,0,MIN(A261,Career_History!E32)-Career_History!D32+1),0))/365.2425</f>
        <v>0</v>
      </c>
      <c r="AH261" s="9">
        <f>SUM(IF(Career_History!H30=TRUE,IF(A261&lt;Career_History!D30,0,MIN(A261,Career_History!E30)-Career_History!D30+1),0),IF(Career_History!H31=TRUE,IF(A261&lt;Career_History!D31,0,MIN(A261,Career_History!E31)-Career_History!D31+1),0),IF(Career_History!H32=TRUE,IF(A261&lt;Career_History!D32,0,MIN(A261,Career_History!E32)-Career_History!D32+1),0))/365.2425</f>
        <v>7.1815300793308552</v>
      </c>
      <c r="AI261" s="9">
        <f>SUM(IF(Career_History!G33=TRUE,IF(A261&lt;Career_History!D33,0,MIN(A261,Career_History!E33)-Career_History!D33+1),0),IF(Career_History!G34=TRUE,IF(A261&lt;Career_History!D34,0,MIN(A261,Career_History!E34)-Career_History!D34+1),0),IF(Career_History!G35=TRUE,IF(A261&lt;Career_History!D35,0,MIN(A261,Career_History!E35)-Career_History!D35+1),0),IF(Career_History!G36=TRUE,IF(A261&lt;Career_History!D36,0,MIN(A261,Career_History!E36)-Career_History!D36+1),0),IF(Career_History!G37=TRUE,IF(A261&lt;Career_History!D37,0,MIN(A261,Career_History!E37)-Career_History!D37+1),0),IF(Career_History!G38=TRUE,IF(A261&lt;Career_History!D38,0,MIN(A261,Career_History!E38)-Career_History!D38+1),0))/365.2425</f>
        <v>36.085614352108529</v>
      </c>
      <c r="AJ261" s="9">
        <f>SUM(IF(Career_History!I33=TRUE,IF(A261&lt;Career_History!D33,0,MIN(A261,Career_History!E33)-Career_History!D33+1),0),IF(Career_History!I34=TRUE,IF(A261&lt;Career_History!D34,0,MIN(A261,Career_History!E34)-Career_History!D34+1),0),IF(Career_History!I35=TRUE,IF(A261&lt;Career_History!D35,0,MIN(A261,Career_History!E35)-Career_History!D35+1),0),IF(Career_History!I36=TRUE,IF(A261&lt;Career_History!D36,0,MIN(A261,Career_History!E36)-Career_History!D36+1),0),IF(Career_History!I37=TRUE,IF(A261&lt;Career_History!D37,0,MIN(A261,Career_History!E37)-Career_History!D37+1),0),IF(Career_History!I38=TRUE,IF(A261&lt;Career_History!D38,0,MIN(A261,Career_History!E38)-Career_History!D38+1),0))/365.2425</f>
        <v>5.664729597459222</v>
      </c>
      <c r="AK261" s="9">
        <f>SUM(IF(Career_History!H33=TRUE,IF(A261&lt;Career_History!D33,0,MIN(A261,Career_History!E33)-Career_History!D33+1),0),IF(Career_History!H34=TRUE,IF(A261&lt;Career_History!D34,0,MIN(A261,Career_History!E34)-Career_History!D34+1),0),IF(Career_History!H35=TRUE,IF(A261&lt;Career_History!D35,0,MIN(A261,Career_History!E35)-Career_History!D35+1),0),IF(Career_History!H36=TRUE,IF(A261&lt;Career_History!D36,0,MIN(A261,Career_History!E36)-Career_History!D36+1),0),IF(Career_History!H37=TRUE,IF(A261&lt;Career_History!D37,0,MIN(A261,Career_History!E37)-Career_History!D37+1),0),IF(Career_History!H38=TRUE,IF(A261&lt;Career_History!D38,0,MIN(A261,Career_History!E38)-Career_History!D38+1),0))/365.2425</f>
        <v>30.420884754649308</v>
      </c>
      <c r="AL261" s="9">
        <f>SUM(IF(Career_History!G39=TRUE,IF(A261&lt;Career_History!D39,0,MIN(A261,Career_History!E39)-Career_History!D39+1),0),IF(Career_History!G40=TRUE,IF(A261&lt;Career_History!D40,0,MIN(A261,Career_History!E40)-Career_History!D40+1),0))/365.2425</f>
        <v>23.086031882927095</v>
      </c>
      <c r="AM261" s="9">
        <f>SUM(IF(Career_History!I39=TRUE,IF(A261&lt;Career_History!D39,0,MIN(A261,Career_History!E39)-Career_History!D39+1),0),IF(Career_History!I40=TRUE,IF(A261&lt;Career_History!D40,0,MIN(A261,Career_History!E40)-Career_History!D40+1),0))/365.2425</f>
        <v>0</v>
      </c>
      <c r="AN261" s="9">
        <f>SUM(IF(Career_History!H39=TRUE,IF(A261&lt;Career_History!D39,0,MIN(A261,Career_History!E39)-Career_History!D39+1),0),IF(Career_History!H40=TRUE,IF(A261&lt;Career_History!D40,0,MIN(A261,Career_History!E40)-Career_History!D40+1),0))/365.2425</f>
        <v>23.086031882927095</v>
      </c>
      <c r="AO261" s="9">
        <f>SUM(IF(Career_History!G41=TRUE,IF(A261&lt;Career_History!D41,0,MIN(A261,Career_History!E41)-Career_History!D41+1),0),IF(Career_History!G42=TRUE,IF(A261&lt;Career_History!D42,0,MIN(A261,Career_History!E42)-Career_History!D42+1),0))/365.2425</f>
        <v>36.085614352108529</v>
      </c>
      <c r="AP261" s="9">
        <f>SUM(IF(Career_History!I41=TRUE,IF(A261&lt;Career_History!D41,0,MIN(A261,Career_History!E41)-Career_History!D41+1),0),IF(Career_History!I42=TRUE,IF(A261&lt;Career_History!D42,0,MIN(A261,Career_History!E42)-Career_History!D42+1),0))/365.2425</f>
        <v>0</v>
      </c>
      <c r="AQ261" s="9">
        <f>SUM(IF(Career_History!H41=TRUE,IF(A261&lt;Career_History!D41,0,MIN(A261,Career_History!E41)-Career_History!D41+1),0),IF(Career_History!H42=TRUE,IF(A261&lt;Career_History!D42,0,MIN(A261,Career_History!E42)-Career_History!D42+1),0))/365.2425</f>
        <v>36.085614352108529</v>
      </c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9"/>
      <c r="BH261" s="9"/>
      <c r="BI261" s="9"/>
      <c r="BJ261" s="9"/>
      <c r="BK261" s="9"/>
      <c r="BL261" s="9"/>
      <c r="BM261" s="9"/>
      <c r="BN261" s="9"/>
      <c r="BO261" s="9"/>
    </row>
    <row r="262" spans="1:67">
      <c r="A262" s="8">
        <v>42613</v>
      </c>
      <c r="B262" s="9">
        <f t="shared" si="12"/>
        <v>34.970738618862811</v>
      </c>
      <c r="C262" s="9">
        <f t="shared" si="13"/>
        <v>1.1329459194918443</v>
      </c>
      <c r="D262" s="9">
        <f t="shared" si="14"/>
        <v>25.556171584632128</v>
      </c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>
        <f>SUM(IF(Career_History!G25=TRUE,IF(A262&lt;Career_History!D25,0,MIN(A262,Career_History!E25)-Career_History!D25+1),0),IF(Career_History!G26=TRUE,IF(A262&lt;Career_History!D26,0,MIN(A262,Career_History!E26)-Career_History!D26+1),0),IF(Career_History!G27=TRUE,IF(A262&lt;Career_History!D27,0,MIN(A262,Career_History!E27)-Career_History!D27+1),0),IF(Career_History!G28=TRUE,IF(A262&lt;Career_History!D28,0,MIN(A262,Career_History!E28)-Career_History!D28+1),0),IF(Career_History!G29=TRUE,IF(A262&lt;Career_History!D29,0,MIN(A262,Career_History!E29)-Career_History!D29+1),0))/365.2425</f>
        <v>43.17131768619479</v>
      </c>
      <c r="AD262" s="9">
        <f>SUM(IF(Career_History!I25=TRUE,IF(A262&lt;Career_History!D25,0,MIN(A262,Career_History!E25)-Career_History!D25+1),0),IF(Career_History!I26=TRUE,IF(A262&lt;Career_History!D26,0,MIN(A262,Career_History!E26)-Career_History!D26+1),0),IF(Career_History!I27=TRUE,IF(A262&lt;Career_History!D27,0,MIN(A262,Career_History!E27)-Career_History!D27+1),0),IF(Career_History!I28=TRUE,IF(A262&lt;Career_History!D28,0,MIN(A262,Career_History!E28)-Career_History!D28+1),0),IF(Career_History!I29=TRUE,IF(A262&lt;Career_History!D29,0,MIN(A262,Career_History!E29)-Career_History!D29+1),0))/365.2425</f>
        <v>0</v>
      </c>
      <c r="AE262" s="9">
        <f>SUM(IF(Career_History!H25=TRUE,IF(A262&lt;Career_History!D25,0,MIN(A262,Career_History!E25)-Career_History!D25+1),0),IF(Career_History!H26=TRUE,IF(A262&lt;Career_History!D26,0,MIN(A262,Career_History!E26)-Career_History!D26+1),0),IF(Career_History!H27=TRUE,IF(A262&lt;Career_History!D27,0,MIN(A262,Career_History!E27)-Career_History!D27+1),0),IF(Career_History!H28=TRUE,IF(A262&lt;Career_History!D28,0,MIN(A262,Career_History!E28)-Career_History!D28+1),0),IF(Career_History!H29=TRUE,IF(A262&lt;Career_History!D29,0,MIN(A262,Career_History!E29)-Career_History!D29+1),0))/365.2425</f>
        <v>30.667296385278274</v>
      </c>
      <c r="AF262" s="9">
        <f>SUM(IF(Career_History!G30=TRUE,IF(A262&lt;Career_History!D30,0,MIN(A262,Career_History!E30)-Career_History!D30+1),0),IF(Career_History!G31=TRUE,IF(A262&lt;Career_History!D31,0,MIN(A262,Career_History!E31)-Career_History!D31+1),0),IF(Career_History!G32=TRUE,IF(A262&lt;Career_History!D32,0,MIN(A262,Career_History!E32)-Career_History!D32+1),0))/365.2425</f>
        <v>36.170489469325176</v>
      </c>
      <c r="AG262" s="9">
        <f>SUM(IF(Career_History!I30=TRUE,IF(A262&lt;Career_History!D30,0,MIN(A262,Career_History!E30)-Career_History!D30+1),0),IF(Career_History!I31=TRUE,IF(A262&lt;Career_History!D31,0,MIN(A262,Career_History!E31)-Career_History!D31+1),0),IF(Career_History!I32=TRUE,IF(A262&lt;Career_History!D32,0,MIN(A262,Career_History!E32)-Career_History!D32+1),0))/365.2425</f>
        <v>0</v>
      </c>
      <c r="AH262" s="9">
        <f>SUM(IF(Career_History!H30=TRUE,IF(A262&lt;Career_History!D30,0,MIN(A262,Career_History!E30)-Career_History!D30+1),0),IF(Career_History!H31=TRUE,IF(A262&lt;Career_History!D31,0,MIN(A262,Career_History!E31)-Career_History!D31+1),0),IF(Career_History!H32=TRUE,IF(A262&lt;Career_History!D32,0,MIN(A262,Career_History!E32)-Career_History!D32+1),0))/365.2425</f>
        <v>7.2664051965474989</v>
      </c>
      <c r="AI262" s="9">
        <f>SUM(IF(Career_History!G33=TRUE,IF(A262&lt;Career_History!D33,0,MIN(A262,Career_History!E33)-Career_History!D33+1),0),IF(Career_History!G34=TRUE,IF(A262&lt;Career_History!D34,0,MIN(A262,Career_History!E34)-Career_History!D34+1),0),IF(Career_History!G35=TRUE,IF(A262&lt;Career_History!D35,0,MIN(A262,Career_History!E35)-Career_History!D35+1),0),IF(Career_History!G36=TRUE,IF(A262&lt;Career_History!D36,0,MIN(A262,Career_History!E36)-Career_History!D36+1),0),IF(Career_History!G37=TRUE,IF(A262&lt;Career_History!D37,0,MIN(A262,Career_History!E37)-Career_History!D37+1),0),IF(Career_History!G38=TRUE,IF(A262&lt;Career_History!D38,0,MIN(A262,Career_History!E38)-Career_History!D38+1),0))/365.2425</f>
        <v>36.170489469325176</v>
      </c>
      <c r="AJ262" s="9">
        <f>SUM(IF(Career_History!I33=TRUE,IF(A262&lt;Career_History!D33,0,MIN(A262,Career_History!E33)-Career_History!D33+1),0),IF(Career_History!I34=TRUE,IF(A262&lt;Career_History!D34,0,MIN(A262,Career_History!E34)-Career_History!D34+1),0),IF(Career_History!I35=TRUE,IF(A262&lt;Career_History!D35,0,MIN(A262,Career_History!E35)-Career_History!D35+1),0),IF(Career_History!I36=TRUE,IF(A262&lt;Career_History!D36,0,MIN(A262,Career_History!E36)-Career_History!D36+1),0),IF(Career_History!I37=TRUE,IF(A262&lt;Career_History!D37,0,MIN(A262,Career_History!E37)-Career_History!D37+1),0),IF(Career_History!I38=TRUE,IF(A262&lt;Career_History!D38,0,MIN(A262,Career_History!E38)-Career_History!D38+1),0))/365.2425</f>
        <v>5.664729597459222</v>
      </c>
      <c r="AK262" s="9">
        <f>SUM(IF(Career_History!H33=TRUE,IF(A262&lt;Career_History!D33,0,MIN(A262,Career_History!E33)-Career_History!D33+1),0),IF(Career_History!H34=TRUE,IF(A262&lt;Career_History!D34,0,MIN(A262,Career_History!E34)-Career_History!D34+1),0),IF(Career_History!H35=TRUE,IF(A262&lt;Career_History!D35,0,MIN(A262,Career_History!E35)-Career_History!D35+1),0),IF(Career_History!H36=TRUE,IF(A262&lt;Career_History!D36,0,MIN(A262,Career_History!E36)-Career_History!D36+1),0),IF(Career_History!H37=TRUE,IF(A262&lt;Career_History!D37,0,MIN(A262,Career_History!E37)-Career_History!D37+1),0),IF(Career_History!H38=TRUE,IF(A262&lt;Career_History!D38,0,MIN(A262,Career_History!E38)-Career_History!D38+1),0))/365.2425</f>
        <v>30.505759871865951</v>
      </c>
      <c r="AL262" s="9">
        <f>SUM(IF(Career_History!G39=TRUE,IF(A262&lt;Career_History!D39,0,MIN(A262,Career_History!E39)-Career_History!D39+1),0),IF(Career_History!G40=TRUE,IF(A262&lt;Career_History!D40,0,MIN(A262,Career_History!E40)-Career_History!D40+1),0))/365.2425</f>
        <v>23.170907000143739</v>
      </c>
      <c r="AM262" s="9">
        <f>SUM(IF(Career_History!I39=TRUE,IF(A262&lt;Career_History!D39,0,MIN(A262,Career_History!E39)-Career_History!D39+1),0),IF(Career_History!I40=TRUE,IF(A262&lt;Career_History!D40,0,MIN(A262,Career_History!E40)-Career_History!D40+1),0))/365.2425</f>
        <v>0</v>
      </c>
      <c r="AN262" s="9">
        <f>SUM(IF(Career_History!H39=TRUE,IF(A262&lt;Career_History!D39,0,MIN(A262,Career_History!E39)-Career_History!D39+1),0),IF(Career_History!H40=TRUE,IF(A262&lt;Career_History!D40,0,MIN(A262,Career_History!E40)-Career_History!D40+1),0))/365.2425</f>
        <v>23.170907000143739</v>
      </c>
      <c r="AO262" s="9">
        <f>SUM(IF(Career_History!G41=TRUE,IF(A262&lt;Career_History!D41,0,MIN(A262,Career_History!E41)-Career_History!D41+1),0),IF(Career_History!G42=TRUE,IF(A262&lt;Career_History!D42,0,MIN(A262,Career_History!E42)-Career_History!D42+1),0))/365.2425</f>
        <v>36.170489469325176</v>
      </c>
      <c r="AP262" s="9">
        <f>SUM(IF(Career_History!I41=TRUE,IF(A262&lt;Career_History!D41,0,MIN(A262,Career_History!E41)-Career_History!D41+1),0),IF(Career_History!I42=TRUE,IF(A262&lt;Career_History!D42,0,MIN(A262,Career_History!E42)-Career_History!D42+1),0))/365.2425</f>
        <v>0</v>
      </c>
      <c r="AQ262" s="9">
        <f>SUM(IF(Career_History!H41=TRUE,IF(A262&lt;Career_History!D41,0,MIN(A262,Career_History!E41)-Career_History!D41+1),0),IF(Career_History!H42=TRUE,IF(A262&lt;Career_History!D42,0,MIN(A262,Career_History!E42)-Career_History!D42+1),0))/365.2425</f>
        <v>36.170489469325176</v>
      </c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9"/>
      <c r="BH262" s="9"/>
      <c r="BI262" s="9"/>
      <c r="BJ262" s="9"/>
      <c r="BK262" s="9"/>
      <c r="BL262" s="9"/>
      <c r="BM262" s="9"/>
      <c r="BN262" s="9"/>
      <c r="BO262" s="9"/>
    </row>
    <row r="263" spans="1:67">
      <c r="A263" s="8">
        <v>42643</v>
      </c>
      <c r="B263" s="9">
        <f t="shared" si="12"/>
        <v>35.05287582907247</v>
      </c>
      <c r="C263" s="9">
        <f t="shared" si="13"/>
        <v>1.1329459194918443</v>
      </c>
      <c r="D263" s="9">
        <f t="shared" si="14"/>
        <v>25.638308794841784</v>
      </c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>
        <f>SUM(IF(Career_History!G25=TRUE,IF(A263&lt;Career_History!D25,0,MIN(A263,Career_History!E25)-Career_History!D25+1),0),IF(Career_History!G26=TRUE,IF(A263&lt;Career_History!D26,0,MIN(A263,Career_History!E26)-Career_History!D26+1),0),IF(Career_History!G27=TRUE,IF(A263&lt;Career_History!D27,0,MIN(A263,Career_History!E27)-Career_History!D27+1),0),IF(Career_History!G28=TRUE,IF(A263&lt;Career_History!D28,0,MIN(A263,Career_History!E28)-Career_History!D28+1),0),IF(Career_History!G29=TRUE,IF(A263&lt;Career_History!D29,0,MIN(A263,Career_History!E29)-Career_History!D29+1),0))/365.2425</f>
        <v>43.253454896404442</v>
      </c>
      <c r="AD263" s="9">
        <f>SUM(IF(Career_History!I25=TRUE,IF(A263&lt;Career_History!D25,0,MIN(A263,Career_History!E25)-Career_History!D25+1),0),IF(Career_History!I26=TRUE,IF(A263&lt;Career_History!D26,0,MIN(A263,Career_History!E26)-Career_History!D26+1),0),IF(Career_History!I27=TRUE,IF(A263&lt;Career_History!D27,0,MIN(A263,Career_History!E27)-Career_History!D27+1),0),IF(Career_History!I28=TRUE,IF(A263&lt;Career_History!D28,0,MIN(A263,Career_History!E28)-Career_History!D28+1),0),IF(Career_History!I29=TRUE,IF(A263&lt;Career_History!D29,0,MIN(A263,Career_History!E29)-Career_History!D29+1),0))/365.2425</f>
        <v>0</v>
      </c>
      <c r="AE263" s="9">
        <f>SUM(IF(Career_History!H25=TRUE,IF(A263&lt;Career_History!D25,0,MIN(A263,Career_History!E25)-Career_History!D25+1),0),IF(Career_History!H26=TRUE,IF(A263&lt;Career_History!D26,0,MIN(A263,Career_History!E26)-Career_History!D26+1),0),IF(Career_History!H27=TRUE,IF(A263&lt;Career_History!D27,0,MIN(A263,Career_History!E27)-Career_History!D27+1),0),IF(Career_History!H28=TRUE,IF(A263&lt;Career_History!D28,0,MIN(A263,Career_History!E28)-Career_History!D28+1),0),IF(Career_History!H29=TRUE,IF(A263&lt;Career_History!D29,0,MIN(A263,Career_History!E29)-Career_History!D29+1),0))/365.2425</f>
        <v>30.749433595487929</v>
      </c>
      <c r="AF263" s="9">
        <f>SUM(IF(Career_History!G30=TRUE,IF(A263&lt;Career_History!D30,0,MIN(A263,Career_History!E30)-Career_History!D30+1),0),IF(Career_History!G31=TRUE,IF(A263&lt;Career_History!D31,0,MIN(A263,Career_History!E31)-Career_History!D31+1),0),IF(Career_History!G32=TRUE,IF(A263&lt;Career_History!D32,0,MIN(A263,Career_History!E32)-Career_History!D32+1),0))/365.2425</f>
        <v>36.252626679534828</v>
      </c>
      <c r="AG263" s="9">
        <f>SUM(IF(Career_History!I30=TRUE,IF(A263&lt;Career_History!D30,0,MIN(A263,Career_History!E30)-Career_History!D30+1),0),IF(Career_History!I31=TRUE,IF(A263&lt;Career_History!D31,0,MIN(A263,Career_History!E31)-Career_History!D31+1),0),IF(Career_History!I32=TRUE,IF(A263&lt;Career_History!D32,0,MIN(A263,Career_History!E32)-Career_History!D32+1),0))/365.2425</f>
        <v>0</v>
      </c>
      <c r="AH263" s="9">
        <f>SUM(IF(Career_History!H30=TRUE,IF(A263&lt;Career_History!D30,0,MIN(A263,Career_History!E30)-Career_History!D30+1),0),IF(Career_History!H31=TRUE,IF(A263&lt;Career_History!D31,0,MIN(A263,Career_History!E31)-Career_History!D31+1),0),IF(Career_History!H32=TRUE,IF(A263&lt;Career_History!D32,0,MIN(A263,Career_History!E32)-Career_History!D32+1),0))/365.2425</f>
        <v>7.3485424067571543</v>
      </c>
      <c r="AI263" s="9">
        <f>SUM(IF(Career_History!G33=TRUE,IF(A263&lt;Career_History!D33,0,MIN(A263,Career_History!E33)-Career_History!D33+1),0),IF(Career_History!G34=TRUE,IF(A263&lt;Career_History!D34,0,MIN(A263,Career_History!E34)-Career_History!D34+1),0),IF(Career_History!G35=TRUE,IF(A263&lt;Career_History!D35,0,MIN(A263,Career_History!E35)-Career_History!D35+1),0),IF(Career_History!G36=TRUE,IF(A263&lt;Career_History!D36,0,MIN(A263,Career_History!E36)-Career_History!D36+1),0),IF(Career_History!G37=TRUE,IF(A263&lt;Career_History!D37,0,MIN(A263,Career_History!E37)-Career_History!D37+1),0),IF(Career_History!G38=TRUE,IF(A263&lt;Career_History!D38,0,MIN(A263,Career_History!E38)-Career_History!D38+1),0))/365.2425</f>
        <v>36.252626679534828</v>
      </c>
      <c r="AJ263" s="9">
        <f>SUM(IF(Career_History!I33=TRUE,IF(A263&lt;Career_History!D33,0,MIN(A263,Career_History!E33)-Career_History!D33+1),0),IF(Career_History!I34=TRUE,IF(A263&lt;Career_History!D34,0,MIN(A263,Career_History!E34)-Career_History!D34+1),0),IF(Career_History!I35=TRUE,IF(A263&lt;Career_History!D35,0,MIN(A263,Career_History!E35)-Career_History!D35+1),0),IF(Career_History!I36=TRUE,IF(A263&lt;Career_History!D36,0,MIN(A263,Career_History!E36)-Career_History!D36+1),0),IF(Career_History!I37=TRUE,IF(A263&lt;Career_History!D37,0,MIN(A263,Career_History!E37)-Career_History!D37+1),0),IF(Career_History!I38=TRUE,IF(A263&lt;Career_History!D38,0,MIN(A263,Career_History!E38)-Career_History!D38+1),0))/365.2425</f>
        <v>5.664729597459222</v>
      </c>
      <c r="AK263" s="9">
        <f>SUM(IF(Career_History!H33=TRUE,IF(A263&lt;Career_History!D33,0,MIN(A263,Career_History!E33)-Career_History!D33+1),0),IF(Career_History!H34=TRUE,IF(A263&lt;Career_History!D34,0,MIN(A263,Career_History!E34)-Career_History!D34+1),0),IF(Career_History!H35=TRUE,IF(A263&lt;Career_History!D35,0,MIN(A263,Career_History!E35)-Career_History!D35+1),0),IF(Career_History!H36=TRUE,IF(A263&lt;Career_History!D36,0,MIN(A263,Career_History!E36)-Career_History!D36+1),0),IF(Career_History!H37=TRUE,IF(A263&lt;Career_History!D37,0,MIN(A263,Career_History!E37)-Career_History!D37+1),0),IF(Career_History!H38=TRUE,IF(A263&lt;Career_History!D38,0,MIN(A263,Career_History!E38)-Career_History!D38+1),0))/365.2425</f>
        <v>30.587897082075607</v>
      </c>
      <c r="AL263" s="9">
        <f>SUM(IF(Career_History!G39=TRUE,IF(A263&lt;Career_History!D39,0,MIN(A263,Career_History!E39)-Career_History!D39+1),0),IF(Career_History!G40=TRUE,IF(A263&lt;Career_History!D40,0,MIN(A263,Career_History!E40)-Career_History!D40+1),0))/365.2425</f>
        <v>23.253044210353394</v>
      </c>
      <c r="AM263" s="9">
        <f>SUM(IF(Career_History!I39=TRUE,IF(A263&lt;Career_History!D39,0,MIN(A263,Career_History!E39)-Career_History!D39+1),0),IF(Career_History!I40=TRUE,IF(A263&lt;Career_History!D40,0,MIN(A263,Career_History!E40)-Career_History!D40+1),0))/365.2425</f>
        <v>0</v>
      </c>
      <c r="AN263" s="9">
        <f>SUM(IF(Career_History!H39=TRUE,IF(A263&lt;Career_History!D39,0,MIN(A263,Career_History!E39)-Career_History!D39+1),0),IF(Career_History!H40=TRUE,IF(A263&lt;Career_History!D40,0,MIN(A263,Career_History!E40)-Career_History!D40+1),0))/365.2425</f>
        <v>23.253044210353394</v>
      </c>
      <c r="AO263" s="9">
        <f>SUM(IF(Career_History!G41=TRUE,IF(A263&lt;Career_History!D41,0,MIN(A263,Career_History!E41)-Career_History!D41+1),0),IF(Career_History!G42=TRUE,IF(A263&lt;Career_History!D42,0,MIN(A263,Career_History!E42)-Career_History!D42+1),0))/365.2425</f>
        <v>36.252626679534828</v>
      </c>
      <c r="AP263" s="9">
        <f>SUM(IF(Career_History!I41=TRUE,IF(A263&lt;Career_History!D41,0,MIN(A263,Career_History!E41)-Career_History!D41+1),0),IF(Career_History!I42=TRUE,IF(A263&lt;Career_History!D42,0,MIN(A263,Career_History!E42)-Career_History!D42+1),0))/365.2425</f>
        <v>0</v>
      </c>
      <c r="AQ263" s="9">
        <f>SUM(IF(Career_History!H41=TRUE,IF(A263&lt;Career_History!D41,0,MIN(A263,Career_History!E41)-Career_History!D41+1),0),IF(Career_History!H42=TRUE,IF(A263&lt;Career_History!D42,0,MIN(A263,Career_History!E42)-Career_History!D42+1),0))/365.2425</f>
        <v>36.252626679534828</v>
      </c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9"/>
      <c r="BH263" s="9"/>
      <c r="BI263" s="9"/>
      <c r="BJ263" s="9"/>
      <c r="BK263" s="9"/>
      <c r="BL263" s="9"/>
      <c r="BM263" s="9"/>
      <c r="BN263" s="9"/>
      <c r="BO263" s="9"/>
    </row>
    <row r="264" spans="1:67">
      <c r="A264" s="8">
        <v>42674</v>
      </c>
      <c r="B264" s="9">
        <f t="shared" si="12"/>
        <v>35.137750946289103</v>
      </c>
      <c r="C264" s="9">
        <f t="shared" si="13"/>
        <v>1.1329459194918443</v>
      </c>
      <c r="D264" s="9">
        <f t="shared" si="14"/>
        <v>25.723183912058424</v>
      </c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>
        <f>SUM(IF(Career_History!G25=TRUE,IF(A264&lt;Career_History!D25,0,MIN(A264,Career_History!E25)-Career_History!D25+1),0),IF(Career_History!G26=TRUE,IF(A264&lt;Career_History!D26,0,MIN(A264,Career_History!E26)-Career_History!D26+1),0),IF(Career_History!G27=TRUE,IF(A264&lt;Career_History!D27,0,MIN(A264,Career_History!E27)-Career_History!D27+1),0),IF(Career_History!G28=TRUE,IF(A264&lt;Career_History!D28,0,MIN(A264,Career_History!E28)-Career_History!D28+1),0),IF(Career_History!G29=TRUE,IF(A264&lt;Career_History!D29,0,MIN(A264,Career_History!E29)-Career_History!D29+1),0))/365.2425</f>
        <v>43.338330013621089</v>
      </c>
      <c r="AD264" s="9">
        <f>SUM(IF(Career_History!I25=TRUE,IF(A264&lt;Career_History!D25,0,MIN(A264,Career_History!E25)-Career_History!D25+1),0),IF(Career_History!I26=TRUE,IF(A264&lt;Career_History!D26,0,MIN(A264,Career_History!E26)-Career_History!D26+1),0),IF(Career_History!I27=TRUE,IF(A264&lt;Career_History!D27,0,MIN(A264,Career_History!E27)-Career_History!D27+1),0),IF(Career_History!I28=TRUE,IF(A264&lt;Career_History!D28,0,MIN(A264,Career_History!E28)-Career_History!D28+1),0),IF(Career_History!I29=TRUE,IF(A264&lt;Career_History!D29,0,MIN(A264,Career_History!E29)-Career_History!D29+1),0))/365.2425</f>
        <v>0</v>
      </c>
      <c r="AE264" s="9">
        <f>SUM(IF(Career_History!H25=TRUE,IF(A264&lt;Career_History!D25,0,MIN(A264,Career_History!E25)-Career_History!D25+1),0),IF(Career_History!H26=TRUE,IF(A264&lt;Career_History!D26,0,MIN(A264,Career_History!E26)-Career_History!D26+1),0),IF(Career_History!H27=TRUE,IF(A264&lt;Career_History!D27,0,MIN(A264,Career_History!E27)-Career_History!D27+1),0),IF(Career_History!H28=TRUE,IF(A264&lt;Career_History!D28,0,MIN(A264,Career_History!E28)-Career_History!D28+1),0),IF(Career_History!H29=TRUE,IF(A264&lt;Career_History!D29,0,MIN(A264,Career_History!E29)-Career_History!D29+1),0))/365.2425</f>
        <v>30.834308712704573</v>
      </c>
      <c r="AF264" s="9">
        <f>SUM(IF(Career_History!G30=TRUE,IF(A264&lt;Career_History!D30,0,MIN(A264,Career_History!E30)-Career_History!D30+1),0),IF(Career_History!G31=TRUE,IF(A264&lt;Career_History!D31,0,MIN(A264,Career_History!E31)-Career_History!D31+1),0),IF(Career_History!G32=TRUE,IF(A264&lt;Career_History!D32,0,MIN(A264,Career_History!E32)-Career_History!D32+1),0))/365.2425</f>
        <v>36.337501796751475</v>
      </c>
      <c r="AG264" s="9">
        <f>SUM(IF(Career_History!I30=TRUE,IF(A264&lt;Career_History!D30,0,MIN(A264,Career_History!E30)-Career_History!D30+1),0),IF(Career_History!I31=TRUE,IF(A264&lt;Career_History!D31,0,MIN(A264,Career_History!E31)-Career_History!D31+1),0),IF(Career_History!I32=TRUE,IF(A264&lt;Career_History!D32,0,MIN(A264,Career_History!E32)-Career_History!D32+1),0))/365.2425</f>
        <v>0</v>
      </c>
      <c r="AH264" s="9">
        <f>SUM(IF(Career_History!H30=TRUE,IF(A264&lt;Career_History!D30,0,MIN(A264,Career_History!E30)-Career_History!D30+1),0),IF(Career_History!H31=TRUE,IF(A264&lt;Career_History!D31,0,MIN(A264,Career_History!E31)-Career_History!D31+1),0),IF(Career_History!H32=TRUE,IF(A264&lt;Career_History!D32,0,MIN(A264,Career_History!E32)-Career_History!D32+1),0))/365.2425</f>
        <v>7.4334175239737981</v>
      </c>
      <c r="AI264" s="9">
        <f>SUM(IF(Career_History!G33=TRUE,IF(A264&lt;Career_History!D33,0,MIN(A264,Career_History!E33)-Career_History!D33+1),0),IF(Career_History!G34=TRUE,IF(A264&lt;Career_History!D34,0,MIN(A264,Career_History!E34)-Career_History!D34+1),0),IF(Career_History!G35=TRUE,IF(A264&lt;Career_History!D35,0,MIN(A264,Career_History!E35)-Career_History!D35+1),0),IF(Career_History!G36=TRUE,IF(A264&lt;Career_History!D36,0,MIN(A264,Career_History!E36)-Career_History!D36+1),0),IF(Career_History!G37=TRUE,IF(A264&lt;Career_History!D37,0,MIN(A264,Career_History!E37)-Career_History!D37+1),0),IF(Career_History!G38=TRUE,IF(A264&lt;Career_History!D38,0,MIN(A264,Career_History!E38)-Career_History!D38+1),0))/365.2425</f>
        <v>36.337501796751475</v>
      </c>
      <c r="AJ264" s="9">
        <f>SUM(IF(Career_History!I33=TRUE,IF(A264&lt;Career_History!D33,0,MIN(A264,Career_History!E33)-Career_History!D33+1),0),IF(Career_History!I34=TRUE,IF(A264&lt;Career_History!D34,0,MIN(A264,Career_History!E34)-Career_History!D34+1),0),IF(Career_History!I35=TRUE,IF(A264&lt;Career_History!D35,0,MIN(A264,Career_History!E35)-Career_History!D35+1),0),IF(Career_History!I36=TRUE,IF(A264&lt;Career_History!D36,0,MIN(A264,Career_History!E36)-Career_History!D36+1),0),IF(Career_History!I37=TRUE,IF(A264&lt;Career_History!D37,0,MIN(A264,Career_History!E37)-Career_History!D37+1),0),IF(Career_History!I38=TRUE,IF(A264&lt;Career_History!D38,0,MIN(A264,Career_History!E38)-Career_History!D38+1),0))/365.2425</f>
        <v>5.664729597459222</v>
      </c>
      <c r="AK264" s="9">
        <f>SUM(IF(Career_History!H33=TRUE,IF(A264&lt;Career_History!D33,0,MIN(A264,Career_History!E33)-Career_History!D33+1),0),IF(Career_History!H34=TRUE,IF(A264&lt;Career_History!D34,0,MIN(A264,Career_History!E34)-Career_History!D34+1),0),IF(Career_History!H35=TRUE,IF(A264&lt;Career_History!D35,0,MIN(A264,Career_History!E35)-Career_History!D35+1),0),IF(Career_History!H36=TRUE,IF(A264&lt;Career_History!D36,0,MIN(A264,Career_History!E36)-Career_History!D36+1),0),IF(Career_History!H37=TRUE,IF(A264&lt;Career_History!D37,0,MIN(A264,Career_History!E37)-Career_History!D37+1),0),IF(Career_History!H38=TRUE,IF(A264&lt;Career_History!D38,0,MIN(A264,Career_History!E38)-Career_History!D38+1),0))/365.2425</f>
        <v>30.67277219929225</v>
      </c>
      <c r="AL264" s="9">
        <f>SUM(IF(Career_History!G39=TRUE,IF(A264&lt;Career_History!D39,0,MIN(A264,Career_History!E39)-Career_History!D39+1),0),IF(Career_History!G40=TRUE,IF(A264&lt;Career_History!D40,0,MIN(A264,Career_History!E40)-Career_History!D40+1),0))/365.2425</f>
        <v>23.337919327570038</v>
      </c>
      <c r="AM264" s="9">
        <f>SUM(IF(Career_History!I39=TRUE,IF(A264&lt;Career_History!D39,0,MIN(A264,Career_History!E39)-Career_History!D39+1),0),IF(Career_History!I40=TRUE,IF(A264&lt;Career_History!D40,0,MIN(A264,Career_History!E40)-Career_History!D40+1),0))/365.2425</f>
        <v>0</v>
      </c>
      <c r="AN264" s="9">
        <f>SUM(IF(Career_History!H39=TRUE,IF(A264&lt;Career_History!D39,0,MIN(A264,Career_History!E39)-Career_History!D39+1),0),IF(Career_History!H40=TRUE,IF(A264&lt;Career_History!D40,0,MIN(A264,Career_History!E40)-Career_History!D40+1),0))/365.2425</f>
        <v>23.337919327570038</v>
      </c>
      <c r="AO264" s="9">
        <f>SUM(IF(Career_History!G41=TRUE,IF(A264&lt;Career_History!D41,0,MIN(A264,Career_History!E41)-Career_History!D41+1),0),IF(Career_History!G42=TRUE,IF(A264&lt;Career_History!D42,0,MIN(A264,Career_History!E42)-Career_History!D42+1),0))/365.2425</f>
        <v>36.337501796751475</v>
      </c>
      <c r="AP264" s="9">
        <f>SUM(IF(Career_History!I41=TRUE,IF(A264&lt;Career_History!D41,0,MIN(A264,Career_History!E41)-Career_History!D41+1),0),IF(Career_History!I42=TRUE,IF(A264&lt;Career_History!D42,0,MIN(A264,Career_History!E42)-Career_History!D42+1),0))/365.2425</f>
        <v>0</v>
      </c>
      <c r="AQ264" s="9">
        <f>SUM(IF(Career_History!H41=TRUE,IF(A264&lt;Career_History!D41,0,MIN(A264,Career_History!E41)-Career_History!D41+1),0),IF(Career_History!H42=TRUE,IF(A264&lt;Career_History!D42,0,MIN(A264,Career_History!E42)-Career_History!D42+1),0))/365.2425</f>
        <v>36.337501796751475</v>
      </c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9"/>
      <c r="BH264" s="9"/>
      <c r="BI264" s="9"/>
      <c r="BJ264" s="9"/>
      <c r="BK264" s="9"/>
      <c r="BL264" s="9"/>
      <c r="BM264" s="9"/>
      <c r="BN264" s="9"/>
      <c r="BO264" s="9"/>
    </row>
    <row r="265" spans="1:67">
      <c r="A265" s="8">
        <v>42704</v>
      </c>
      <c r="B265" s="9">
        <f t="shared" si="12"/>
        <v>35.219888156498754</v>
      </c>
      <c r="C265" s="9">
        <f t="shared" si="13"/>
        <v>1.1329459194918443</v>
      </c>
      <c r="D265" s="9">
        <f t="shared" si="14"/>
        <v>25.805321122268076</v>
      </c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>
        <f>SUM(IF(Career_History!G25=TRUE,IF(A265&lt;Career_History!D25,0,MIN(A265,Career_History!E25)-Career_History!D25+1),0),IF(Career_History!G26=TRUE,IF(A265&lt;Career_History!D26,0,MIN(A265,Career_History!E26)-Career_History!D26+1),0),IF(Career_History!G27=TRUE,IF(A265&lt;Career_History!D27,0,MIN(A265,Career_History!E27)-Career_History!D27+1),0),IF(Career_History!G28=TRUE,IF(A265&lt;Career_History!D28,0,MIN(A265,Career_History!E28)-Career_History!D28+1),0),IF(Career_History!G29=TRUE,IF(A265&lt;Career_History!D29,0,MIN(A265,Career_History!E29)-Career_History!D29+1),0))/365.2425</f>
        <v>43.420467223830741</v>
      </c>
      <c r="AD265" s="9">
        <f>SUM(IF(Career_History!I25=TRUE,IF(A265&lt;Career_History!D25,0,MIN(A265,Career_History!E25)-Career_History!D25+1),0),IF(Career_History!I26=TRUE,IF(A265&lt;Career_History!D26,0,MIN(A265,Career_History!E26)-Career_History!D26+1),0),IF(Career_History!I27=TRUE,IF(A265&lt;Career_History!D27,0,MIN(A265,Career_History!E27)-Career_History!D27+1),0),IF(Career_History!I28=TRUE,IF(A265&lt;Career_History!D28,0,MIN(A265,Career_History!E28)-Career_History!D28+1),0),IF(Career_History!I29=TRUE,IF(A265&lt;Career_History!D29,0,MIN(A265,Career_History!E29)-Career_History!D29+1),0))/365.2425</f>
        <v>0</v>
      </c>
      <c r="AE265" s="9">
        <f>SUM(IF(Career_History!H25=TRUE,IF(A265&lt;Career_History!D25,0,MIN(A265,Career_History!E25)-Career_History!D25+1),0),IF(Career_History!H26=TRUE,IF(A265&lt;Career_History!D26,0,MIN(A265,Career_History!E26)-Career_History!D26+1),0),IF(Career_History!H27=TRUE,IF(A265&lt;Career_History!D27,0,MIN(A265,Career_History!E27)-Career_History!D27+1),0),IF(Career_History!H28=TRUE,IF(A265&lt;Career_History!D28,0,MIN(A265,Career_History!E28)-Career_History!D28+1),0),IF(Career_History!H29=TRUE,IF(A265&lt;Career_History!D29,0,MIN(A265,Career_History!E29)-Career_History!D29+1),0))/365.2425</f>
        <v>30.916445922914228</v>
      </c>
      <c r="AF265" s="9">
        <f>SUM(IF(Career_History!G30=TRUE,IF(A265&lt;Career_History!D30,0,MIN(A265,Career_History!E30)-Career_History!D30+1),0),IF(Career_History!G31=TRUE,IF(A265&lt;Career_History!D31,0,MIN(A265,Career_History!E31)-Career_History!D31+1),0),IF(Career_History!G32=TRUE,IF(A265&lt;Career_History!D32,0,MIN(A265,Career_History!E32)-Career_History!D32+1),0))/365.2425</f>
        <v>36.419639006961127</v>
      </c>
      <c r="AG265" s="9">
        <f>SUM(IF(Career_History!I30=TRUE,IF(A265&lt;Career_History!D30,0,MIN(A265,Career_History!E30)-Career_History!D30+1),0),IF(Career_History!I31=TRUE,IF(A265&lt;Career_History!D31,0,MIN(A265,Career_History!E31)-Career_History!D31+1),0),IF(Career_History!I32=TRUE,IF(A265&lt;Career_History!D32,0,MIN(A265,Career_History!E32)-Career_History!D32+1),0))/365.2425</f>
        <v>0</v>
      </c>
      <c r="AH265" s="9">
        <f>SUM(IF(Career_History!H30=TRUE,IF(A265&lt;Career_History!D30,0,MIN(A265,Career_History!E30)-Career_History!D30+1),0),IF(Career_History!H31=TRUE,IF(A265&lt;Career_History!D31,0,MIN(A265,Career_History!E31)-Career_History!D31+1),0),IF(Career_History!H32=TRUE,IF(A265&lt;Career_History!D32,0,MIN(A265,Career_History!E32)-Career_History!D32+1),0))/365.2425</f>
        <v>7.5155547341834534</v>
      </c>
      <c r="AI265" s="9">
        <f>SUM(IF(Career_History!G33=TRUE,IF(A265&lt;Career_History!D33,0,MIN(A265,Career_History!E33)-Career_History!D33+1),0),IF(Career_History!G34=TRUE,IF(A265&lt;Career_History!D34,0,MIN(A265,Career_History!E34)-Career_History!D34+1),0),IF(Career_History!G35=TRUE,IF(A265&lt;Career_History!D35,0,MIN(A265,Career_History!E35)-Career_History!D35+1),0),IF(Career_History!G36=TRUE,IF(A265&lt;Career_History!D36,0,MIN(A265,Career_History!E36)-Career_History!D36+1),0),IF(Career_History!G37=TRUE,IF(A265&lt;Career_History!D37,0,MIN(A265,Career_History!E37)-Career_History!D37+1),0),IF(Career_History!G38=TRUE,IF(A265&lt;Career_History!D38,0,MIN(A265,Career_History!E38)-Career_History!D38+1),0))/365.2425</f>
        <v>36.419639006961127</v>
      </c>
      <c r="AJ265" s="9">
        <f>SUM(IF(Career_History!I33=TRUE,IF(A265&lt;Career_History!D33,0,MIN(A265,Career_History!E33)-Career_History!D33+1),0),IF(Career_History!I34=TRUE,IF(A265&lt;Career_History!D34,0,MIN(A265,Career_History!E34)-Career_History!D34+1),0),IF(Career_History!I35=TRUE,IF(A265&lt;Career_History!D35,0,MIN(A265,Career_History!E35)-Career_History!D35+1),0),IF(Career_History!I36=TRUE,IF(A265&lt;Career_History!D36,0,MIN(A265,Career_History!E36)-Career_History!D36+1),0),IF(Career_History!I37=TRUE,IF(A265&lt;Career_History!D37,0,MIN(A265,Career_History!E37)-Career_History!D37+1),0),IF(Career_History!I38=TRUE,IF(A265&lt;Career_History!D38,0,MIN(A265,Career_History!E38)-Career_History!D38+1),0))/365.2425</f>
        <v>5.664729597459222</v>
      </c>
      <c r="AK265" s="9">
        <f>SUM(IF(Career_History!H33=TRUE,IF(A265&lt;Career_History!D33,0,MIN(A265,Career_History!E33)-Career_History!D33+1),0),IF(Career_History!H34=TRUE,IF(A265&lt;Career_History!D34,0,MIN(A265,Career_History!E34)-Career_History!D34+1),0),IF(Career_History!H35=TRUE,IF(A265&lt;Career_History!D35,0,MIN(A265,Career_History!E35)-Career_History!D35+1),0),IF(Career_History!H36=TRUE,IF(A265&lt;Career_History!D36,0,MIN(A265,Career_History!E36)-Career_History!D36+1),0),IF(Career_History!H37=TRUE,IF(A265&lt;Career_History!D37,0,MIN(A265,Career_History!E37)-Career_History!D37+1),0),IF(Career_History!H38=TRUE,IF(A265&lt;Career_History!D38,0,MIN(A265,Career_History!E38)-Career_History!D38+1),0))/365.2425</f>
        <v>30.754909409501906</v>
      </c>
      <c r="AL265" s="9">
        <f>SUM(IF(Career_History!G39=TRUE,IF(A265&lt;Career_History!D39,0,MIN(A265,Career_History!E39)-Career_History!D39+1),0),IF(Career_History!G40=TRUE,IF(A265&lt;Career_History!D40,0,MIN(A265,Career_History!E40)-Career_History!D40+1),0))/365.2425</f>
        <v>23.420056537779693</v>
      </c>
      <c r="AM265" s="9">
        <f>SUM(IF(Career_History!I39=TRUE,IF(A265&lt;Career_History!D39,0,MIN(A265,Career_History!E39)-Career_History!D39+1),0),IF(Career_History!I40=TRUE,IF(A265&lt;Career_History!D40,0,MIN(A265,Career_History!E40)-Career_History!D40+1),0))/365.2425</f>
        <v>0</v>
      </c>
      <c r="AN265" s="9">
        <f>SUM(IF(Career_History!H39=TRUE,IF(A265&lt;Career_History!D39,0,MIN(A265,Career_History!E39)-Career_History!D39+1),0),IF(Career_History!H40=TRUE,IF(A265&lt;Career_History!D40,0,MIN(A265,Career_History!E40)-Career_History!D40+1),0))/365.2425</f>
        <v>23.420056537779693</v>
      </c>
      <c r="AO265" s="9">
        <f>SUM(IF(Career_History!G41=TRUE,IF(A265&lt;Career_History!D41,0,MIN(A265,Career_History!E41)-Career_History!D41+1),0),IF(Career_History!G42=TRUE,IF(A265&lt;Career_History!D42,0,MIN(A265,Career_History!E42)-Career_History!D42+1),0))/365.2425</f>
        <v>36.419639006961127</v>
      </c>
      <c r="AP265" s="9">
        <f>SUM(IF(Career_History!I41=TRUE,IF(A265&lt;Career_History!D41,0,MIN(A265,Career_History!E41)-Career_History!D41+1),0),IF(Career_History!I42=TRUE,IF(A265&lt;Career_History!D42,0,MIN(A265,Career_History!E42)-Career_History!D42+1),0))/365.2425</f>
        <v>0</v>
      </c>
      <c r="AQ265" s="9">
        <f>SUM(IF(Career_History!H41=TRUE,IF(A265&lt;Career_History!D41,0,MIN(A265,Career_History!E41)-Career_History!D41+1),0),IF(Career_History!H42=TRUE,IF(A265&lt;Career_History!D42,0,MIN(A265,Career_History!E42)-Career_History!D42+1),0))/365.2425</f>
        <v>36.419639006961127</v>
      </c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9"/>
      <c r="BH265" s="9"/>
      <c r="BI265" s="9"/>
      <c r="BJ265" s="9"/>
      <c r="BK265" s="9"/>
      <c r="BL265" s="9"/>
      <c r="BM265" s="9"/>
      <c r="BN265" s="9"/>
      <c r="BO265" s="9"/>
    </row>
    <row r="266" spans="1:67">
      <c r="A266" s="8">
        <v>42735</v>
      </c>
      <c r="B266" s="9">
        <f t="shared" si="12"/>
        <v>35.304763273715409</v>
      </c>
      <c r="C266" s="9">
        <f t="shared" si="13"/>
        <v>1.1329459194918443</v>
      </c>
      <c r="D266" s="9">
        <f t="shared" si="14"/>
        <v>25.890196239484727</v>
      </c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>
        <f>SUM(IF(Career_History!G25=TRUE,IF(A266&lt;Career_History!D25,0,MIN(A266,Career_History!E25)-Career_History!D25+1),0),IF(Career_History!G26=TRUE,IF(A266&lt;Career_History!D26,0,MIN(A266,Career_History!E26)-Career_History!D26+1),0),IF(Career_History!G27=TRUE,IF(A266&lt;Career_History!D27,0,MIN(A266,Career_History!E27)-Career_History!D27+1),0),IF(Career_History!G28=TRUE,IF(A266&lt;Career_History!D28,0,MIN(A266,Career_History!E28)-Career_History!D28+1),0),IF(Career_History!G29=TRUE,IF(A266&lt;Career_History!D29,0,MIN(A266,Career_History!E29)-Career_History!D29+1),0))/365.2425</f>
        <v>43.505342341047388</v>
      </c>
      <c r="AD266" s="9">
        <f>SUM(IF(Career_History!I25=TRUE,IF(A266&lt;Career_History!D25,0,MIN(A266,Career_History!E25)-Career_History!D25+1),0),IF(Career_History!I26=TRUE,IF(A266&lt;Career_History!D26,0,MIN(A266,Career_History!E26)-Career_History!D26+1),0),IF(Career_History!I27=TRUE,IF(A266&lt;Career_History!D27,0,MIN(A266,Career_History!E27)-Career_History!D27+1),0),IF(Career_History!I28=TRUE,IF(A266&lt;Career_History!D28,0,MIN(A266,Career_History!E28)-Career_History!D28+1),0),IF(Career_History!I29=TRUE,IF(A266&lt;Career_History!D29,0,MIN(A266,Career_History!E29)-Career_History!D29+1),0))/365.2425</f>
        <v>0</v>
      </c>
      <c r="AE266" s="9">
        <f>SUM(IF(Career_History!H25=TRUE,IF(A266&lt;Career_History!D25,0,MIN(A266,Career_History!E25)-Career_History!D25+1),0),IF(Career_History!H26=TRUE,IF(A266&lt;Career_History!D26,0,MIN(A266,Career_History!E26)-Career_History!D26+1),0),IF(Career_History!H27=TRUE,IF(A266&lt;Career_History!D27,0,MIN(A266,Career_History!E27)-Career_History!D27+1),0),IF(Career_History!H28=TRUE,IF(A266&lt;Career_History!D28,0,MIN(A266,Career_History!E28)-Career_History!D28+1),0),IF(Career_History!H29=TRUE,IF(A266&lt;Career_History!D29,0,MIN(A266,Career_History!E29)-Career_History!D29+1),0))/365.2425</f>
        <v>31.001321040130872</v>
      </c>
      <c r="AF266" s="9">
        <f>SUM(IF(Career_History!G30=TRUE,IF(A266&lt;Career_History!D30,0,MIN(A266,Career_History!E30)-Career_History!D30+1),0),IF(Career_History!G31=TRUE,IF(A266&lt;Career_History!D31,0,MIN(A266,Career_History!E31)-Career_History!D31+1),0),IF(Career_History!G32=TRUE,IF(A266&lt;Career_History!D32,0,MIN(A266,Career_History!E32)-Career_History!D32+1),0))/365.2425</f>
        <v>36.504514124177774</v>
      </c>
      <c r="AG266" s="9">
        <f>SUM(IF(Career_History!I30=TRUE,IF(A266&lt;Career_History!D30,0,MIN(A266,Career_History!E30)-Career_History!D30+1),0),IF(Career_History!I31=TRUE,IF(A266&lt;Career_History!D31,0,MIN(A266,Career_History!E31)-Career_History!D31+1),0),IF(Career_History!I32=TRUE,IF(A266&lt;Career_History!D32,0,MIN(A266,Career_History!E32)-Career_History!D32+1),0))/365.2425</f>
        <v>0</v>
      </c>
      <c r="AH266" s="9">
        <f>SUM(IF(Career_History!H30=TRUE,IF(A266&lt;Career_History!D30,0,MIN(A266,Career_History!E30)-Career_History!D30+1),0),IF(Career_History!H31=TRUE,IF(A266&lt;Career_History!D31,0,MIN(A266,Career_History!E31)-Career_History!D31+1),0),IF(Career_History!H32=TRUE,IF(A266&lt;Career_History!D32,0,MIN(A266,Career_History!E32)-Career_History!D32+1),0))/365.2425</f>
        <v>7.6004298514000972</v>
      </c>
      <c r="AI266" s="9">
        <f>SUM(IF(Career_History!G33=TRUE,IF(A266&lt;Career_History!D33,0,MIN(A266,Career_History!E33)-Career_History!D33+1),0),IF(Career_History!G34=TRUE,IF(A266&lt;Career_History!D34,0,MIN(A266,Career_History!E34)-Career_History!D34+1),0),IF(Career_History!G35=TRUE,IF(A266&lt;Career_History!D35,0,MIN(A266,Career_History!E35)-Career_History!D35+1),0),IF(Career_History!G36=TRUE,IF(A266&lt;Career_History!D36,0,MIN(A266,Career_History!E36)-Career_History!D36+1),0),IF(Career_History!G37=TRUE,IF(A266&lt;Career_History!D37,0,MIN(A266,Career_History!E37)-Career_History!D37+1),0),IF(Career_History!G38=TRUE,IF(A266&lt;Career_History!D38,0,MIN(A266,Career_History!E38)-Career_History!D38+1),0))/365.2425</f>
        <v>36.504514124177774</v>
      </c>
      <c r="AJ266" s="9">
        <f>SUM(IF(Career_History!I33=TRUE,IF(A266&lt;Career_History!D33,0,MIN(A266,Career_History!E33)-Career_History!D33+1),0),IF(Career_History!I34=TRUE,IF(A266&lt;Career_History!D34,0,MIN(A266,Career_History!E34)-Career_History!D34+1),0),IF(Career_History!I35=TRUE,IF(A266&lt;Career_History!D35,0,MIN(A266,Career_History!E35)-Career_History!D35+1),0),IF(Career_History!I36=TRUE,IF(A266&lt;Career_History!D36,0,MIN(A266,Career_History!E36)-Career_History!D36+1),0),IF(Career_History!I37=TRUE,IF(A266&lt;Career_History!D37,0,MIN(A266,Career_History!E37)-Career_History!D37+1),0),IF(Career_History!I38=TRUE,IF(A266&lt;Career_History!D38,0,MIN(A266,Career_History!E38)-Career_History!D38+1),0))/365.2425</f>
        <v>5.664729597459222</v>
      </c>
      <c r="AK266" s="9">
        <f>SUM(IF(Career_History!H33=TRUE,IF(A266&lt;Career_History!D33,0,MIN(A266,Career_History!E33)-Career_History!D33+1),0),IF(Career_History!H34=TRUE,IF(A266&lt;Career_History!D34,0,MIN(A266,Career_History!E34)-Career_History!D34+1),0),IF(Career_History!H35=TRUE,IF(A266&lt;Career_History!D35,0,MIN(A266,Career_History!E35)-Career_History!D35+1),0),IF(Career_History!H36=TRUE,IF(A266&lt;Career_History!D36,0,MIN(A266,Career_History!E36)-Career_History!D36+1),0),IF(Career_History!H37=TRUE,IF(A266&lt;Career_History!D37,0,MIN(A266,Career_History!E37)-Career_History!D37+1),0),IF(Career_History!H38=TRUE,IF(A266&lt;Career_History!D38,0,MIN(A266,Career_History!E38)-Career_History!D38+1),0))/365.2425</f>
        <v>30.83978452671855</v>
      </c>
      <c r="AL266" s="9">
        <f>SUM(IF(Career_History!G39=TRUE,IF(A266&lt;Career_History!D39,0,MIN(A266,Career_History!E39)-Career_History!D39+1),0),IF(Career_History!G40=TRUE,IF(A266&lt;Career_History!D40,0,MIN(A266,Career_History!E40)-Career_History!D40+1),0))/365.2425</f>
        <v>23.504931654996337</v>
      </c>
      <c r="AM266" s="9">
        <f>SUM(IF(Career_History!I39=TRUE,IF(A266&lt;Career_History!D39,0,MIN(A266,Career_History!E39)-Career_History!D39+1),0),IF(Career_History!I40=TRUE,IF(A266&lt;Career_History!D40,0,MIN(A266,Career_History!E40)-Career_History!D40+1),0))/365.2425</f>
        <v>0</v>
      </c>
      <c r="AN266" s="9">
        <f>SUM(IF(Career_History!H39=TRUE,IF(A266&lt;Career_History!D39,0,MIN(A266,Career_History!E39)-Career_History!D39+1),0),IF(Career_History!H40=TRUE,IF(A266&lt;Career_History!D40,0,MIN(A266,Career_History!E40)-Career_History!D40+1),0))/365.2425</f>
        <v>23.504931654996337</v>
      </c>
      <c r="AO266" s="9">
        <f>SUM(IF(Career_History!G41=TRUE,IF(A266&lt;Career_History!D41,0,MIN(A266,Career_History!E41)-Career_History!D41+1),0),IF(Career_History!G42=TRUE,IF(A266&lt;Career_History!D42,0,MIN(A266,Career_History!E42)-Career_History!D42+1),0))/365.2425</f>
        <v>36.504514124177774</v>
      </c>
      <c r="AP266" s="9">
        <f>SUM(IF(Career_History!I41=TRUE,IF(A266&lt;Career_History!D41,0,MIN(A266,Career_History!E41)-Career_History!D41+1),0),IF(Career_History!I42=TRUE,IF(A266&lt;Career_History!D42,0,MIN(A266,Career_History!E42)-Career_History!D42+1),0))/365.2425</f>
        <v>0</v>
      </c>
      <c r="AQ266" s="9">
        <f>SUM(IF(Career_History!H41=TRUE,IF(A266&lt;Career_History!D41,0,MIN(A266,Career_History!E41)-Career_History!D41+1),0),IF(Career_History!H42=TRUE,IF(A266&lt;Career_History!D42,0,MIN(A266,Career_History!E42)-Career_History!D42+1),0))/365.2425</f>
        <v>36.504514124177774</v>
      </c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9"/>
      <c r="BH266" s="9"/>
      <c r="BI266" s="9"/>
      <c r="BJ266" s="9"/>
      <c r="BK266" s="9"/>
      <c r="BL266" s="9"/>
      <c r="BM266" s="9"/>
      <c r="BN266" s="9"/>
      <c r="BO266" s="9"/>
    </row>
    <row r="267" spans="1:67">
      <c r="A267" s="8">
        <v>42766</v>
      </c>
      <c r="B267" s="9">
        <f t="shared" si="12"/>
        <v>33.190003901517485</v>
      </c>
      <c r="C267" s="9">
        <f t="shared" si="13"/>
        <v>1.9499373703772149</v>
      </c>
      <c r="D267" s="9">
        <f t="shared" si="14"/>
        <v>28.538847478045408</v>
      </c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>
        <f>SUM(IF(Career_History!G25=TRUE,IF(A267&lt;Career_History!D25,0,MIN(A267,Career_History!E25)-Career_History!D25+1),0),IF(Career_History!G26=TRUE,IF(A267&lt;Career_History!D26,0,MIN(A267,Career_History!E26)-Career_History!D26+1),0),IF(Career_History!G27=TRUE,IF(A267&lt;Career_History!D27,0,MIN(A267,Career_History!E27)-Career_History!D27+1),0),IF(Career_History!G28=TRUE,IF(A267&lt;Career_History!D28,0,MIN(A267,Career_History!E28)-Career_History!D28+1),0),IF(Career_History!G29=TRUE,IF(A267&lt;Career_History!D29,0,MIN(A267,Career_History!E29)-Career_History!D29+1),0))/365.2425</f>
        <v>43.590217458264028</v>
      </c>
      <c r="AD267" s="9">
        <f>SUM(IF(Career_History!I25=TRUE,IF(A267&lt;Career_History!D25,0,MIN(A267,Career_History!E25)-Career_History!D25+1),0),IF(Career_History!I26=TRUE,IF(A267&lt;Career_History!D26,0,MIN(A267,Career_History!E26)-Career_History!D26+1),0),IF(Career_History!I27=TRUE,IF(A267&lt;Career_History!D27,0,MIN(A267,Career_History!E27)-Career_History!D27+1),0),IF(Career_History!I28=TRUE,IF(A267&lt;Career_History!D28,0,MIN(A267,Career_History!E28)-Career_History!D28+1),0),IF(Career_History!I29=TRUE,IF(A267&lt;Career_History!D29,0,MIN(A267,Career_History!E29)-Career_History!D29+1),0))/365.2425</f>
        <v>0</v>
      </c>
      <c r="AE267" s="9">
        <f>SUM(IF(Career_History!H25=TRUE,IF(A267&lt;Career_History!D25,0,MIN(A267,Career_History!E25)-Career_History!D25+1),0),IF(Career_History!H26=TRUE,IF(A267&lt;Career_History!D26,0,MIN(A267,Career_History!E26)-Career_History!D26+1),0),IF(Career_History!H27=TRUE,IF(A267&lt;Career_History!D27,0,MIN(A267,Career_History!E27)-Career_History!D27+1),0),IF(Career_History!H28=TRUE,IF(A267&lt;Career_History!D28,0,MIN(A267,Career_History!E28)-Career_History!D28+1),0),IF(Career_History!H29=TRUE,IF(A267&lt;Career_History!D29,0,MIN(A267,Career_History!E29)-Career_History!D29+1),0))/365.2425</f>
        <v>31.086196157347516</v>
      </c>
      <c r="AF267" s="9"/>
      <c r="AG267" s="9"/>
      <c r="AH267" s="9"/>
      <c r="AI267" s="9">
        <f>SUM(IF(Career_History!G33=TRUE,IF(A267&lt;Career_History!D33,0,MIN(A267,Career_History!E33)-Career_History!D33+1),0),IF(Career_History!G34=TRUE,IF(A267&lt;Career_History!D34,0,MIN(A267,Career_History!E34)-Career_History!D34+1),0),IF(Career_History!G35=TRUE,IF(A267&lt;Career_History!D35,0,MIN(A267,Career_History!E35)-Career_History!D35+1),0),IF(Career_History!G36=TRUE,IF(A267&lt;Career_History!D36,0,MIN(A267,Career_History!E36)-Career_History!D36+1),0),IF(Career_History!G37=TRUE,IF(A267&lt;Career_History!D37,0,MIN(A267,Career_History!E37)-Career_History!D37+1),0),IF(Career_History!G38=TRUE,IF(A267&lt;Career_History!D38,0,MIN(A267,Career_History!E38)-Career_History!D38+1),0))/365.2425</f>
        <v>36.589389241394414</v>
      </c>
      <c r="AJ267" s="9">
        <f>SUM(IF(Career_History!I33=TRUE,IF(A267&lt;Career_History!D33,0,MIN(A267,Career_History!E33)-Career_History!D33+1),0),IF(Career_History!I34=TRUE,IF(A267&lt;Career_History!D34,0,MIN(A267,Career_History!E34)-Career_History!D34+1),0),IF(Career_History!I35=TRUE,IF(A267&lt;Career_History!D35,0,MIN(A267,Career_History!E35)-Career_History!D35+1),0),IF(Career_History!I36=TRUE,IF(A267&lt;Career_History!D36,0,MIN(A267,Career_History!E36)-Career_History!D36+1),0),IF(Career_History!I37=TRUE,IF(A267&lt;Career_History!D37,0,MIN(A267,Career_History!E37)-Career_History!D37+1),0),IF(Career_History!I38=TRUE,IF(A267&lt;Career_History!D38,0,MIN(A267,Career_History!E38)-Career_History!D38+1),0))/365.2425</f>
        <v>5.664729597459222</v>
      </c>
      <c r="AK267" s="9">
        <f>SUM(IF(Career_History!H33=TRUE,IF(A267&lt;Career_History!D33,0,MIN(A267,Career_History!E33)-Career_History!D33+1),0),IF(Career_History!H34=TRUE,IF(A267&lt;Career_History!D34,0,MIN(A267,Career_History!E34)-Career_History!D34+1),0),IF(Career_History!H35=TRUE,IF(A267&lt;Career_History!D35,0,MIN(A267,Career_History!E35)-Career_History!D35+1),0),IF(Career_History!H36=TRUE,IF(A267&lt;Career_History!D36,0,MIN(A267,Career_History!E36)-Career_History!D36+1),0),IF(Career_History!H37=TRUE,IF(A267&lt;Career_History!D37,0,MIN(A267,Career_History!E37)-Career_History!D37+1),0),IF(Career_History!H38=TRUE,IF(A267&lt;Career_History!D38,0,MIN(A267,Career_History!E38)-Career_History!D38+1),0))/365.2425</f>
        <v>30.924659643935193</v>
      </c>
      <c r="AL267" s="9">
        <f>SUM(IF(Career_History!G39=TRUE,IF(A267&lt;Career_History!D39,0,MIN(A267,Career_History!E39)-Career_History!D39+1),0),IF(Career_History!G40=TRUE,IF(A267&lt;Career_History!D40,0,MIN(A267,Career_History!E40)-Career_History!D40+1),0))/365.2425</f>
        <v>23.589806772212981</v>
      </c>
      <c r="AM267" s="9">
        <f>SUM(IF(Career_History!I39=TRUE,IF(A267&lt;Career_History!D39,0,MIN(A267,Career_History!E39)-Career_History!D39+1),0),IF(Career_History!I40=TRUE,IF(A267&lt;Career_History!D40,0,MIN(A267,Career_History!E40)-Career_History!D40+1),0))/365.2425</f>
        <v>0</v>
      </c>
      <c r="AN267" s="9">
        <f>SUM(IF(Career_History!H39=TRUE,IF(A267&lt;Career_History!D39,0,MIN(A267,Career_History!E39)-Career_History!D39+1),0),IF(Career_History!H40=TRUE,IF(A267&lt;Career_History!D40,0,MIN(A267,Career_History!E40)-Career_History!D40+1),0))/365.2425</f>
        <v>23.589806772212981</v>
      </c>
      <c r="AO267" s="9">
        <f>SUM(IF(Career_History!G41=TRUE,IF(A267&lt;Career_History!D41,0,MIN(A267,Career_History!E41)-Career_History!D41+1),0),IF(Career_History!G42=TRUE,IF(A267&lt;Career_History!D42,0,MIN(A267,Career_History!E42)-Career_History!D42+1),0))/365.2425</f>
        <v>36.589389241394414</v>
      </c>
      <c r="AP267" s="9">
        <f>SUM(IF(Career_History!I41=TRUE,IF(A267&lt;Career_History!D41,0,MIN(A267,Career_History!E41)-Career_History!D41+1),0),IF(Career_History!I42=TRUE,IF(A267&lt;Career_History!D42,0,MIN(A267,Career_History!E42)-Career_History!D42+1),0))/365.2425</f>
        <v>0</v>
      </c>
      <c r="AQ267" s="9">
        <f>SUM(IF(Career_History!H41=TRUE,IF(A267&lt;Career_History!D41,0,MIN(A267,Career_History!E41)-Career_History!D41+1),0),IF(Career_History!H42=TRUE,IF(A267&lt;Career_History!D42,0,MIN(A267,Career_History!E42)-Career_History!D42+1),0))/365.2425</f>
        <v>36.589389241394414</v>
      </c>
      <c r="AR267" s="9">
        <f>SUM(IF(Career_History!G43=TRUE,IF(A267&lt;Career_History!D43,0,MIN(A267,Career_History!E43)-Career_History!D43+1),0),IF(Career_History!G44=TRUE,IF(A267&lt;Career_History!D44,0,MIN(A267,Career_History!E44)-Career_History!D44+1),0),IF(Career_History!G45=TRUE,IF(A267&lt;Career_History!D45,0,MIN(A267,Career_History!E45)-Career_History!D45+1),0),IF(Career_History!G46=TRUE,IF(A267&lt;Career_History!D46,0,MIN(A267,Career_History!E46)-Career_History!D46+1),0))/365.2425</f>
        <v>25.591216794321582</v>
      </c>
      <c r="AS267" s="9">
        <f>SUM(IF(Career_History!I43=TRUE,IF(A267&lt;Career_History!D43,0,MIN(A267,Career_History!E43)-Career_History!D43+1),0),IF(Career_History!I44=TRUE,IF(A267&lt;Career_History!D44,0,MIN(A267,Career_History!E44)-Career_History!D44+1),0),IF(Career_History!I45=TRUE,IF(A267&lt;Career_History!D45,0,MIN(A267,Career_History!E45)-Career_History!D45+1),0),IF(Career_History!I46=TRUE,IF(A267&lt;Career_History!D46,0,MIN(A267,Career_History!E46)-Career_History!D46+1),0))/365.2425</f>
        <v>4.0849572544268531</v>
      </c>
      <c r="AT267" s="9">
        <f>SUM(IF(Career_History!H43=TRUE,IF(A267&lt;Career_History!D43,0,MIN(A267,Career_History!E43)-Career_History!D43+1),0),IF(Career_History!H44=TRUE,IF(A267&lt;Career_History!D44,0,MIN(A267,Career_History!E44)-Career_History!D44+1),0),IF(Career_History!H45=TRUE,IF(A267&lt;Career_History!D45,0,MIN(A267,Career_History!E45)-Career_History!D45+1),0),IF(Career_History!H46=TRUE,IF(A267&lt;Career_History!D46,0,MIN(A267,Career_History!E46)-Career_History!D46+1),0))/365.2425</f>
        <v>20.504185575336933</v>
      </c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9"/>
      <c r="BH267" s="9"/>
      <c r="BI267" s="9"/>
      <c r="BJ267" s="9"/>
      <c r="BK267" s="9"/>
      <c r="BL267" s="9"/>
      <c r="BM267" s="9"/>
      <c r="BN267" s="9"/>
      <c r="BO267" s="9"/>
    </row>
    <row r="268" spans="1:67">
      <c r="A268" s="8">
        <v>42794</v>
      </c>
      <c r="B268" s="9">
        <f t="shared" si="12"/>
        <v>33.26666529771316</v>
      </c>
      <c r="C268" s="9">
        <f t="shared" si="13"/>
        <v>1.9499373703772149</v>
      </c>
      <c r="D268" s="9">
        <f t="shared" si="14"/>
        <v>28.61550887424109</v>
      </c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>
        <f>SUM(IF(Career_History!G25=TRUE,IF(A268&lt;Career_History!D25,0,MIN(A268,Career_History!E25)-Career_History!D25+1),0),IF(Career_History!G26=TRUE,IF(A268&lt;Career_History!D26,0,MIN(A268,Career_History!E26)-Career_History!D26+1),0),IF(Career_History!G27=TRUE,IF(A268&lt;Career_History!D27,0,MIN(A268,Career_History!E27)-Career_History!D27+1),0),IF(Career_History!G28=TRUE,IF(A268&lt;Career_History!D28,0,MIN(A268,Career_History!E28)-Career_History!D28+1),0),IF(Career_History!G29=TRUE,IF(A268&lt;Career_History!D29,0,MIN(A268,Career_History!E29)-Career_History!D29+1),0))/365.2425</f>
        <v>43.666878854459711</v>
      </c>
      <c r="AD268" s="9">
        <f>SUM(IF(Career_History!I25=TRUE,IF(A268&lt;Career_History!D25,0,MIN(A268,Career_History!E25)-Career_History!D25+1),0),IF(Career_History!I26=TRUE,IF(A268&lt;Career_History!D26,0,MIN(A268,Career_History!E26)-Career_History!D26+1),0),IF(Career_History!I27=TRUE,IF(A268&lt;Career_History!D27,0,MIN(A268,Career_History!E27)-Career_History!D27+1),0),IF(Career_History!I28=TRUE,IF(A268&lt;Career_History!D28,0,MIN(A268,Career_History!E28)-Career_History!D28+1),0),IF(Career_History!I29=TRUE,IF(A268&lt;Career_History!D29,0,MIN(A268,Career_History!E29)-Career_History!D29+1),0))/365.2425</f>
        <v>0</v>
      </c>
      <c r="AE268" s="9">
        <f>SUM(IF(Career_History!H25=TRUE,IF(A268&lt;Career_History!D25,0,MIN(A268,Career_History!E25)-Career_History!D25+1),0),IF(Career_History!H26=TRUE,IF(A268&lt;Career_History!D26,0,MIN(A268,Career_History!E26)-Career_History!D26+1),0),IF(Career_History!H27=TRUE,IF(A268&lt;Career_History!D27,0,MIN(A268,Career_History!E27)-Career_History!D27+1),0),IF(Career_History!H28=TRUE,IF(A268&lt;Career_History!D28,0,MIN(A268,Career_History!E28)-Career_History!D28+1),0),IF(Career_History!H29=TRUE,IF(A268&lt;Career_History!D29,0,MIN(A268,Career_History!E29)-Career_History!D29+1),0))/365.2425</f>
        <v>31.162857553543194</v>
      </c>
      <c r="AF268" s="9"/>
      <c r="AG268" s="9"/>
      <c r="AH268" s="9"/>
      <c r="AI268" s="9">
        <f>SUM(IF(Career_History!G33=TRUE,IF(A268&lt;Career_History!D33,0,MIN(A268,Career_History!E33)-Career_History!D33+1),0),IF(Career_History!G34=TRUE,IF(A268&lt;Career_History!D34,0,MIN(A268,Career_History!E34)-Career_History!D34+1),0),IF(Career_History!G35=TRUE,IF(A268&lt;Career_History!D35,0,MIN(A268,Career_History!E35)-Career_History!D35+1),0),IF(Career_History!G36=TRUE,IF(A268&lt;Career_History!D36,0,MIN(A268,Career_History!E36)-Career_History!D36+1),0),IF(Career_History!G37=TRUE,IF(A268&lt;Career_History!D37,0,MIN(A268,Career_History!E37)-Career_History!D37+1),0),IF(Career_History!G38=TRUE,IF(A268&lt;Career_History!D38,0,MIN(A268,Career_History!E38)-Career_History!D38+1),0))/365.2425</f>
        <v>36.666050637590097</v>
      </c>
      <c r="AJ268" s="9">
        <f>SUM(IF(Career_History!I33=TRUE,IF(A268&lt;Career_History!D33,0,MIN(A268,Career_History!E33)-Career_History!D33+1),0),IF(Career_History!I34=TRUE,IF(A268&lt;Career_History!D34,0,MIN(A268,Career_History!E34)-Career_History!D34+1),0),IF(Career_History!I35=TRUE,IF(A268&lt;Career_History!D35,0,MIN(A268,Career_History!E35)-Career_History!D35+1),0),IF(Career_History!I36=TRUE,IF(A268&lt;Career_History!D36,0,MIN(A268,Career_History!E36)-Career_History!D36+1),0),IF(Career_History!I37=TRUE,IF(A268&lt;Career_History!D37,0,MIN(A268,Career_History!E37)-Career_History!D37+1),0),IF(Career_History!I38=TRUE,IF(A268&lt;Career_History!D38,0,MIN(A268,Career_History!E38)-Career_History!D38+1),0))/365.2425</f>
        <v>5.664729597459222</v>
      </c>
      <c r="AK268" s="9">
        <f>SUM(IF(Career_History!H33=TRUE,IF(A268&lt;Career_History!D33,0,MIN(A268,Career_History!E33)-Career_History!D33+1),0),IF(Career_History!H34=TRUE,IF(A268&lt;Career_History!D34,0,MIN(A268,Career_History!E34)-Career_History!D34+1),0),IF(Career_History!H35=TRUE,IF(A268&lt;Career_History!D35,0,MIN(A268,Career_History!E35)-Career_History!D35+1),0),IF(Career_History!H36=TRUE,IF(A268&lt;Career_History!D36,0,MIN(A268,Career_History!E36)-Career_History!D36+1),0),IF(Career_History!H37=TRUE,IF(A268&lt;Career_History!D37,0,MIN(A268,Career_History!E37)-Career_History!D37+1),0),IF(Career_History!H38=TRUE,IF(A268&lt;Career_History!D38,0,MIN(A268,Career_History!E38)-Career_History!D38+1),0))/365.2425</f>
        <v>31.001321040130872</v>
      </c>
      <c r="AL268" s="9">
        <f>SUM(IF(Career_History!G39=TRUE,IF(A268&lt;Career_History!D39,0,MIN(A268,Career_History!E39)-Career_History!D39+1),0),IF(Career_History!G40=TRUE,IF(A268&lt;Career_History!D40,0,MIN(A268,Career_History!E40)-Career_History!D40+1),0))/365.2425</f>
        <v>23.66646816840866</v>
      </c>
      <c r="AM268" s="9">
        <f>SUM(IF(Career_History!I39=TRUE,IF(A268&lt;Career_History!D39,0,MIN(A268,Career_History!E39)-Career_History!D39+1),0),IF(Career_History!I40=TRUE,IF(A268&lt;Career_History!D40,0,MIN(A268,Career_History!E40)-Career_History!D40+1),0))/365.2425</f>
        <v>0</v>
      </c>
      <c r="AN268" s="9">
        <f>SUM(IF(Career_History!H39=TRUE,IF(A268&lt;Career_History!D39,0,MIN(A268,Career_History!E39)-Career_History!D39+1),0),IF(Career_History!H40=TRUE,IF(A268&lt;Career_History!D40,0,MIN(A268,Career_History!E40)-Career_History!D40+1),0))/365.2425</f>
        <v>23.66646816840866</v>
      </c>
      <c r="AO268" s="9">
        <f>SUM(IF(Career_History!G41=TRUE,IF(A268&lt;Career_History!D41,0,MIN(A268,Career_History!E41)-Career_History!D41+1),0),IF(Career_History!G42=TRUE,IF(A268&lt;Career_History!D42,0,MIN(A268,Career_History!E42)-Career_History!D42+1),0))/365.2425</f>
        <v>36.666050637590097</v>
      </c>
      <c r="AP268" s="9">
        <f>SUM(IF(Career_History!I41=TRUE,IF(A268&lt;Career_History!D41,0,MIN(A268,Career_History!E41)-Career_History!D41+1),0),IF(Career_History!I42=TRUE,IF(A268&lt;Career_History!D42,0,MIN(A268,Career_History!E42)-Career_History!D42+1),0))/365.2425</f>
        <v>0</v>
      </c>
      <c r="AQ268" s="9">
        <f>SUM(IF(Career_History!H41=TRUE,IF(A268&lt;Career_History!D41,0,MIN(A268,Career_History!E41)-Career_History!D41+1),0),IF(Career_History!H42=TRUE,IF(A268&lt;Career_History!D42,0,MIN(A268,Career_History!E42)-Career_History!D42+1),0))/365.2425</f>
        <v>36.666050637590097</v>
      </c>
      <c r="AR268" s="9">
        <f>SUM(IF(Career_History!G43=TRUE,IF(A268&lt;Career_History!D43,0,MIN(A268,Career_History!E43)-Career_History!D43+1),0),IF(Career_History!G44=TRUE,IF(A268&lt;Career_History!D44,0,MIN(A268,Career_History!E44)-Career_History!D44+1),0),IF(Career_History!G45=TRUE,IF(A268&lt;Career_History!D45,0,MIN(A268,Career_History!E45)-Career_History!D45+1),0),IF(Career_History!G46=TRUE,IF(A268&lt;Career_History!D46,0,MIN(A268,Career_History!E46)-Career_History!D46+1),0))/365.2425</f>
        <v>25.667878190517257</v>
      </c>
      <c r="AS268" s="9">
        <f>SUM(IF(Career_History!I43=TRUE,IF(A268&lt;Career_History!D43,0,MIN(A268,Career_History!E43)-Career_History!D43+1),0),IF(Career_History!I44=TRUE,IF(A268&lt;Career_History!D44,0,MIN(A268,Career_History!E44)-Career_History!D44+1),0),IF(Career_History!I45=TRUE,IF(A268&lt;Career_History!D45,0,MIN(A268,Career_History!E45)-Career_History!D45+1),0),IF(Career_History!I46=TRUE,IF(A268&lt;Career_History!D46,0,MIN(A268,Career_History!E46)-Career_History!D46+1),0))/365.2425</f>
        <v>4.0849572544268531</v>
      </c>
      <c r="AT268" s="9">
        <f>SUM(IF(Career_History!H43=TRUE,IF(A268&lt;Career_History!D43,0,MIN(A268,Career_History!E43)-Career_History!D43+1),0),IF(Career_History!H44=TRUE,IF(A268&lt;Career_History!D44,0,MIN(A268,Career_History!E44)-Career_History!D44+1),0),IF(Career_History!H45=TRUE,IF(A268&lt;Career_History!D45,0,MIN(A268,Career_History!E45)-Career_History!D45+1),0),IF(Career_History!H46=TRUE,IF(A268&lt;Career_History!D46,0,MIN(A268,Career_History!E46)-Career_History!D46+1),0))/365.2425</f>
        <v>20.580846971532612</v>
      </c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9"/>
      <c r="BH268" s="9"/>
      <c r="BI268" s="9"/>
      <c r="BJ268" s="9"/>
      <c r="BK268" s="9"/>
      <c r="BL268" s="9"/>
      <c r="BM268" s="9"/>
      <c r="BN268" s="9"/>
      <c r="BO268" s="9"/>
    </row>
    <row r="269" spans="1:67">
      <c r="A269" s="8">
        <v>42825</v>
      </c>
      <c r="B269" s="9">
        <f t="shared" si="12"/>
        <v>33.351540414929801</v>
      </c>
      <c r="C269" s="9">
        <f t="shared" si="13"/>
        <v>1.9499373703772149</v>
      </c>
      <c r="D269" s="9">
        <f t="shared" si="14"/>
        <v>28.700383991457727</v>
      </c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>
        <f>SUM(IF(Career_History!G25=TRUE,IF(A269&lt;Career_History!D25,0,MIN(A269,Career_History!E25)-Career_History!D25+1),0),IF(Career_History!G26=TRUE,IF(A269&lt;Career_History!D26,0,MIN(A269,Career_History!E26)-Career_History!D26+1),0),IF(Career_History!G27=TRUE,IF(A269&lt;Career_History!D27,0,MIN(A269,Career_History!E27)-Career_History!D27+1),0),IF(Career_History!G28=TRUE,IF(A269&lt;Career_History!D28,0,MIN(A269,Career_History!E28)-Career_History!D28+1),0),IF(Career_History!G29=TRUE,IF(A269&lt;Career_History!D29,0,MIN(A269,Career_History!E29)-Career_History!D29+1),0))/365.2425</f>
        <v>43.751753971676351</v>
      </c>
      <c r="AD269" s="9">
        <f>SUM(IF(Career_History!I25=TRUE,IF(A269&lt;Career_History!D25,0,MIN(A269,Career_History!E25)-Career_History!D25+1),0),IF(Career_History!I26=TRUE,IF(A269&lt;Career_History!D26,0,MIN(A269,Career_History!E26)-Career_History!D26+1),0),IF(Career_History!I27=TRUE,IF(A269&lt;Career_History!D27,0,MIN(A269,Career_History!E27)-Career_History!D27+1),0),IF(Career_History!I28=TRUE,IF(A269&lt;Career_History!D28,0,MIN(A269,Career_History!E28)-Career_History!D28+1),0),IF(Career_History!I29=TRUE,IF(A269&lt;Career_History!D29,0,MIN(A269,Career_History!E29)-Career_History!D29+1),0))/365.2425</f>
        <v>0</v>
      </c>
      <c r="AE269" s="9">
        <f>SUM(IF(Career_History!H25=TRUE,IF(A269&lt;Career_History!D25,0,MIN(A269,Career_History!E25)-Career_History!D25+1),0),IF(Career_History!H26=TRUE,IF(A269&lt;Career_History!D26,0,MIN(A269,Career_History!E26)-Career_History!D26+1),0),IF(Career_History!H27=TRUE,IF(A269&lt;Career_History!D27,0,MIN(A269,Career_History!E27)-Career_History!D27+1),0),IF(Career_History!H28=TRUE,IF(A269&lt;Career_History!D28,0,MIN(A269,Career_History!E28)-Career_History!D28+1),0),IF(Career_History!H29=TRUE,IF(A269&lt;Career_History!D29,0,MIN(A269,Career_History!E29)-Career_History!D29+1),0))/365.2425</f>
        <v>31.247732670759838</v>
      </c>
      <c r="AF269" s="9"/>
      <c r="AG269" s="9"/>
      <c r="AH269" s="9"/>
      <c r="AI269" s="9">
        <f>SUM(IF(Career_History!G33=TRUE,IF(A269&lt;Career_History!D33,0,MIN(A269,Career_History!E33)-Career_History!D33+1),0),IF(Career_History!G34=TRUE,IF(A269&lt;Career_History!D34,0,MIN(A269,Career_History!E34)-Career_History!D34+1),0),IF(Career_History!G35=TRUE,IF(A269&lt;Career_History!D35,0,MIN(A269,Career_History!E35)-Career_History!D35+1),0),IF(Career_History!G36=TRUE,IF(A269&lt;Career_History!D36,0,MIN(A269,Career_History!E36)-Career_History!D36+1),0),IF(Career_History!G37=TRUE,IF(A269&lt;Career_History!D37,0,MIN(A269,Career_History!E37)-Career_History!D37+1),0),IF(Career_History!G38=TRUE,IF(A269&lt;Career_History!D38,0,MIN(A269,Career_History!E38)-Career_History!D38+1),0))/365.2425</f>
        <v>36.750925754806737</v>
      </c>
      <c r="AJ269" s="9">
        <f>SUM(IF(Career_History!I33=TRUE,IF(A269&lt;Career_History!D33,0,MIN(A269,Career_History!E33)-Career_History!D33+1),0),IF(Career_History!I34=TRUE,IF(A269&lt;Career_History!D34,0,MIN(A269,Career_History!E34)-Career_History!D34+1),0),IF(Career_History!I35=TRUE,IF(A269&lt;Career_History!D35,0,MIN(A269,Career_History!E35)-Career_History!D35+1),0),IF(Career_History!I36=TRUE,IF(A269&lt;Career_History!D36,0,MIN(A269,Career_History!E36)-Career_History!D36+1),0),IF(Career_History!I37=TRUE,IF(A269&lt;Career_History!D37,0,MIN(A269,Career_History!E37)-Career_History!D37+1),0),IF(Career_History!I38=TRUE,IF(A269&lt;Career_History!D38,0,MIN(A269,Career_History!E38)-Career_History!D38+1),0))/365.2425</f>
        <v>5.664729597459222</v>
      </c>
      <c r="AK269" s="9">
        <f>SUM(IF(Career_History!H33=TRUE,IF(A269&lt;Career_History!D33,0,MIN(A269,Career_History!E33)-Career_History!D33+1),0),IF(Career_History!H34=TRUE,IF(A269&lt;Career_History!D34,0,MIN(A269,Career_History!E34)-Career_History!D34+1),0),IF(Career_History!H35=TRUE,IF(A269&lt;Career_History!D35,0,MIN(A269,Career_History!E35)-Career_History!D35+1),0),IF(Career_History!H36=TRUE,IF(A269&lt;Career_History!D36,0,MIN(A269,Career_History!E36)-Career_History!D36+1),0),IF(Career_History!H37=TRUE,IF(A269&lt;Career_History!D37,0,MIN(A269,Career_History!E37)-Career_History!D37+1),0),IF(Career_History!H38=TRUE,IF(A269&lt;Career_History!D38,0,MIN(A269,Career_History!E38)-Career_History!D38+1),0))/365.2425</f>
        <v>31.086196157347516</v>
      </c>
      <c r="AL269" s="9">
        <f>SUM(IF(Career_History!G39=TRUE,IF(A269&lt;Career_History!D39,0,MIN(A269,Career_History!E39)-Career_History!D39+1),0),IF(Career_History!G40=TRUE,IF(A269&lt;Career_History!D40,0,MIN(A269,Career_History!E40)-Career_History!D40+1),0))/365.2425</f>
        <v>23.751343285625303</v>
      </c>
      <c r="AM269" s="9">
        <f>SUM(IF(Career_History!I39=TRUE,IF(A269&lt;Career_History!D39,0,MIN(A269,Career_History!E39)-Career_History!D39+1),0),IF(Career_History!I40=TRUE,IF(A269&lt;Career_History!D40,0,MIN(A269,Career_History!E40)-Career_History!D40+1),0))/365.2425</f>
        <v>0</v>
      </c>
      <c r="AN269" s="9">
        <f>SUM(IF(Career_History!H39=TRUE,IF(A269&lt;Career_History!D39,0,MIN(A269,Career_History!E39)-Career_History!D39+1),0),IF(Career_History!H40=TRUE,IF(A269&lt;Career_History!D40,0,MIN(A269,Career_History!E40)-Career_History!D40+1),0))/365.2425</f>
        <v>23.751343285625303</v>
      </c>
      <c r="AO269" s="9">
        <f>SUM(IF(Career_History!G41=TRUE,IF(A269&lt;Career_History!D41,0,MIN(A269,Career_History!E41)-Career_History!D41+1),0),IF(Career_History!G42=TRUE,IF(A269&lt;Career_History!D42,0,MIN(A269,Career_History!E42)-Career_History!D42+1),0))/365.2425</f>
        <v>36.750925754806737</v>
      </c>
      <c r="AP269" s="9">
        <f>SUM(IF(Career_History!I41=TRUE,IF(A269&lt;Career_History!D41,0,MIN(A269,Career_History!E41)-Career_History!D41+1),0),IF(Career_History!I42=TRUE,IF(A269&lt;Career_History!D42,0,MIN(A269,Career_History!E42)-Career_History!D42+1),0))/365.2425</f>
        <v>0</v>
      </c>
      <c r="AQ269" s="9">
        <f>SUM(IF(Career_History!H41=TRUE,IF(A269&lt;Career_History!D41,0,MIN(A269,Career_History!E41)-Career_History!D41+1),0),IF(Career_History!H42=TRUE,IF(A269&lt;Career_History!D42,0,MIN(A269,Career_History!E42)-Career_History!D42+1),0))/365.2425</f>
        <v>36.750925754806737</v>
      </c>
      <c r="AR269" s="9">
        <f>SUM(IF(Career_History!G43=TRUE,IF(A269&lt;Career_History!D43,0,MIN(A269,Career_History!E43)-Career_History!D43+1),0),IF(Career_History!G44=TRUE,IF(A269&lt;Career_History!D44,0,MIN(A269,Career_History!E44)-Career_History!D44+1),0),IF(Career_History!G45=TRUE,IF(A269&lt;Career_History!D45,0,MIN(A269,Career_History!E45)-Career_History!D45+1),0),IF(Career_History!G46=TRUE,IF(A269&lt;Career_History!D46,0,MIN(A269,Career_History!E46)-Career_History!D46+1),0))/365.2425</f>
        <v>25.752753307733901</v>
      </c>
      <c r="AS269" s="9">
        <f>SUM(IF(Career_History!I43=TRUE,IF(A269&lt;Career_History!D43,0,MIN(A269,Career_History!E43)-Career_History!D43+1),0),IF(Career_History!I44=TRUE,IF(A269&lt;Career_History!D44,0,MIN(A269,Career_History!E44)-Career_History!D44+1),0),IF(Career_History!I45=TRUE,IF(A269&lt;Career_History!D45,0,MIN(A269,Career_History!E45)-Career_History!D45+1),0),IF(Career_History!I46=TRUE,IF(A269&lt;Career_History!D46,0,MIN(A269,Career_History!E46)-Career_History!D46+1),0))/365.2425</f>
        <v>4.0849572544268531</v>
      </c>
      <c r="AT269" s="9">
        <f>SUM(IF(Career_History!H43=TRUE,IF(A269&lt;Career_History!D43,0,MIN(A269,Career_History!E43)-Career_History!D43+1),0),IF(Career_History!H44=TRUE,IF(A269&lt;Career_History!D44,0,MIN(A269,Career_History!E44)-Career_History!D44+1),0),IF(Career_History!H45=TRUE,IF(A269&lt;Career_History!D45,0,MIN(A269,Career_History!E45)-Career_History!D45+1),0),IF(Career_History!H46=TRUE,IF(A269&lt;Career_History!D46,0,MIN(A269,Career_History!E46)-Career_History!D46+1),0))/365.2425</f>
        <v>20.665722088749256</v>
      </c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9"/>
      <c r="BH269" s="9"/>
      <c r="BI269" s="9"/>
      <c r="BJ269" s="9"/>
      <c r="BK269" s="9"/>
      <c r="BL269" s="9"/>
      <c r="BM269" s="9"/>
      <c r="BN269" s="9"/>
      <c r="BO269" s="9"/>
    </row>
    <row r="270" spans="1:67">
      <c r="A270" s="8">
        <v>42855</v>
      </c>
      <c r="B270" s="9">
        <f t="shared" si="12"/>
        <v>33.433677625139467</v>
      </c>
      <c r="C270" s="9">
        <f t="shared" si="13"/>
        <v>1.9499373703772149</v>
      </c>
      <c r="D270" s="9">
        <f t="shared" si="14"/>
        <v>28.782521201667386</v>
      </c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>
        <f>SUM(IF(Career_History!G25=TRUE,IF(A270&lt;Career_History!D25,0,MIN(A270,Career_History!E25)-Career_History!D25+1),0),IF(Career_History!G26=TRUE,IF(A270&lt;Career_History!D26,0,MIN(A270,Career_History!E26)-Career_History!D26+1),0),IF(Career_History!G27=TRUE,IF(A270&lt;Career_History!D27,0,MIN(A270,Career_History!E27)-Career_History!D27+1),0),IF(Career_History!G28=TRUE,IF(A270&lt;Career_History!D28,0,MIN(A270,Career_History!E28)-Career_History!D28+1),0),IF(Career_History!G29=TRUE,IF(A270&lt;Career_History!D29,0,MIN(A270,Career_History!E29)-Career_History!D29+1),0))/365.2425</f>
        <v>43.83389118188601</v>
      </c>
      <c r="AD270" s="9">
        <f>SUM(IF(Career_History!I25=TRUE,IF(A270&lt;Career_History!D25,0,MIN(A270,Career_History!E25)-Career_History!D25+1),0),IF(Career_History!I26=TRUE,IF(A270&lt;Career_History!D26,0,MIN(A270,Career_History!E26)-Career_History!D26+1),0),IF(Career_History!I27=TRUE,IF(A270&lt;Career_History!D27,0,MIN(A270,Career_History!E27)-Career_History!D27+1),0),IF(Career_History!I28=TRUE,IF(A270&lt;Career_History!D28,0,MIN(A270,Career_History!E28)-Career_History!D28+1),0),IF(Career_History!I29=TRUE,IF(A270&lt;Career_History!D29,0,MIN(A270,Career_History!E29)-Career_History!D29+1),0))/365.2425</f>
        <v>0</v>
      </c>
      <c r="AE270" s="9">
        <f>SUM(IF(Career_History!H25=TRUE,IF(A270&lt;Career_History!D25,0,MIN(A270,Career_History!E25)-Career_History!D25+1),0),IF(Career_History!H26=TRUE,IF(A270&lt;Career_History!D26,0,MIN(A270,Career_History!E26)-Career_History!D26+1),0),IF(Career_History!H27=TRUE,IF(A270&lt;Career_History!D27,0,MIN(A270,Career_History!E27)-Career_History!D27+1),0),IF(Career_History!H28=TRUE,IF(A270&lt;Career_History!D28,0,MIN(A270,Career_History!E28)-Career_History!D28+1),0),IF(Career_History!H29=TRUE,IF(A270&lt;Career_History!D29,0,MIN(A270,Career_History!E29)-Career_History!D29+1),0))/365.2425</f>
        <v>31.329869880969493</v>
      </c>
      <c r="AF270" s="9"/>
      <c r="AG270" s="9"/>
      <c r="AH270" s="9"/>
      <c r="AI270" s="9">
        <f>SUM(IF(Career_History!G33=TRUE,IF(A270&lt;Career_History!D33,0,MIN(A270,Career_History!E33)-Career_History!D33+1),0),IF(Career_History!G34=TRUE,IF(A270&lt;Career_History!D34,0,MIN(A270,Career_History!E34)-Career_History!D34+1),0),IF(Career_History!G35=TRUE,IF(A270&lt;Career_History!D35,0,MIN(A270,Career_History!E35)-Career_History!D35+1),0),IF(Career_History!G36=TRUE,IF(A270&lt;Career_History!D36,0,MIN(A270,Career_History!E36)-Career_History!D36+1),0),IF(Career_History!G37=TRUE,IF(A270&lt;Career_History!D37,0,MIN(A270,Career_History!E37)-Career_History!D37+1),0),IF(Career_History!G38=TRUE,IF(A270&lt;Career_History!D38,0,MIN(A270,Career_History!E38)-Career_History!D38+1),0))/365.2425</f>
        <v>36.833062965016396</v>
      </c>
      <c r="AJ270" s="9">
        <f>SUM(IF(Career_History!I33=TRUE,IF(A270&lt;Career_History!D33,0,MIN(A270,Career_History!E33)-Career_History!D33+1),0),IF(Career_History!I34=TRUE,IF(A270&lt;Career_History!D34,0,MIN(A270,Career_History!E34)-Career_History!D34+1),0),IF(Career_History!I35=TRUE,IF(A270&lt;Career_History!D35,0,MIN(A270,Career_History!E35)-Career_History!D35+1),0),IF(Career_History!I36=TRUE,IF(A270&lt;Career_History!D36,0,MIN(A270,Career_History!E36)-Career_History!D36+1),0),IF(Career_History!I37=TRUE,IF(A270&lt;Career_History!D37,0,MIN(A270,Career_History!E37)-Career_History!D37+1),0),IF(Career_History!I38=TRUE,IF(A270&lt;Career_History!D38,0,MIN(A270,Career_History!E38)-Career_History!D38+1),0))/365.2425</f>
        <v>5.664729597459222</v>
      </c>
      <c r="AK270" s="9">
        <f>SUM(IF(Career_History!H33=TRUE,IF(A270&lt;Career_History!D33,0,MIN(A270,Career_History!E33)-Career_History!D33+1),0),IF(Career_History!H34=TRUE,IF(A270&lt;Career_History!D34,0,MIN(A270,Career_History!E34)-Career_History!D34+1),0),IF(Career_History!H35=TRUE,IF(A270&lt;Career_History!D35,0,MIN(A270,Career_History!E35)-Career_History!D35+1),0),IF(Career_History!H36=TRUE,IF(A270&lt;Career_History!D36,0,MIN(A270,Career_History!E36)-Career_History!D36+1),0),IF(Career_History!H37=TRUE,IF(A270&lt;Career_History!D37,0,MIN(A270,Career_History!E37)-Career_History!D37+1),0),IF(Career_History!H38=TRUE,IF(A270&lt;Career_History!D38,0,MIN(A270,Career_History!E38)-Career_History!D38+1),0))/365.2425</f>
        <v>31.168333367557171</v>
      </c>
      <c r="AL270" s="9">
        <f>SUM(IF(Career_History!G39=TRUE,IF(A270&lt;Career_History!D39,0,MIN(A270,Career_History!E39)-Career_History!D39+1),0),IF(Career_History!G40=TRUE,IF(A270&lt;Career_History!D40,0,MIN(A270,Career_History!E40)-Career_History!D40+1),0))/365.2425</f>
        <v>23.833480495834959</v>
      </c>
      <c r="AM270" s="9">
        <f>SUM(IF(Career_History!I39=TRUE,IF(A270&lt;Career_History!D39,0,MIN(A270,Career_History!E39)-Career_History!D39+1),0),IF(Career_History!I40=TRUE,IF(A270&lt;Career_History!D40,0,MIN(A270,Career_History!E40)-Career_History!D40+1),0))/365.2425</f>
        <v>0</v>
      </c>
      <c r="AN270" s="9">
        <f>SUM(IF(Career_History!H39=TRUE,IF(A270&lt;Career_History!D39,0,MIN(A270,Career_History!E39)-Career_History!D39+1),0),IF(Career_History!H40=TRUE,IF(A270&lt;Career_History!D40,0,MIN(A270,Career_History!E40)-Career_History!D40+1),0))/365.2425</f>
        <v>23.833480495834959</v>
      </c>
      <c r="AO270" s="9">
        <f>SUM(IF(Career_History!G41=TRUE,IF(A270&lt;Career_History!D41,0,MIN(A270,Career_History!E41)-Career_History!D41+1),0),IF(Career_History!G42=TRUE,IF(A270&lt;Career_History!D42,0,MIN(A270,Career_History!E42)-Career_History!D42+1),0))/365.2425</f>
        <v>36.833062965016396</v>
      </c>
      <c r="AP270" s="9">
        <f>SUM(IF(Career_History!I41=TRUE,IF(A270&lt;Career_History!D41,0,MIN(A270,Career_History!E41)-Career_History!D41+1),0),IF(Career_History!I42=TRUE,IF(A270&lt;Career_History!D42,0,MIN(A270,Career_History!E42)-Career_History!D42+1),0))/365.2425</f>
        <v>0</v>
      </c>
      <c r="AQ270" s="9">
        <f>SUM(IF(Career_History!H41=TRUE,IF(A270&lt;Career_History!D41,0,MIN(A270,Career_History!E41)-Career_History!D41+1),0),IF(Career_History!H42=TRUE,IF(A270&lt;Career_History!D42,0,MIN(A270,Career_History!E42)-Career_History!D42+1),0))/365.2425</f>
        <v>36.833062965016396</v>
      </c>
      <c r="AR270" s="9">
        <f>SUM(IF(Career_History!G43=TRUE,IF(A270&lt;Career_History!D43,0,MIN(A270,Career_History!E43)-Career_History!D43+1),0),IF(Career_History!G44=TRUE,IF(A270&lt;Career_History!D44,0,MIN(A270,Career_History!E44)-Career_History!D44+1),0),IF(Career_History!G45=TRUE,IF(A270&lt;Career_History!D45,0,MIN(A270,Career_History!E45)-Career_History!D45+1),0),IF(Career_History!G46=TRUE,IF(A270&lt;Career_History!D46,0,MIN(A270,Career_History!E46)-Career_History!D46+1),0))/365.2425</f>
        <v>25.834890517943556</v>
      </c>
      <c r="AS270" s="9">
        <f>SUM(IF(Career_History!I43=TRUE,IF(A270&lt;Career_History!D43,0,MIN(A270,Career_History!E43)-Career_History!D43+1),0),IF(Career_History!I44=TRUE,IF(A270&lt;Career_History!D44,0,MIN(A270,Career_History!E44)-Career_History!D44+1),0),IF(Career_History!I45=TRUE,IF(A270&lt;Career_History!D45,0,MIN(A270,Career_History!E45)-Career_History!D45+1),0),IF(Career_History!I46=TRUE,IF(A270&lt;Career_History!D46,0,MIN(A270,Career_History!E46)-Career_History!D46+1),0))/365.2425</f>
        <v>4.0849572544268531</v>
      </c>
      <c r="AT270" s="9">
        <f>SUM(IF(Career_History!H43=TRUE,IF(A270&lt;Career_History!D43,0,MIN(A270,Career_History!E43)-Career_History!D43+1),0),IF(Career_History!H44=TRUE,IF(A270&lt;Career_History!D44,0,MIN(A270,Career_History!E44)-Career_History!D44+1),0),IF(Career_History!H45=TRUE,IF(A270&lt;Career_History!D45,0,MIN(A270,Career_History!E45)-Career_History!D45+1),0),IF(Career_History!H46=TRUE,IF(A270&lt;Career_History!D46,0,MIN(A270,Career_History!E46)-Career_History!D46+1),0))/365.2425</f>
        <v>20.747859298958911</v>
      </c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  <c r="BL270" s="9"/>
      <c r="BM270" s="9"/>
      <c r="BN270" s="9"/>
      <c r="BO270" s="9"/>
    </row>
    <row r="271" spans="1:67">
      <c r="A271" s="8">
        <v>42886</v>
      </c>
      <c r="B271" s="9">
        <f t="shared" si="12"/>
        <v>33.518552742356107</v>
      </c>
      <c r="C271" s="9">
        <f t="shared" si="13"/>
        <v>1.9499373703772149</v>
      </c>
      <c r="D271" s="9">
        <f t="shared" si="14"/>
        <v>28.867396318884026</v>
      </c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>
        <f>SUM(IF(Career_History!G25=TRUE,IF(A271&lt;Career_History!D25,0,MIN(A271,Career_History!E25)-Career_History!D25+1),0),IF(Career_History!G26=TRUE,IF(A271&lt;Career_History!D26,0,MIN(A271,Career_History!E26)-Career_History!D26+1),0),IF(Career_History!G27=TRUE,IF(A271&lt;Career_History!D27,0,MIN(A271,Career_History!E27)-Career_History!D27+1),0),IF(Career_History!G28=TRUE,IF(A271&lt;Career_History!D28,0,MIN(A271,Career_History!E28)-Career_History!D28+1),0),IF(Career_History!G29=TRUE,IF(A271&lt;Career_History!D29,0,MIN(A271,Career_History!E29)-Career_History!D29+1),0))/365.2425</f>
        <v>43.91876629910265</v>
      </c>
      <c r="AD271" s="9">
        <f>SUM(IF(Career_History!I25=TRUE,IF(A271&lt;Career_History!D25,0,MIN(A271,Career_History!E25)-Career_History!D25+1),0),IF(Career_History!I26=TRUE,IF(A271&lt;Career_History!D26,0,MIN(A271,Career_History!E26)-Career_History!D26+1),0),IF(Career_History!I27=TRUE,IF(A271&lt;Career_History!D27,0,MIN(A271,Career_History!E27)-Career_History!D27+1),0),IF(Career_History!I28=TRUE,IF(A271&lt;Career_History!D28,0,MIN(A271,Career_History!E28)-Career_History!D28+1),0),IF(Career_History!I29=TRUE,IF(A271&lt;Career_History!D29,0,MIN(A271,Career_History!E29)-Career_History!D29+1),0))/365.2425</f>
        <v>0</v>
      </c>
      <c r="AE271" s="9">
        <f>SUM(IF(Career_History!H25=TRUE,IF(A271&lt;Career_History!D25,0,MIN(A271,Career_History!E25)-Career_History!D25+1),0),IF(Career_History!H26=TRUE,IF(A271&lt;Career_History!D26,0,MIN(A271,Career_History!E26)-Career_History!D26+1),0),IF(Career_History!H27=TRUE,IF(A271&lt;Career_History!D27,0,MIN(A271,Career_History!E27)-Career_History!D27+1),0),IF(Career_History!H28=TRUE,IF(A271&lt;Career_History!D28,0,MIN(A271,Career_History!E28)-Career_History!D28+1),0),IF(Career_History!H29=TRUE,IF(A271&lt;Career_History!D29,0,MIN(A271,Career_History!E29)-Career_History!D29+1),0))/365.2425</f>
        <v>31.414744998186137</v>
      </c>
      <c r="AF271" s="9"/>
      <c r="AG271" s="9"/>
      <c r="AH271" s="9"/>
      <c r="AI271" s="9">
        <f>SUM(IF(Career_History!G33=TRUE,IF(A271&lt;Career_History!D33,0,MIN(A271,Career_History!E33)-Career_History!D33+1),0),IF(Career_History!G34=TRUE,IF(A271&lt;Career_History!D34,0,MIN(A271,Career_History!E34)-Career_History!D34+1),0),IF(Career_History!G35=TRUE,IF(A271&lt;Career_History!D35,0,MIN(A271,Career_History!E35)-Career_History!D35+1),0),IF(Career_History!G36=TRUE,IF(A271&lt;Career_History!D36,0,MIN(A271,Career_History!E36)-Career_History!D36+1),0),IF(Career_History!G37=TRUE,IF(A271&lt;Career_History!D37,0,MIN(A271,Career_History!E37)-Career_History!D37+1),0),IF(Career_History!G38=TRUE,IF(A271&lt;Career_History!D38,0,MIN(A271,Career_History!E38)-Career_History!D38+1),0))/365.2425</f>
        <v>36.917938082233036</v>
      </c>
      <c r="AJ271" s="9">
        <f>SUM(IF(Career_History!I33=TRUE,IF(A271&lt;Career_History!D33,0,MIN(A271,Career_History!E33)-Career_History!D33+1),0),IF(Career_History!I34=TRUE,IF(A271&lt;Career_History!D34,0,MIN(A271,Career_History!E34)-Career_History!D34+1),0),IF(Career_History!I35=TRUE,IF(A271&lt;Career_History!D35,0,MIN(A271,Career_History!E35)-Career_History!D35+1),0),IF(Career_History!I36=TRUE,IF(A271&lt;Career_History!D36,0,MIN(A271,Career_History!E36)-Career_History!D36+1),0),IF(Career_History!I37=TRUE,IF(A271&lt;Career_History!D37,0,MIN(A271,Career_History!E37)-Career_History!D37+1),0),IF(Career_History!I38=TRUE,IF(A271&lt;Career_History!D38,0,MIN(A271,Career_History!E38)-Career_History!D38+1),0))/365.2425</f>
        <v>5.664729597459222</v>
      </c>
      <c r="AK271" s="9">
        <f>SUM(IF(Career_History!H33=TRUE,IF(A271&lt;Career_History!D33,0,MIN(A271,Career_History!E33)-Career_History!D33+1),0),IF(Career_History!H34=TRUE,IF(A271&lt;Career_History!D34,0,MIN(A271,Career_History!E34)-Career_History!D34+1),0),IF(Career_History!H35=TRUE,IF(A271&lt;Career_History!D35,0,MIN(A271,Career_History!E35)-Career_History!D35+1),0),IF(Career_History!H36=TRUE,IF(A271&lt;Career_History!D36,0,MIN(A271,Career_History!E36)-Career_History!D36+1),0),IF(Career_History!H37=TRUE,IF(A271&lt;Career_History!D37,0,MIN(A271,Career_History!E37)-Career_History!D37+1),0),IF(Career_History!H38=TRUE,IF(A271&lt;Career_History!D38,0,MIN(A271,Career_History!E38)-Career_History!D38+1),0))/365.2425</f>
        <v>31.253208484773815</v>
      </c>
      <c r="AL271" s="9">
        <f>SUM(IF(Career_History!G39=TRUE,IF(A271&lt;Career_History!D39,0,MIN(A271,Career_History!E39)-Career_History!D39+1),0),IF(Career_History!G40=TRUE,IF(A271&lt;Career_History!D40,0,MIN(A271,Career_History!E40)-Career_History!D40+1),0))/365.2425</f>
        <v>23.918355613051602</v>
      </c>
      <c r="AM271" s="9">
        <f>SUM(IF(Career_History!I39=TRUE,IF(A271&lt;Career_History!D39,0,MIN(A271,Career_History!E39)-Career_History!D39+1),0),IF(Career_History!I40=TRUE,IF(A271&lt;Career_History!D40,0,MIN(A271,Career_History!E40)-Career_History!D40+1),0))/365.2425</f>
        <v>0</v>
      </c>
      <c r="AN271" s="9">
        <f>SUM(IF(Career_History!H39=TRUE,IF(A271&lt;Career_History!D39,0,MIN(A271,Career_History!E39)-Career_History!D39+1),0),IF(Career_History!H40=TRUE,IF(A271&lt;Career_History!D40,0,MIN(A271,Career_History!E40)-Career_History!D40+1),0))/365.2425</f>
        <v>23.918355613051602</v>
      </c>
      <c r="AO271" s="9">
        <f>SUM(IF(Career_History!G41=TRUE,IF(A271&lt;Career_History!D41,0,MIN(A271,Career_History!E41)-Career_History!D41+1),0),IF(Career_History!G42=TRUE,IF(A271&lt;Career_History!D42,0,MIN(A271,Career_History!E42)-Career_History!D42+1),0))/365.2425</f>
        <v>36.917938082233036</v>
      </c>
      <c r="AP271" s="9">
        <f>SUM(IF(Career_History!I41=TRUE,IF(A271&lt;Career_History!D41,0,MIN(A271,Career_History!E41)-Career_History!D41+1),0),IF(Career_History!I42=TRUE,IF(A271&lt;Career_History!D42,0,MIN(A271,Career_History!E42)-Career_History!D42+1),0))/365.2425</f>
        <v>0</v>
      </c>
      <c r="AQ271" s="9">
        <f>SUM(IF(Career_History!H41=TRUE,IF(A271&lt;Career_History!D41,0,MIN(A271,Career_History!E41)-Career_History!D41+1),0),IF(Career_History!H42=TRUE,IF(A271&lt;Career_History!D42,0,MIN(A271,Career_History!E42)-Career_History!D42+1),0))/365.2425</f>
        <v>36.917938082233036</v>
      </c>
      <c r="AR271" s="9">
        <f>SUM(IF(Career_History!G43=TRUE,IF(A271&lt;Career_History!D43,0,MIN(A271,Career_History!E43)-Career_History!D43+1),0),IF(Career_History!G44=TRUE,IF(A271&lt;Career_History!D44,0,MIN(A271,Career_History!E44)-Career_History!D44+1),0),IF(Career_History!G45=TRUE,IF(A271&lt;Career_History!D45,0,MIN(A271,Career_History!E45)-Career_History!D45+1),0),IF(Career_History!G46=TRUE,IF(A271&lt;Career_History!D46,0,MIN(A271,Career_History!E46)-Career_History!D46+1),0))/365.2425</f>
        <v>25.9197656351602</v>
      </c>
      <c r="AS271" s="9">
        <f>SUM(IF(Career_History!I43=TRUE,IF(A271&lt;Career_History!D43,0,MIN(A271,Career_History!E43)-Career_History!D43+1),0),IF(Career_History!I44=TRUE,IF(A271&lt;Career_History!D44,0,MIN(A271,Career_History!E44)-Career_History!D44+1),0),IF(Career_History!I45=TRUE,IF(A271&lt;Career_History!D45,0,MIN(A271,Career_History!E45)-Career_History!D45+1),0),IF(Career_History!I46=TRUE,IF(A271&lt;Career_History!D46,0,MIN(A271,Career_History!E46)-Career_History!D46+1),0))/365.2425</f>
        <v>4.0849572544268531</v>
      </c>
      <c r="AT271" s="9">
        <f>SUM(IF(Career_History!H43=TRUE,IF(A271&lt;Career_History!D43,0,MIN(A271,Career_History!E43)-Career_History!D43+1),0),IF(Career_History!H44=TRUE,IF(A271&lt;Career_History!D44,0,MIN(A271,Career_History!E44)-Career_History!D44+1),0),IF(Career_History!H45=TRUE,IF(A271&lt;Career_History!D45,0,MIN(A271,Career_History!E45)-Career_History!D45+1),0),IF(Career_History!H46=TRUE,IF(A271&lt;Career_History!D46,0,MIN(A271,Career_History!E46)-Career_History!D46+1),0))/365.2425</f>
        <v>20.832734416175555</v>
      </c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9"/>
      <c r="BH271" s="9"/>
      <c r="BI271" s="9"/>
      <c r="BJ271" s="9"/>
      <c r="BK271" s="9"/>
      <c r="BL271" s="9"/>
      <c r="BM271" s="9"/>
      <c r="BN271" s="9"/>
      <c r="BO271" s="9"/>
    </row>
    <row r="272" spans="1:67">
      <c r="A272" s="8">
        <v>42916</v>
      </c>
      <c r="B272" s="9">
        <f t="shared" si="12"/>
        <v>33.600689952565759</v>
      </c>
      <c r="C272" s="9">
        <f t="shared" si="13"/>
        <v>1.9499373703772149</v>
      </c>
      <c r="D272" s="9">
        <f t="shared" si="14"/>
        <v>28.949533529093685</v>
      </c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>
        <f>SUM(IF(Career_History!G25=TRUE,IF(A272&lt;Career_History!D25,0,MIN(A272,Career_History!E25)-Career_History!D25+1),0),IF(Career_History!G26=TRUE,IF(A272&lt;Career_History!D26,0,MIN(A272,Career_History!E26)-Career_History!D26+1),0),IF(Career_History!G27=TRUE,IF(A272&lt;Career_History!D27,0,MIN(A272,Career_History!E27)-Career_History!D27+1),0),IF(Career_History!G28=TRUE,IF(A272&lt;Career_History!D28,0,MIN(A272,Career_History!E28)-Career_History!D28+1),0),IF(Career_History!G29=TRUE,IF(A272&lt;Career_History!D29,0,MIN(A272,Career_History!E29)-Career_History!D29+1),0))/365.2425</f>
        <v>44.000903509312309</v>
      </c>
      <c r="AD272" s="9">
        <f>SUM(IF(Career_History!I25=TRUE,IF(A272&lt;Career_History!D25,0,MIN(A272,Career_History!E25)-Career_History!D25+1),0),IF(Career_History!I26=TRUE,IF(A272&lt;Career_History!D26,0,MIN(A272,Career_History!E26)-Career_History!D26+1),0),IF(Career_History!I27=TRUE,IF(A272&lt;Career_History!D27,0,MIN(A272,Career_History!E27)-Career_History!D27+1),0),IF(Career_History!I28=TRUE,IF(A272&lt;Career_History!D28,0,MIN(A272,Career_History!E28)-Career_History!D28+1),0),IF(Career_History!I29=TRUE,IF(A272&lt;Career_History!D29,0,MIN(A272,Career_History!E29)-Career_History!D29+1),0))/365.2425</f>
        <v>0</v>
      </c>
      <c r="AE272" s="9">
        <f>SUM(IF(Career_History!H25=TRUE,IF(A272&lt;Career_History!D25,0,MIN(A272,Career_History!E25)-Career_History!D25+1),0),IF(Career_History!H26=TRUE,IF(A272&lt;Career_History!D26,0,MIN(A272,Career_History!E26)-Career_History!D26+1),0),IF(Career_History!H27=TRUE,IF(A272&lt;Career_History!D27,0,MIN(A272,Career_History!E27)-Career_History!D27+1),0),IF(Career_History!H28=TRUE,IF(A272&lt;Career_History!D28,0,MIN(A272,Career_History!E28)-Career_History!D28+1),0),IF(Career_History!H29=TRUE,IF(A272&lt;Career_History!D29,0,MIN(A272,Career_History!E29)-Career_History!D29+1),0))/365.2425</f>
        <v>31.496882208395792</v>
      </c>
      <c r="AF272" s="9"/>
      <c r="AG272" s="9"/>
      <c r="AH272" s="9"/>
      <c r="AI272" s="9">
        <f>SUM(IF(Career_History!G33=TRUE,IF(A272&lt;Career_History!D33,0,MIN(A272,Career_History!E33)-Career_History!D33+1),0),IF(Career_History!G34=TRUE,IF(A272&lt;Career_History!D34,0,MIN(A272,Career_History!E34)-Career_History!D34+1),0),IF(Career_History!G35=TRUE,IF(A272&lt;Career_History!D35,0,MIN(A272,Career_History!E35)-Career_History!D35+1),0),IF(Career_History!G36=TRUE,IF(A272&lt;Career_History!D36,0,MIN(A272,Career_History!E36)-Career_History!D36+1),0),IF(Career_History!G37=TRUE,IF(A272&lt;Career_History!D37,0,MIN(A272,Career_History!E37)-Career_History!D37+1),0),IF(Career_History!G38=TRUE,IF(A272&lt;Career_History!D38,0,MIN(A272,Career_History!E38)-Career_History!D38+1),0))/365.2425</f>
        <v>37.000075292442695</v>
      </c>
      <c r="AJ272" s="9">
        <f>SUM(IF(Career_History!I33=TRUE,IF(A272&lt;Career_History!D33,0,MIN(A272,Career_History!E33)-Career_History!D33+1),0),IF(Career_History!I34=TRUE,IF(A272&lt;Career_History!D34,0,MIN(A272,Career_History!E34)-Career_History!D34+1),0),IF(Career_History!I35=TRUE,IF(A272&lt;Career_History!D35,0,MIN(A272,Career_History!E35)-Career_History!D35+1),0),IF(Career_History!I36=TRUE,IF(A272&lt;Career_History!D36,0,MIN(A272,Career_History!E36)-Career_History!D36+1),0),IF(Career_History!I37=TRUE,IF(A272&lt;Career_History!D37,0,MIN(A272,Career_History!E37)-Career_History!D37+1),0),IF(Career_History!I38=TRUE,IF(A272&lt;Career_History!D38,0,MIN(A272,Career_History!E38)-Career_History!D38+1),0))/365.2425</f>
        <v>5.664729597459222</v>
      </c>
      <c r="AK272" s="9">
        <f>SUM(IF(Career_History!H33=TRUE,IF(A272&lt;Career_History!D33,0,MIN(A272,Career_History!E33)-Career_History!D33+1),0),IF(Career_History!H34=TRUE,IF(A272&lt;Career_History!D34,0,MIN(A272,Career_History!E34)-Career_History!D34+1),0),IF(Career_History!H35=TRUE,IF(A272&lt;Career_History!D35,0,MIN(A272,Career_History!E35)-Career_History!D35+1),0),IF(Career_History!H36=TRUE,IF(A272&lt;Career_History!D36,0,MIN(A272,Career_History!E36)-Career_History!D36+1),0),IF(Career_History!H37=TRUE,IF(A272&lt;Career_History!D37,0,MIN(A272,Career_History!E37)-Career_History!D37+1),0),IF(Career_History!H38=TRUE,IF(A272&lt;Career_History!D38,0,MIN(A272,Career_History!E38)-Career_History!D38+1),0))/365.2425</f>
        <v>31.33534569498347</v>
      </c>
      <c r="AL272" s="9">
        <f>SUM(IF(Career_History!G39=TRUE,IF(A272&lt;Career_History!D39,0,MIN(A272,Career_History!E39)-Career_History!D39+1),0),IF(Career_History!G40=TRUE,IF(A272&lt;Career_History!D40,0,MIN(A272,Career_History!E40)-Career_History!D40+1),0))/365.2425</f>
        <v>24.000492823261258</v>
      </c>
      <c r="AM272" s="9">
        <f>SUM(IF(Career_History!I39=TRUE,IF(A272&lt;Career_History!D39,0,MIN(A272,Career_History!E39)-Career_History!D39+1),0),IF(Career_History!I40=TRUE,IF(A272&lt;Career_History!D40,0,MIN(A272,Career_History!E40)-Career_History!D40+1),0))/365.2425</f>
        <v>0</v>
      </c>
      <c r="AN272" s="9">
        <f>SUM(IF(Career_History!H39=TRUE,IF(A272&lt;Career_History!D39,0,MIN(A272,Career_History!E39)-Career_History!D39+1),0),IF(Career_History!H40=TRUE,IF(A272&lt;Career_History!D40,0,MIN(A272,Career_History!E40)-Career_History!D40+1),0))/365.2425</f>
        <v>24.000492823261258</v>
      </c>
      <c r="AO272" s="9">
        <f>SUM(IF(Career_History!G41=TRUE,IF(A272&lt;Career_History!D41,0,MIN(A272,Career_History!E41)-Career_History!D41+1),0),IF(Career_History!G42=TRUE,IF(A272&lt;Career_History!D42,0,MIN(A272,Career_History!E42)-Career_History!D42+1),0))/365.2425</f>
        <v>37.000075292442695</v>
      </c>
      <c r="AP272" s="9">
        <f>SUM(IF(Career_History!I41=TRUE,IF(A272&lt;Career_History!D41,0,MIN(A272,Career_History!E41)-Career_History!D41+1),0),IF(Career_History!I42=TRUE,IF(A272&lt;Career_History!D42,0,MIN(A272,Career_History!E42)-Career_History!D42+1),0))/365.2425</f>
        <v>0</v>
      </c>
      <c r="AQ272" s="9">
        <f>SUM(IF(Career_History!H41=TRUE,IF(A272&lt;Career_History!D41,0,MIN(A272,Career_History!E41)-Career_History!D41+1),0),IF(Career_History!H42=TRUE,IF(A272&lt;Career_History!D42,0,MIN(A272,Career_History!E42)-Career_History!D42+1),0))/365.2425</f>
        <v>37.000075292442695</v>
      </c>
      <c r="AR272" s="9">
        <f>SUM(IF(Career_History!G43=TRUE,IF(A272&lt;Career_History!D43,0,MIN(A272,Career_History!E43)-Career_History!D43+1),0),IF(Career_History!G44=TRUE,IF(A272&lt;Career_History!D44,0,MIN(A272,Career_History!E44)-Career_History!D44+1),0),IF(Career_History!G45=TRUE,IF(A272&lt;Career_History!D45,0,MIN(A272,Career_History!E45)-Career_History!D45+1),0),IF(Career_History!G46=TRUE,IF(A272&lt;Career_History!D46,0,MIN(A272,Career_History!E46)-Career_History!D46+1),0))/365.2425</f>
        <v>26.001902845369855</v>
      </c>
      <c r="AS272" s="9">
        <f>SUM(IF(Career_History!I43=TRUE,IF(A272&lt;Career_History!D43,0,MIN(A272,Career_History!E43)-Career_History!D43+1),0),IF(Career_History!I44=TRUE,IF(A272&lt;Career_History!D44,0,MIN(A272,Career_History!E44)-Career_History!D44+1),0),IF(Career_History!I45=TRUE,IF(A272&lt;Career_History!D45,0,MIN(A272,Career_History!E45)-Career_History!D45+1),0),IF(Career_History!I46=TRUE,IF(A272&lt;Career_History!D46,0,MIN(A272,Career_History!E46)-Career_History!D46+1),0))/365.2425</f>
        <v>4.0849572544268531</v>
      </c>
      <c r="AT272" s="9">
        <f>SUM(IF(Career_History!H43=TRUE,IF(A272&lt;Career_History!D43,0,MIN(A272,Career_History!E43)-Career_History!D43+1),0),IF(Career_History!H44=TRUE,IF(A272&lt;Career_History!D44,0,MIN(A272,Career_History!E44)-Career_History!D44+1),0),IF(Career_History!H45=TRUE,IF(A272&lt;Career_History!D45,0,MIN(A272,Career_History!E45)-Career_History!D45+1),0),IF(Career_History!H46=TRUE,IF(A272&lt;Career_History!D46,0,MIN(A272,Career_History!E46)-Career_History!D46+1),0))/365.2425</f>
        <v>20.91487162638521</v>
      </c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9"/>
      <c r="BH272" s="9"/>
      <c r="BI272" s="9"/>
      <c r="BJ272" s="9"/>
      <c r="BK272" s="9"/>
      <c r="BL272" s="9"/>
      <c r="BM272" s="9"/>
      <c r="BN272" s="9"/>
      <c r="BO272" s="9"/>
    </row>
    <row r="273" spans="1:67">
      <c r="A273" s="8">
        <v>42947</v>
      </c>
      <c r="B273" s="9">
        <f t="shared" si="12"/>
        <v>33.685565069782406</v>
      </c>
      <c r="C273" s="9">
        <f t="shared" si="13"/>
        <v>1.9499373703772149</v>
      </c>
      <c r="D273" s="9">
        <f t="shared" si="14"/>
        <v>29.034408646310329</v>
      </c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>
        <f>SUM(IF(Career_History!G25=TRUE,IF(A273&lt;Career_History!D25,0,MIN(A273,Career_History!E25)-Career_History!D25+1),0),IF(Career_History!G26=TRUE,IF(A273&lt;Career_History!D26,0,MIN(A273,Career_History!E26)-Career_History!D26+1),0),IF(Career_History!G27=TRUE,IF(A273&lt;Career_History!D27,0,MIN(A273,Career_History!E27)-Career_History!D27+1),0),IF(Career_History!G28=TRUE,IF(A273&lt;Career_History!D28,0,MIN(A273,Career_History!E28)-Career_History!D28+1),0),IF(Career_History!G29=TRUE,IF(A273&lt;Career_History!D29,0,MIN(A273,Career_History!E29)-Career_History!D29+1),0))/365.2425</f>
        <v>44.085778626528949</v>
      </c>
      <c r="AD273" s="9">
        <f>SUM(IF(Career_History!I25=TRUE,IF(A273&lt;Career_History!D25,0,MIN(A273,Career_History!E25)-Career_History!D25+1),0),IF(Career_History!I26=TRUE,IF(A273&lt;Career_History!D26,0,MIN(A273,Career_History!E26)-Career_History!D26+1),0),IF(Career_History!I27=TRUE,IF(A273&lt;Career_History!D27,0,MIN(A273,Career_History!E27)-Career_History!D27+1),0),IF(Career_History!I28=TRUE,IF(A273&lt;Career_History!D28,0,MIN(A273,Career_History!E28)-Career_History!D28+1),0),IF(Career_History!I29=TRUE,IF(A273&lt;Career_History!D29,0,MIN(A273,Career_History!E29)-Career_History!D29+1),0))/365.2425</f>
        <v>0</v>
      </c>
      <c r="AE273" s="9">
        <f>SUM(IF(Career_History!H25=TRUE,IF(A273&lt;Career_History!D25,0,MIN(A273,Career_History!E25)-Career_History!D25+1),0),IF(Career_History!H26=TRUE,IF(A273&lt;Career_History!D26,0,MIN(A273,Career_History!E26)-Career_History!D26+1),0),IF(Career_History!H27=TRUE,IF(A273&lt;Career_History!D27,0,MIN(A273,Career_History!E27)-Career_History!D27+1),0),IF(Career_History!H28=TRUE,IF(A273&lt;Career_History!D28,0,MIN(A273,Career_History!E28)-Career_History!D28+1),0),IF(Career_History!H29=TRUE,IF(A273&lt;Career_History!D29,0,MIN(A273,Career_History!E29)-Career_History!D29+1),0))/365.2425</f>
        <v>31.581757325612436</v>
      </c>
      <c r="AF273" s="9"/>
      <c r="AG273" s="9"/>
      <c r="AH273" s="9"/>
      <c r="AI273" s="9">
        <f>SUM(IF(Career_History!G33=TRUE,IF(A273&lt;Career_History!D33,0,MIN(A273,Career_History!E33)-Career_History!D33+1),0),IF(Career_History!G34=TRUE,IF(A273&lt;Career_History!D34,0,MIN(A273,Career_History!E34)-Career_History!D34+1),0),IF(Career_History!G35=TRUE,IF(A273&lt;Career_History!D35,0,MIN(A273,Career_History!E35)-Career_History!D35+1),0),IF(Career_History!G36=TRUE,IF(A273&lt;Career_History!D36,0,MIN(A273,Career_History!E36)-Career_History!D36+1),0),IF(Career_History!G37=TRUE,IF(A273&lt;Career_History!D37,0,MIN(A273,Career_History!E37)-Career_History!D37+1),0),IF(Career_History!G38=TRUE,IF(A273&lt;Career_History!D38,0,MIN(A273,Career_History!E38)-Career_History!D38+1),0))/365.2425</f>
        <v>37.084950409659335</v>
      </c>
      <c r="AJ273" s="9">
        <f>SUM(IF(Career_History!I33=TRUE,IF(A273&lt;Career_History!D33,0,MIN(A273,Career_History!E33)-Career_History!D33+1),0),IF(Career_History!I34=TRUE,IF(A273&lt;Career_History!D34,0,MIN(A273,Career_History!E34)-Career_History!D34+1),0),IF(Career_History!I35=TRUE,IF(A273&lt;Career_History!D35,0,MIN(A273,Career_History!E35)-Career_History!D35+1),0),IF(Career_History!I36=TRUE,IF(A273&lt;Career_History!D36,0,MIN(A273,Career_History!E36)-Career_History!D36+1),0),IF(Career_History!I37=TRUE,IF(A273&lt;Career_History!D37,0,MIN(A273,Career_History!E37)-Career_History!D37+1),0),IF(Career_History!I38=TRUE,IF(A273&lt;Career_History!D38,0,MIN(A273,Career_History!E38)-Career_History!D38+1),0))/365.2425</f>
        <v>5.664729597459222</v>
      </c>
      <c r="AK273" s="9">
        <f>SUM(IF(Career_History!H33=TRUE,IF(A273&lt;Career_History!D33,0,MIN(A273,Career_History!E33)-Career_History!D33+1),0),IF(Career_History!H34=TRUE,IF(A273&lt;Career_History!D34,0,MIN(A273,Career_History!E34)-Career_History!D34+1),0),IF(Career_History!H35=TRUE,IF(A273&lt;Career_History!D35,0,MIN(A273,Career_History!E35)-Career_History!D35+1),0),IF(Career_History!H36=TRUE,IF(A273&lt;Career_History!D36,0,MIN(A273,Career_History!E36)-Career_History!D36+1),0),IF(Career_History!H37=TRUE,IF(A273&lt;Career_History!D37,0,MIN(A273,Career_History!E37)-Career_History!D37+1),0),IF(Career_History!H38=TRUE,IF(A273&lt;Career_History!D38,0,MIN(A273,Career_History!E38)-Career_History!D38+1),0))/365.2425</f>
        <v>31.420220812200114</v>
      </c>
      <c r="AL273" s="9">
        <f>SUM(IF(Career_History!G39=TRUE,IF(A273&lt;Career_History!D39,0,MIN(A273,Career_History!E39)-Career_History!D39+1),0),IF(Career_History!G40=TRUE,IF(A273&lt;Career_History!D40,0,MIN(A273,Career_History!E40)-Career_History!D40+1),0))/365.2425</f>
        <v>24.085367940477902</v>
      </c>
      <c r="AM273" s="9">
        <f>SUM(IF(Career_History!I39=TRUE,IF(A273&lt;Career_History!D39,0,MIN(A273,Career_History!E39)-Career_History!D39+1),0),IF(Career_History!I40=TRUE,IF(A273&lt;Career_History!D40,0,MIN(A273,Career_History!E40)-Career_History!D40+1),0))/365.2425</f>
        <v>0</v>
      </c>
      <c r="AN273" s="9">
        <f>SUM(IF(Career_History!H39=TRUE,IF(A273&lt;Career_History!D39,0,MIN(A273,Career_History!E39)-Career_History!D39+1),0),IF(Career_History!H40=TRUE,IF(A273&lt;Career_History!D40,0,MIN(A273,Career_History!E40)-Career_History!D40+1),0))/365.2425</f>
        <v>24.085367940477902</v>
      </c>
      <c r="AO273" s="9">
        <f>SUM(IF(Career_History!G41=TRUE,IF(A273&lt;Career_History!D41,0,MIN(A273,Career_History!E41)-Career_History!D41+1),0),IF(Career_History!G42=TRUE,IF(A273&lt;Career_History!D42,0,MIN(A273,Career_History!E42)-Career_History!D42+1),0))/365.2425</f>
        <v>37.084950409659335</v>
      </c>
      <c r="AP273" s="9">
        <f>SUM(IF(Career_History!I41=TRUE,IF(A273&lt;Career_History!D41,0,MIN(A273,Career_History!E41)-Career_History!D41+1),0),IF(Career_History!I42=TRUE,IF(A273&lt;Career_History!D42,0,MIN(A273,Career_History!E42)-Career_History!D42+1),0))/365.2425</f>
        <v>0</v>
      </c>
      <c r="AQ273" s="9">
        <f>SUM(IF(Career_History!H41=TRUE,IF(A273&lt;Career_History!D41,0,MIN(A273,Career_History!E41)-Career_History!D41+1),0),IF(Career_History!H42=TRUE,IF(A273&lt;Career_History!D42,0,MIN(A273,Career_History!E42)-Career_History!D42+1),0))/365.2425</f>
        <v>37.084950409659335</v>
      </c>
      <c r="AR273" s="9">
        <f>SUM(IF(Career_History!G43=TRUE,IF(A273&lt;Career_History!D43,0,MIN(A273,Career_History!E43)-Career_History!D43+1),0),IF(Career_History!G44=TRUE,IF(A273&lt;Career_History!D44,0,MIN(A273,Career_History!E44)-Career_History!D44+1),0),IF(Career_History!G45=TRUE,IF(A273&lt;Career_History!D45,0,MIN(A273,Career_History!E45)-Career_History!D45+1),0),IF(Career_History!G46=TRUE,IF(A273&lt;Career_History!D46,0,MIN(A273,Career_History!E46)-Career_History!D46+1),0))/365.2425</f>
        <v>26.086777962586499</v>
      </c>
      <c r="AS273" s="9">
        <f>SUM(IF(Career_History!I43=TRUE,IF(A273&lt;Career_History!D43,0,MIN(A273,Career_History!E43)-Career_History!D43+1),0),IF(Career_History!I44=TRUE,IF(A273&lt;Career_History!D44,0,MIN(A273,Career_History!E44)-Career_History!D44+1),0),IF(Career_History!I45=TRUE,IF(A273&lt;Career_History!D45,0,MIN(A273,Career_History!E45)-Career_History!D45+1),0),IF(Career_History!I46=TRUE,IF(A273&lt;Career_History!D46,0,MIN(A273,Career_History!E46)-Career_History!D46+1),0))/365.2425</f>
        <v>4.0849572544268531</v>
      </c>
      <c r="AT273" s="9">
        <f>SUM(IF(Career_History!H43=TRUE,IF(A273&lt;Career_History!D43,0,MIN(A273,Career_History!E43)-Career_History!D43+1),0),IF(Career_History!H44=TRUE,IF(A273&lt;Career_History!D44,0,MIN(A273,Career_History!E44)-Career_History!D44+1),0),IF(Career_History!H45=TRUE,IF(A273&lt;Career_History!D45,0,MIN(A273,Career_History!E45)-Career_History!D45+1),0),IF(Career_History!H46=TRUE,IF(A273&lt;Career_History!D46,0,MIN(A273,Career_History!E46)-Career_History!D46+1),0))/365.2425</f>
        <v>20.999746743601854</v>
      </c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9"/>
      <c r="BH273" s="9"/>
      <c r="BI273" s="9"/>
      <c r="BJ273" s="9"/>
      <c r="BK273" s="9"/>
      <c r="BL273" s="9"/>
      <c r="BM273" s="9"/>
      <c r="BN273" s="9"/>
      <c r="BO273" s="9"/>
    </row>
    <row r="274" spans="1:67">
      <c r="A274" s="8">
        <v>42978</v>
      </c>
      <c r="B274" s="9">
        <f t="shared" si="12"/>
        <v>33.770440186999053</v>
      </c>
      <c r="C274" s="9">
        <f t="shared" si="13"/>
        <v>1.9499373703772149</v>
      </c>
      <c r="D274" s="9">
        <f t="shared" si="14"/>
        <v>29.119283763526973</v>
      </c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>
        <f>SUM(IF(Career_History!G25=TRUE,IF(A274&lt;Career_History!D25,0,MIN(A274,Career_History!E25)-Career_History!D25+1),0),IF(Career_History!G26=TRUE,IF(A274&lt;Career_History!D26,0,MIN(A274,Career_History!E26)-Career_History!D26+1),0),IF(Career_History!G27=TRUE,IF(A274&lt;Career_History!D27,0,MIN(A274,Career_History!E27)-Career_History!D27+1),0),IF(Career_History!G28=TRUE,IF(A274&lt;Career_History!D28,0,MIN(A274,Career_History!E28)-Career_History!D28+1),0),IF(Career_History!G29=TRUE,IF(A274&lt;Career_History!D29,0,MIN(A274,Career_History!E29)-Career_History!D29+1),0))/365.2425</f>
        <v>44.170653743745596</v>
      </c>
      <c r="AD274" s="9">
        <f>SUM(IF(Career_History!I25=TRUE,IF(A274&lt;Career_History!D25,0,MIN(A274,Career_History!E25)-Career_History!D25+1),0),IF(Career_History!I26=TRUE,IF(A274&lt;Career_History!D26,0,MIN(A274,Career_History!E26)-Career_History!D26+1),0),IF(Career_History!I27=TRUE,IF(A274&lt;Career_History!D27,0,MIN(A274,Career_History!E27)-Career_History!D27+1),0),IF(Career_History!I28=TRUE,IF(A274&lt;Career_History!D28,0,MIN(A274,Career_History!E28)-Career_History!D28+1),0),IF(Career_History!I29=TRUE,IF(A274&lt;Career_History!D29,0,MIN(A274,Career_History!E29)-Career_History!D29+1),0))/365.2425</f>
        <v>0</v>
      </c>
      <c r="AE274" s="9">
        <f>SUM(IF(Career_History!H25=TRUE,IF(A274&lt;Career_History!D25,0,MIN(A274,Career_History!E25)-Career_History!D25+1),0),IF(Career_History!H26=TRUE,IF(A274&lt;Career_History!D26,0,MIN(A274,Career_History!E26)-Career_History!D26+1),0),IF(Career_History!H27=TRUE,IF(A274&lt;Career_History!D27,0,MIN(A274,Career_History!E27)-Career_History!D27+1),0),IF(Career_History!H28=TRUE,IF(A274&lt;Career_History!D28,0,MIN(A274,Career_History!E28)-Career_History!D28+1),0),IF(Career_History!H29=TRUE,IF(A274&lt;Career_History!D29,0,MIN(A274,Career_History!E29)-Career_History!D29+1),0))/365.2425</f>
        <v>31.66663244282908</v>
      </c>
      <c r="AF274" s="9"/>
      <c r="AG274" s="9"/>
      <c r="AH274" s="9"/>
      <c r="AI274" s="9">
        <f>SUM(IF(Career_History!G33=TRUE,IF(A274&lt;Career_History!D33,0,MIN(A274,Career_History!E33)-Career_History!D33+1),0),IF(Career_History!G34=TRUE,IF(A274&lt;Career_History!D34,0,MIN(A274,Career_History!E34)-Career_History!D34+1),0),IF(Career_History!G35=TRUE,IF(A274&lt;Career_History!D35,0,MIN(A274,Career_History!E35)-Career_History!D35+1),0),IF(Career_History!G36=TRUE,IF(A274&lt;Career_History!D36,0,MIN(A274,Career_History!E36)-Career_History!D36+1),0),IF(Career_History!G37=TRUE,IF(A274&lt;Career_History!D37,0,MIN(A274,Career_History!E37)-Career_History!D37+1),0),IF(Career_History!G38=TRUE,IF(A274&lt;Career_History!D38,0,MIN(A274,Career_History!E38)-Career_History!D38+1),0))/365.2425</f>
        <v>37.169825526875982</v>
      </c>
      <c r="AJ274" s="9">
        <f>SUM(IF(Career_History!I33=TRUE,IF(A274&lt;Career_History!D33,0,MIN(A274,Career_History!E33)-Career_History!D33+1),0),IF(Career_History!I34=TRUE,IF(A274&lt;Career_History!D34,0,MIN(A274,Career_History!E34)-Career_History!D34+1),0),IF(Career_History!I35=TRUE,IF(A274&lt;Career_History!D35,0,MIN(A274,Career_History!E35)-Career_History!D35+1),0),IF(Career_History!I36=TRUE,IF(A274&lt;Career_History!D36,0,MIN(A274,Career_History!E36)-Career_History!D36+1),0),IF(Career_History!I37=TRUE,IF(A274&lt;Career_History!D37,0,MIN(A274,Career_History!E37)-Career_History!D37+1),0),IF(Career_History!I38=TRUE,IF(A274&lt;Career_History!D38,0,MIN(A274,Career_History!E38)-Career_History!D38+1),0))/365.2425</f>
        <v>5.664729597459222</v>
      </c>
      <c r="AK274" s="9">
        <f>SUM(IF(Career_History!H33=TRUE,IF(A274&lt;Career_History!D33,0,MIN(A274,Career_History!E33)-Career_History!D33+1),0),IF(Career_History!H34=TRUE,IF(A274&lt;Career_History!D34,0,MIN(A274,Career_History!E34)-Career_History!D34+1),0),IF(Career_History!H35=TRUE,IF(A274&lt;Career_History!D35,0,MIN(A274,Career_History!E35)-Career_History!D35+1),0),IF(Career_History!H36=TRUE,IF(A274&lt;Career_History!D36,0,MIN(A274,Career_History!E36)-Career_History!D36+1),0),IF(Career_History!H37=TRUE,IF(A274&lt;Career_History!D37,0,MIN(A274,Career_History!E37)-Career_History!D37+1),0),IF(Career_History!H38=TRUE,IF(A274&lt;Career_History!D38,0,MIN(A274,Career_History!E38)-Career_History!D38+1),0))/365.2425</f>
        <v>31.505095929416758</v>
      </c>
      <c r="AL274" s="9">
        <f>SUM(IF(Career_History!G39=TRUE,IF(A274&lt;Career_History!D39,0,MIN(A274,Career_History!E39)-Career_History!D39+1),0),IF(Career_History!G40=TRUE,IF(A274&lt;Career_History!D40,0,MIN(A274,Career_History!E40)-Career_History!D40+1),0))/365.2425</f>
        <v>24.170243057694545</v>
      </c>
      <c r="AM274" s="9">
        <f>SUM(IF(Career_History!I39=TRUE,IF(A274&lt;Career_History!D39,0,MIN(A274,Career_History!E39)-Career_History!D39+1),0),IF(Career_History!I40=TRUE,IF(A274&lt;Career_History!D40,0,MIN(A274,Career_History!E40)-Career_History!D40+1),0))/365.2425</f>
        <v>0</v>
      </c>
      <c r="AN274" s="9">
        <f>SUM(IF(Career_History!H39=TRUE,IF(A274&lt;Career_History!D39,0,MIN(A274,Career_History!E39)-Career_History!D39+1),0),IF(Career_History!H40=TRUE,IF(A274&lt;Career_History!D40,0,MIN(A274,Career_History!E40)-Career_History!D40+1),0))/365.2425</f>
        <v>24.170243057694545</v>
      </c>
      <c r="AO274" s="9">
        <f>SUM(IF(Career_History!G41=TRUE,IF(A274&lt;Career_History!D41,0,MIN(A274,Career_History!E41)-Career_History!D41+1),0),IF(Career_History!G42=TRUE,IF(A274&lt;Career_History!D42,0,MIN(A274,Career_History!E42)-Career_History!D42+1),0))/365.2425</f>
        <v>37.169825526875982</v>
      </c>
      <c r="AP274" s="9">
        <f>SUM(IF(Career_History!I41=TRUE,IF(A274&lt;Career_History!D41,0,MIN(A274,Career_History!E41)-Career_History!D41+1),0),IF(Career_History!I42=TRUE,IF(A274&lt;Career_History!D42,0,MIN(A274,Career_History!E42)-Career_History!D42+1),0))/365.2425</f>
        <v>0</v>
      </c>
      <c r="AQ274" s="9">
        <f>SUM(IF(Career_History!H41=TRUE,IF(A274&lt;Career_History!D41,0,MIN(A274,Career_History!E41)-Career_History!D41+1),0),IF(Career_History!H42=TRUE,IF(A274&lt;Career_History!D42,0,MIN(A274,Career_History!E42)-Career_History!D42+1),0))/365.2425</f>
        <v>37.169825526875982</v>
      </c>
      <c r="AR274" s="9">
        <f>SUM(IF(Career_History!G43=TRUE,IF(A274&lt;Career_History!D43,0,MIN(A274,Career_History!E43)-Career_History!D43+1),0),IF(Career_History!G44=TRUE,IF(A274&lt;Career_History!D44,0,MIN(A274,Career_History!E44)-Career_History!D44+1),0),IF(Career_History!G45=TRUE,IF(A274&lt;Career_History!D45,0,MIN(A274,Career_History!E45)-Career_History!D45+1),0),IF(Career_History!G46=TRUE,IF(A274&lt;Career_History!D46,0,MIN(A274,Career_History!E46)-Career_History!D46+1),0))/365.2425</f>
        <v>26.171653079803143</v>
      </c>
      <c r="AS274" s="9">
        <f>SUM(IF(Career_History!I43=TRUE,IF(A274&lt;Career_History!D43,0,MIN(A274,Career_History!E43)-Career_History!D43+1),0),IF(Career_History!I44=TRUE,IF(A274&lt;Career_History!D44,0,MIN(A274,Career_History!E44)-Career_History!D44+1),0),IF(Career_History!I45=TRUE,IF(A274&lt;Career_History!D45,0,MIN(A274,Career_History!E45)-Career_History!D45+1),0),IF(Career_History!I46=TRUE,IF(A274&lt;Career_History!D46,0,MIN(A274,Career_History!E46)-Career_History!D46+1),0))/365.2425</f>
        <v>4.0849572544268531</v>
      </c>
      <c r="AT274" s="9">
        <f>SUM(IF(Career_History!H43=TRUE,IF(A274&lt;Career_History!D43,0,MIN(A274,Career_History!E43)-Career_History!D43+1),0),IF(Career_History!H44=TRUE,IF(A274&lt;Career_History!D44,0,MIN(A274,Career_History!E44)-Career_History!D44+1),0),IF(Career_History!H45=TRUE,IF(A274&lt;Career_History!D45,0,MIN(A274,Career_History!E45)-Career_History!D45+1),0),IF(Career_History!H46=TRUE,IF(A274&lt;Career_History!D46,0,MIN(A274,Career_History!E46)-Career_History!D46+1),0))/365.2425</f>
        <v>21.084621860818498</v>
      </c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9"/>
      <c r="BH274" s="9"/>
      <c r="BI274" s="9"/>
      <c r="BJ274" s="9"/>
      <c r="BK274" s="9"/>
      <c r="BL274" s="9"/>
      <c r="BM274" s="9"/>
      <c r="BN274" s="9"/>
      <c r="BO274" s="9"/>
    </row>
    <row r="275" spans="1:67">
      <c r="A275" s="8">
        <v>43008</v>
      </c>
      <c r="B275" s="9">
        <f t="shared" si="12"/>
        <v>33.852577397208705</v>
      </c>
      <c r="C275" s="9">
        <f t="shared" si="13"/>
        <v>1.9499373703772149</v>
      </c>
      <c r="D275" s="9">
        <f t="shared" si="14"/>
        <v>29.201420973736628</v>
      </c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>
        <f>SUM(IF(Career_History!G25=TRUE,IF(A275&lt;Career_History!D25,0,MIN(A275,Career_History!E25)-Career_History!D25+1),0),IF(Career_History!G26=TRUE,IF(A275&lt;Career_History!D26,0,MIN(A275,Career_History!E26)-Career_History!D26+1),0),IF(Career_History!G27=TRUE,IF(A275&lt;Career_History!D27,0,MIN(A275,Career_History!E27)-Career_History!D27+1),0),IF(Career_History!G28=TRUE,IF(A275&lt;Career_History!D28,0,MIN(A275,Career_History!E28)-Career_History!D28+1),0),IF(Career_History!G29=TRUE,IF(A275&lt;Career_History!D29,0,MIN(A275,Career_History!E29)-Career_History!D29+1),0))/365.2425</f>
        <v>44.252790953955248</v>
      </c>
      <c r="AD275" s="9">
        <f>SUM(IF(Career_History!I25=TRUE,IF(A275&lt;Career_History!D25,0,MIN(A275,Career_History!E25)-Career_History!D25+1),0),IF(Career_History!I26=TRUE,IF(A275&lt;Career_History!D26,0,MIN(A275,Career_History!E26)-Career_History!D26+1),0),IF(Career_History!I27=TRUE,IF(A275&lt;Career_History!D27,0,MIN(A275,Career_History!E27)-Career_History!D27+1),0),IF(Career_History!I28=TRUE,IF(A275&lt;Career_History!D28,0,MIN(A275,Career_History!E28)-Career_History!D28+1),0),IF(Career_History!I29=TRUE,IF(A275&lt;Career_History!D29,0,MIN(A275,Career_History!E29)-Career_History!D29+1),0))/365.2425</f>
        <v>0</v>
      </c>
      <c r="AE275" s="9">
        <f>SUM(IF(Career_History!H25=TRUE,IF(A275&lt;Career_History!D25,0,MIN(A275,Career_History!E25)-Career_History!D25+1),0),IF(Career_History!H26=TRUE,IF(A275&lt;Career_History!D26,0,MIN(A275,Career_History!E26)-Career_History!D26+1),0),IF(Career_History!H27=TRUE,IF(A275&lt;Career_History!D27,0,MIN(A275,Career_History!E27)-Career_History!D27+1),0),IF(Career_History!H28=TRUE,IF(A275&lt;Career_History!D28,0,MIN(A275,Career_History!E28)-Career_History!D28+1),0),IF(Career_History!H29=TRUE,IF(A275&lt;Career_History!D29,0,MIN(A275,Career_History!E29)-Career_History!D29+1),0))/365.2425</f>
        <v>31.748769653038735</v>
      </c>
      <c r="AF275" s="9"/>
      <c r="AG275" s="9"/>
      <c r="AH275" s="9"/>
      <c r="AI275" s="9">
        <f>SUM(IF(Career_History!G33=TRUE,IF(A275&lt;Career_History!D33,0,MIN(A275,Career_History!E33)-Career_History!D33+1),0),IF(Career_History!G34=TRUE,IF(A275&lt;Career_History!D34,0,MIN(A275,Career_History!E34)-Career_History!D34+1),0),IF(Career_History!G35=TRUE,IF(A275&lt;Career_History!D35,0,MIN(A275,Career_History!E35)-Career_History!D35+1),0),IF(Career_History!G36=TRUE,IF(A275&lt;Career_History!D36,0,MIN(A275,Career_History!E36)-Career_History!D36+1),0),IF(Career_History!G37=TRUE,IF(A275&lt;Career_History!D37,0,MIN(A275,Career_History!E37)-Career_History!D37+1),0),IF(Career_History!G38=TRUE,IF(A275&lt;Career_History!D38,0,MIN(A275,Career_History!E38)-Career_History!D38+1),0))/365.2425</f>
        <v>37.251962737085634</v>
      </c>
      <c r="AJ275" s="9">
        <f>SUM(IF(Career_History!I33=TRUE,IF(A275&lt;Career_History!D33,0,MIN(A275,Career_History!E33)-Career_History!D33+1),0),IF(Career_History!I34=TRUE,IF(A275&lt;Career_History!D34,0,MIN(A275,Career_History!E34)-Career_History!D34+1),0),IF(Career_History!I35=TRUE,IF(A275&lt;Career_History!D35,0,MIN(A275,Career_History!E35)-Career_History!D35+1),0),IF(Career_History!I36=TRUE,IF(A275&lt;Career_History!D36,0,MIN(A275,Career_History!E36)-Career_History!D36+1),0),IF(Career_History!I37=TRUE,IF(A275&lt;Career_History!D37,0,MIN(A275,Career_History!E37)-Career_History!D37+1),0),IF(Career_History!I38=TRUE,IF(A275&lt;Career_History!D38,0,MIN(A275,Career_History!E38)-Career_History!D38+1),0))/365.2425</f>
        <v>5.664729597459222</v>
      </c>
      <c r="AK275" s="9">
        <f>SUM(IF(Career_History!H33=TRUE,IF(A275&lt;Career_History!D33,0,MIN(A275,Career_History!E33)-Career_History!D33+1),0),IF(Career_History!H34=TRUE,IF(A275&lt;Career_History!D34,0,MIN(A275,Career_History!E34)-Career_History!D34+1),0),IF(Career_History!H35=TRUE,IF(A275&lt;Career_History!D35,0,MIN(A275,Career_History!E35)-Career_History!D35+1),0),IF(Career_History!H36=TRUE,IF(A275&lt;Career_History!D36,0,MIN(A275,Career_History!E36)-Career_History!D36+1),0),IF(Career_History!H37=TRUE,IF(A275&lt;Career_History!D37,0,MIN(A275,Career_History!E37)-Career_History!D37+1),0),IF(Career_History!H38=TRUE,IF(A275&lt;Career_History!D38,0,MIN(A275,Career_History!E38)-Career_History!D38+1),0))/365.2425</f>
        <v>31.587233139626413</v>
      </c>
      <c r="AL275" s="9">
        <f>SUM(IF(Career_History!G39=TRUE,IF(A275&lt;Career_History!D39,0,MIN(A275,Career_History!E39)-Career_History!D39+1),0),IF(Career_History!G40=TRUE,IF(A275&lt;Career_History!D40,0,MIN(A275,Career_History!E40)-Career_History!D40+1),0))/365.2425</f>
        <v>24.252380267904201</v>
      </c>
      <c r="AM275" s="9">
        <f>SUM(IF(Career_History!I39=TRUE,IF(A275&lt;Career_History!D39,0,MIN(A275,Career_History!E39)-Career_History!D39+1),0),IF(Career_History!I40=TRUE,IF(A275&lt;Career_History!D40,0,MIN(A275,Career_History!E40)-Career_History!D40+1),0))/365.2425</f>
        <v>0</v>
      </c>
      <c r="AN275" s="9">
        <f>SUM(IF(Career_History!H39=TRUE,IF(A275&lt;Career_History!D39,0,MIN(A275,Career_History!E39)-Career_History!D39+1),0),IF(Career_History!H40=TRUE,IF(A275&lt;Career_History!D40,0,MIN(A275,Career_History!E40)-Career_History!D40+1),0))/365.2425</f>
        <v>24.252380267904201</v>
      </c>
      <c r="AO275" s="9">
        <f>SUM(IF(Career_History!G41=TRUE,IF(A275&lt;Career_History!D41,0,MIN(A275,Career_History!E41)-Career_History!D41+1),0),IF(Career_History!G42=TRUE,IF(A275&lt;Career_History!D42,0,MIN(A275,Career_History!E42)-Career_History!D42+1),0))/365.2425</f>
        <v>37.251962737085634</v>
      </c>
      <c r="AP275" s="9">
        <f>SUM(IF(Career_History!I41=TRUE,IF(A275&lt;Career_History!D41,0,MIN(A275,Career_History!E41)-Career_History!D41+1),0),IF(Career_History!I42=TRUE,IF(A275&lt;Career_History!D42,0,MIN(A275,Career_History!E42)-Career_History!D42+1),0))/365.2425</f>
        <v>0</v>
      </c>
      <c r="AQ275" s="9">
        <f>SUM(IF(Career_History!H41=TRUE,IF(A275&lt;Career_History!D41,0,MIN(A275,Career_History!E41)-Career_History!D41+1),0),IF(Career_History!H42=TRUE,IF(A275&lt;Career_History!D42,0,MIN(A275,Career_History!E42)-Career_History!D42+1),0))/365.2425</f>
        <v>37.251962737085634</v>
      </c>
      <c r="AR275" s="9">
        <f>SUM(IF(Career_History!G43=TRUE,IF(A275&lt;Career_History!D43,0,MIN(A275,Career_History!E43)-Career_History!D43+1),0),IF(Career_History!G44=TRUE,IF(A275&lt;Career_History!D44,0,MIN(A275,Career_History!E44)-Career_History!D44+1),0),IF(Career_History!G45=TRUE,IF(A275&lt;Career_History!D45,0,MIN(A275,Career_History!E45)-Career_History!D45+1),0),IF(Career_History!G46=TRUE,IF(A275&lt;Career_History!D46,0,MIN(A275,Career_History!E46)-Career_History!D46+1),0))/365.2425</f>
        <v>26.253790290012798</v>
      </c>
      <c r="AS275" s="9">
        <f>SUM(IF(Career_History!I43=TRUE,IF(A275&lt;Career_History!D43,0,MIN(A275,Career_History!E43)-Career_History!D43+1),0),IF(Career_History!I44=TRUE,IF(A275&lt;Career_History!D44,0,MIN(A275,Career_History!E44)-Career_History!D44+1),0),IF(Career_History!I45=TRUE,IF(A275&lt;Career_History!D45,0,MIN(A275,Career_History!E45)-Career_History!D45+1),0),IF(Career_History!I46=TRUE,IF(A275&lt;Career_History!D46,0,MIN(A275,Career_History!E46)-Career_History!D46+1),0))/365.2425</f>
        <v>4.0849572544268531</v>
      </c>
      <c r="AT275" s="9">
        <f>SUM(IF(Career_History!H43=TRUE,IF(A275&lt;Career_History!D43,0,MIN(A275,Career_History!E43)-Career_History!D43+1),0),IF(Career_History!H44=TRUE,IF(A275&lt;Career_History!D44,0,MIN(A275,Career_History!E44)-Career_History!D44+1),0),IF(Career_History!H45=TRUE,IF(A275&lt;Career_History!D45,0,MIN(A275,Career_History!E45)-Career_History!D45+1),0),IF(Career_History!H46=TRUE,IF(A275&lt;Career_History!D46,0,MIN(A275,Career_History!E46)-Career_History!D46+1),0))/365.2425</f>
        <v>21.166759071028153</v>
      </c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9"/>
      <c r="BH275" s="9"/>
      <c r="BI275" s="9"/>
      <c r="BJ275" s="9"/>
      <c r="BK275" s="9"/>
      <c r="BL275" s="9"/>
      <c r="BM275" s="9"/>
      <c r="BN275" s="9"/>
      <c r="BO275" s="9"/>
    </row>
    <row r="276" spans="1:67">
      <c r="A276" s="8">
        <v>43039</v>
      </c>
      <c r="B276" s="9">
        <f t="shared" si="12"/>
        <v>33.937452514425345</v>
      </c>
      <c r="C276" s="9">
        <f t="shared" si="13"/>
        <v>1.9499373703772149</v>
      </c>
      <c r="D276" s="9">
        <f t="shared" si="14"/>
        <v>29.286296090953272</v>
      </c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>
        <f>SUM(IF(Career_History!G25=TRUE,IF(A276&lt;Career_History!D25,0,MIN(A276,Career_History!E25)-Career_History!D25+1),0),IF(Career_History!G26=TRUE,IF(A276&lt;Career_History!D26,0,MIN(A276,Career_History!E26)-Career_History!D26+1),0),IF(Career_History!G27=TRUE,IF(A276&lt;Career_History!D27,0,MIN(A276,Career_History!E27)-Career_History!D27+1),0),IF(Career_History!G28=TRUE,IF(A276&lt;Career_History!D28,0,MIN(A276,Career_History!E28)-Career_History!D28+1),0),IF(Career_History!G29=TRUE,IF(A276&lt;Career_History!D29,0,MIN(A276,Career_History!E29)-Career_History!D29+1),0))/365.2425</f>
        <v>44.337666071171888</v>
      </c>
      <c r="AD276" s="9">
        <f>SUM(IF(Career_History!I25=TRUE,IF(A276&lt;Career_History!D25,0,MIN(A276,Career_History!E25)-Career_History!D25+1),0),IF(Career_History!I26=TRUE,IF(A276&lt;Career_History!D26,0,MIN(A276,Career_History!E26)-Career_History!D26+1),0),IF(Career_History!I27=TRUE,IF(A276&lt;Career_History!D27,0,MIN(A276,Career_History!E27)-Career_History!D27+1),0),IF(Career_History!I28=TRUE,IF(A276&lt;Career_History!D28,0,MIN(A276,Career_History!E28)-Career_History!D28+1),0),IF(Career_History!I29=TRUE,IF(A276&lt;Career_History!D29,0,MIN(A276,Career_History!E29)-Career_History!D29+1),0))/365.2425</f>
        <v>0</v>
      </c>
      <c r="AE276" s="9">
        <f>SUM(IF(Career_History!H25=TRUE,IF(A276&lt;Career_History!D25,0,MIN(A276,Career_History!E25)-Career_History!D25+1),0),IF(Career_History!H26=TRUE,IF(A276&lt;Career_History!D26,0,MIN(A276,Career_History!E26)-Career_History!D26+1),0),IF(Career_History!H27=TRUE,IF(A276&lt;Career_History!D27,0,MIN(A276,Career_History!E27)-Career_History!D27+1),0),IF(Career_History!H28=TRUE,IF(A276&lt;Career_History!D28,0,MIN(A276,Career_History!E28)-Career_History!D28+1),0),IF(Career_History!H29=TRUE,IF(A276&lt;Career_History!D29,0,MIN(A276,Career_History!E29)-Career_History!D29+1),0))/365.2425</f>
        <v>31.833644770255379</v>
      </c>
      <c r="AF276" s="9"/>
      <c r="AG276" s="9"/>
      <c r="AH276" s="9"/>
      <c r="AI276" s="9">
        <f>SUM(IF(Career_History!G33=TRUE,IF(A276&lt;Career_History!D33,0,MIN(A276,Career_History!E33)-Career_History!D33+1),0),IF(Career_History!G34=TRUE,IF(A276&lt;Career_History!D34,0,MIN(A276,Career_History!E34)-Career_History!D34+1),0),IF(Career_History!G35=TRUE,IF(A276&lt;Career_History!D35,0,MIN(A276,Career_History!E35)-Career_History!D35+1),0),IF(Career_History!G36=TRUE,IF(A276&lt;Career_History!D36,0,MIN(A276,Career_History!E36)-Career_History!D36+1),0),IF(Career_History!G37=TRUE,IF(A276&lt;Career_History!D37,0,MIN(A276,Career_History!E37)-Career_History!D37+1),0),IF(Career_History!G38=TRUE,IF(A276&lt;Career_History!D38,0,MIN(A276,Career_History!E38)-Career_History!D38+1),0))/365.2425</f>
        <v>37.336837854302281</v>
      </c>
      <c r="AJ276" s="9">
        <f>SUM(IF(Career_History!I33=TRUE,IF(A276&lt;Career_History!D33,0,MIN(A276,Career_History!E33)-Career_History!D33+1),0),IF(Career_History!I34=TRUE,IF(A276&lt;Career_History!D34,0,MIN(A276,Career_History!E34)-Career_History!D34+1),0),IF(Career_History!I35=TRUE,IF(A276&lt;Career_History!D35,0,MIN(A276,Career_History!E35)-Career_History!D35+1),0),IF(Career_History!I36=TRUE,IF(A276&lt;Career_History!D36,0,MIN(A276,Career_History!E36)-Career_History!D36+1),0),IF(Career_History!I37=TRUE,IF(A276&lt;Career_History!D37,0,MIN(A276,Career_History!E37)-Career_History!D37+1),0),IF(Career_History!I38=TRUE,IF(A276&lt;Career_History!D38,0,MIN(A276,Career_History!E38)-Career_History!D38+1),0))/365.2425</f>
        <v>5.664729597459222</v>
      </c>
      <c r="AK276" s="9">
        <f>SUM(IF(Career_History!H33=TRUE,IF(A276&lt;Career_History!D33,0,MIN(A276,Career_History!E33)-Career_History!D33+1),0),IF(Career_History!H34=TRUE,IF(A276&lt;Career_History!D34,0,MIN(A276,Career_History!E34)-Career_History!D34+1),0),IF(Career_History!H35=TRUE,IF(A276&lt;Career_History!D35,0,MIN(A276,Career_History!E35)-Career_History!D35+1),0),IF(Career_History!H36=TRUE,IF(A276&lt;Career_History!D36,0,MIN(A276,Career_History!E36)-Career_History!D36+1),0),IF(Career_History!H37=TRUE,IF(A276&lt;Career_History!D37,0,MIN(A276,Career_History!E37)-Career_History!D37+1),0),IF(Career_History!H38=TRUE,IF(A276&lt;Career_History!D38,0,MIN(A276,Career_History!E38)-Career_History!D38+1),0))/365.2425</f>
        <v>31.672108256843057</v>
      </c>
      <c r="AL276" s="9">
        <f>SUM(IF(Career_History!G39=TRUE,IF(A276&lt;Career_History!D39,0,MIN(A276,Career_History!E39)-Career_History!D39+1),0),IF(Career_History!G40=TRUE,IF(A276&lt;Career_History!D40,0,MIN(A276,Career_History!E40)-Career_History!D40+1),0))/365.2425</f>
        <v>24.337255385120844</v>
      </c>
      <c r="AM276" s="9">
        <f>SUM(IF(Career_History!I39=TRUE,IF(A276&lt;Career_History!D39,0,MIN(A276,Career_History!E39)-Career_History!D39+1),0),IF(Career_History!I40=TRUE,IF(A276&lt;Career_History!D40,0,MIN(A276,Career_History!E40)-Career_History!D40+1),0))/365.2425</f>
        <v>0</v>
      </c>
      <c r="AN276" s="9">
        <f>SUM(IF(Career_History!H39=TRUE,IF(A276&lt;Career_History!D39,0,MIN(A276,Career_History!E39)-Career_History!D39+1),0),IF(Career_History!H40=TRUE,IF(A276&lt;Career_History!D40,0,MIN(A276,Career_History!E40)-Career_History!D40+1),0))/365.2425</f>
        <v>24.337255385120844</v>
      </c>
      <c r="AO276" s="9">
        <f>SUM(IF(Career_History!G41=TRUE,IF(A276&lt;Career_History!D41,0,MIN(A276,Career_History!E41)-Career_History!D41+1),0),IF(Career_History!G42=TRUE,IF(A276&lt;Career_History!D42,0,MIN(A276,Career_History!E42)-Career_History!D42+1),0))/365.2425</f>
        <v>37.336837854302281</v>
      </c>
      <c r="AP276" s="9">
        <f>SUM(IF(Career_History!I41=TRUE,IF(A276&lt;Career_History!D41,0,MIN(A276,Career_History!E41)-Career_History!D41+1),0),IF(Career_History!I42=TRUE,IF(A276&lt;Career_History!D42,0,MIN(A276,Career_History!E42)-Career_History!D42+1),0))/365.2425</f>
        <v>0</v>
      </c>
      <c r="AQ276" s="9">
        <f>SUM(IF(Career_History!H41=TRUE,IF(A276&lt;Career_History!D41,0,MIN(A276,Career_History!E41)-Career_History!D41+1),0),IF(Career_History!H42=TRUE,IF(A276&lt;Career_History!D42,0,MIN(A276,Career_History!E42)-Career_History!D42+1),0))/365.2425</f>
        <v>37.336837854302281</v>
      </c>
      <c r="AR276" s="9">
        <f>SUM(IF(Career_History!G43=TRUE,IF(A276&lt;Career_History!D43,0,MIN(A276,Career_History!E43)-Career_History!D43+1),0),IF(Career_History!G44=TRUE,IF(A276&lt;Career_History!D44,0,MIN(A276,Career_History!E44)-Career_History!D44+1),0),IF(Career_History!G45=TRUE,IF(A276&lt;Career_History!D45,0,MIN(A276,Career_History!E45)-Career_History!D45+1),0),IF(Career_History!G46=TRUE,IF(A276&lt;Career_History!D46,0,MIN(A276,Career_History!E46)-Career_History!D46+1),0))/365.2425</f>
        <v>26.338665407229442</v>
      </c>
      <c r="AS276" s="9">
        <f>SUM(IF(Career_History!I43=TRUE,IF(A276&lt;Career_History!D43,0,MIN(A276,Career_History!E43)-Career_History!D43+1),0),IF(Career_History!I44=TRUE,IF(A276&lt;Career_History!D44,0,MIN(A276,Career_History!E44)-Career_History!D44+1),0),IF(Career_History!I45=TRUE,IF(A276&lt;Career_History!D45,0,MIN(A276,Career_History!E45)-Career_History!D45+1),0),IF(Career_History!I46=TRUE,IF(A276&lt;Career_History!D46,0,MIN(A276,Career_History!E46)-Career_History!D46+1),0))/365.2425</f>
        <v>4.0849572544268531</v>
      </c>
      <c r="AT276" s="9">
        <f>SUM(IF(Career_History!H43=TRUE,IF(A276&lt;Career_History!D43,0,MIN(A276,Career_History!E43)-Career_History!D43+1),0),IF(Career_History!H44=TRUE,IF(A276&lt;Career_History!D44,0,MIN(A276,Career_History!E44)-Career_History!D44+1),0),IF(Career_History!H45=TRUE,IF(A276&lt;Career_History!D45,0,MIN(A276,Career_History!E45)-Career_History!D45+1),0),IF(Career_History!H46=TRUE,IF(A276&lt;Career_History!D46,0,MIN(A276,Career_History!E46)-Career_History!D46+1),0))/365.2425</f>
        <v>21.251634188244797</v>
      </c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9"/>
      <c r="BH276" s="9"/>
      <c r="BI276" s="9"/>
      <c r="BJ276" s="9"/>
      <c r="BK276" s="9"/>
      <c r="BL276" s="9"/>
      <c r="BM276" s="9"/>
      <c r="BN276" s="9"/>
      <c r="BO276" s="9"/>
    </row>
    <row r="277" spans="1:67">
      <c r="A277" s="8">
        <v>43069</v>
      </c>
      <c r="B277" s="9">
        <f t="shared" si="12"/>
        <v>34.019589724634997</v>
      </c>
      <c r="C277" s="9">
        <f t="shared" si="13"/>
        <v>1.9499373703772149</v>
      </c>
      <c r="D277" s="9">
        <f t="shared" si="14"/>
        <v>29.368433301162923</v>
      </c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>
        <f>SUM(IF(Career_History!G25=TRUE,IF(A277&lt;Career_History!D25,0,MIN(A277,Career_History!E25)-Career_History!D25+1),0),IF(Career_History!G26=TRUE,IF(A277&lt;Career_History!D26,0,MIN(A277,Career_History!E26)-Career_History!D26+1),0),IF(Career_History!G27=TRUE,IF(A277&lt;Career_History!D27,0,MIN(A277,Career_History!E27)-Career_History!D27+1),0),IF(Career_History!G28=TRUE,IF(A277&lt;Career_History!D28,0,MIN(A277,Career_History!E28)-Career_History!D28+1),0),IF(Career_History!G29=TRUE,IF(A277&lt;Career_History!D29,0,MIN(A277,Career_History!E29)-Career_History!D29+1),0))/365.2425</f>
        <v>44.419803281381547</v>
      </c>
      <c r="AD277" s="9">
        <f>SUM(IF(Career_History!I25=TRUE,IF(A277&lt;Career_History!D25,0,MIN(A277,Career_History!E25)-Career_History!D25+1),0),IF(Career_History!I26=TRUE,IF(A277&lt;Career_History!D26,0,MIN(A277,Career_History!E26)-Career_History!D26+1),0),IF(Career_History!I27=TRUE,IF(A277&lt;Career_History!D27,0,MIN(A277,Career_History!E27)-Career_History!D27+1),0),IF(Career_History!I28=TRUE,IF(A277&lt;Career_History!D28,0,MIN(A277,Career_History!E28)-Career_History!D28+1),0),IF(Career_History!I29=TRUE,IF(A277&lt;Career_History!D29,0,MIN(A277,Career_History!E29)-Career_History!D29+1),0))/365.2425</f>
        <v>0</v>
      </c>
      <c r="AE277" s="9">
        <f>SUM(IF(Career_History!H25=TRUE,IF(A277&lt;Career_History!D25,0,MIN(A277,Career_History!E25)-Career_History!D25+1),0),IF(Career_History!H26=TRUE,IF(A277&lt;Career_History!D26,0,MIN(A277,Career_History!E26)-Career_History!D26+1),0),IF(Career_History!H27=TRUE,IF(A277&lt;Career_History!D27,0,MIN(A277,Career_History!E27)-Career_History!D27+1),0),IF(Career_History!H28=TRUE,IF(A277&lt;Career_History!D28,0,MIN(A277,Career_History!E28)-Career_History!D28+1),0),IF(Career_History!H29=TRUE,IF(A277&lt;Career_History!D29,0,MIN(A277,Career_History!E29)-Career_History!D29+1),0))/365.2425</f>
        <v>31.915781980465034</v>
      </c>
      <c r="AF277" s="9"/>
      <c r="AG277" s="9"/>
      <c r="AH277" s="9"/>
      <c r="AI277" s="9">
        <f>SUM(IF(Career_History!G33=TRUE,IF(A277&lt;Career_History!D33,0,MIN(A277,Career_History!E33)-Career_History!D33+1),0),IF(Career_History!G34=TRUE,IF(A277&lt;Career_History!D34,0,MIN(A277,Career_History!E34)-Career_History!D34+1),0),IF(Career_History!G35=TRUE,IF(A277&lt;Career_History!D35,0,MIN(A277,Career_History!E35)-Career_History!D35+1),0),IF(Career_History!G36=TRUE,IF(A277&lt;Career_History!D36,0,MIN(A277,Career_History!E36)-Career_History!D36+1),0),IF(Career_History!G37=TRUE,IF(A277&lt;Career_History!D37,0,MIN(A277,Career_History!E37)-Career_History!D37+1),0),IF(Career_History!G38=TRUE,IF(A277&lt;Career_History!D38,0,MIN(A277,Career_History!E38)-Career_History!D38+1),0))/365.2425</f>
        <v>37.418975064511933</v>
      </c>
      <c r="AJ277" s="9">
        <f>SUM(IF(Career_History!I33=TRUE,IF(A277&lt;Career_History!D33,0,MIN(A277,Career_History!E33)-Career_History!D33+1),0),IF(Career_History!I34=TRUE,IF(A277&lt;Career_History!D34,0,MIN(A277,Career_History!E34)-Career_History!D34+1),0),IF(Career_History!I35=TRUE,IF(A277&lt;Career_History!D35,0,MIN(A277,Career_History!E35)-Career_History!D35+1),0),IF(Career_History!I36=TRUE,IF(A277&lt;Career_History!D36,0,MIN(A277,Career_History!E36)-Career_History!D36+1),0),IF(Career_History!I37=TRUE,IF(A277&lt;Career_History!D37,0,MIN(A277,Career_History!E37)-Career_History!D37+1),0),IF(Career_History!I38=TRUE,IF(A277&lt;Career_History!D38,0,MIN(A277,Career_History!E38)-Career_History!D38+1),0))/365.2425</f>
        <v>5.664729597459222</v>
      </c>
      <c r="AK277" s="9">
        <f>SUM(IF(Career_History!H33=TRUE,IF(A277&lt;Career_History!D33,0,MIN(A277,Career_History!E33)-Career_History!D33+1),0),IF(Career_History!H34=TRUE,IF(A277&lt;Career_History!D34,0,MIN(A277,Career_History!E34)-Career_History!D34+1),0),IF(Career_History!H35=TRUE,IF(A277&lt;Career_History!D35,0,MIN(A277,Career_History!E35)-Career_History!D35+1),0),IF(Career_History!H36=TRUE,IF(A277&lt;Career_History!D36,0,MIN(A277,Career_History!E36)-Career_History!D36+1),0),IF(Career_History!H37=TRUE,IF(A277&lt;Career_History!D37,0,MIN(A277,Career_History!E37)-Career_History!D37+1),0),IF(Career_History!H38=TRUE,IF(A277&lt;Career_History!D38,0,MIN(A277,Career_History!E38)-Career_History!D38+1),0))/365.2425</f>
        <v>31.754245467052712</v>
      </c>
      <c r="AL277" s="9">
        <f>SUM(IF(Career_History!G39=TRUE,IF(A277&lt;Career_History!D39,0,MIN(A277,Career_History!E39)-Career_History!D39+1),0),IF(Career_History!G40=TRUE,IF(A277&lt;Career_History!D40,0,MIN(A277,Career_History!E40)-Career_History!D40+1),0))/365.2425</f>
        <v>24.4193925953305</v>
      </c>
      <c r="AM277" s="9">
        <f>SUM(IF(Career_History!I39=TRUE,IF(A277&lt;Career_History!D39,0,MIN(A277,Career_History!E39)-Career_History!D39+1),0),IF(Career_History!I40=TRUE,IF(A277&lt;Career_History!D40,0,MIN(A277,Career_History!E40)-Career_History!D40+1),0))/365.2425</f>
        <v>0</v>
      </c>
      <c r="AN277" s="9">
        <f>SUM(IF(Career_History!H39=TRUE,IF(A277&lt;Career_History!D39,0,MIN(A277,Career_History!E39)-Career_History!D39+1),0),IF(Career_History!H40=TRUE,IF(A277&lt;Career_History!D40,0,MIN(A277,Career_History!E40)-Career_History!D40+1),0))/365.2425</f>
        <v>24.4193925953305</v>
      </c>
      <c r="AO277" s="9">
        <f>SUM(IF(Career_History!G41=TRUE,IF(A277&lt;Career_History!D41,0,MIN(A277,Career_History!E41)-Career_History!D41+1),0),IF(Career_History!G42=TRUE,IF(A277&lt;Career_History!D42,0,MIN(A277,Career_History!E42)-Career_History!D42+1),0))/365.2425</f>
        <v>37.418975064511933</v>
      </c>
      <c r="AP277" s="9">
        <f>SUM(IF(Career_History!I41=TRUE,IF(A277&lt;Career_History!D41,0,MIN(A277,Career_History!E41)-Career_History!D41+1),0),IF(Career_History!I42=TRUE,IF(A277&lt;Career_History!D42,0,MIN(A277,Career_History!E42)-Career_History!D42+1),0))/365.2425</f>
        <v>0</v>
      </c>
      <c r="AQ277" s="9">
        <f>SUM(IF(Career_History!H41=TRUE,IF(A277&lt;Career_History!D41,0,MIN(A277,Career_History!E41)-Career_History!D41+1),0),IF(Career_History!H42=TRUE,IF(A277&lt;Career_History!D42,0,MIN(A277,Career_History!E42)-Career_History!D42+1),0))/365.2425</f>
        <v>37.418975064511933</v>
      </c>
      <c r="AR277" s="9">
        <f>SUM(IF(Career_History!G43=TRUE,IF(A277&lt;Career_History!D43,0,MIN(A277,Career_History!E43)-Career_History!D43+1),0),IF(Career_History!G44=TRUE,IF(A277&lt;Career_History!D44,0,MIN(A277,Career_History!E44)-Career_History!D44+1),0),IF(Career_History!G45=TRUE,IF(A277&lt;Career_History!D45,0,MIN(A277,Career_History!E45)-Career_History!D45+1),0),IF(Career_History!G46=TRUE,IF(A277&lt;Career_History!D46,0,MIN(A277,Career_History!E46)-Career_History!D46+1),0))/365.2425</f>
        <v>26.420802617439097</v>
      </c>
      <c r="AS277" s="9">
        <f>SUM(IF(Career_History!I43=TRUE,IF(A277&lt;Career_History!D43,0,MIN(A277,Career_History!E43)-Career_History!D43+1),0),IF(Career_History!I44=TRUE,IF(A277&lt;Career_History!D44,0,MIN(A277,Career_History!E44)-Career_History!D44+1),0),IF(Career_History!I45=TRUE,IF(A277&lt;Career_History!D45,0,MIN(A277,Career_History!E45)-Career_History!D45+1),0),IF(Career_History!I46=TRUE,IF(A277&lt;Career_History!D46,0,MIN(A277,Career_History!E46)-Career_History!D46+1),0))/365.2425</f>
        <v>4.0849572544268531</v>
      </c>
      <c r="AT277" s="9">
        <f>SUM(IF(Career_History!H43=TRUE,IF(A277&lt;Career_History!D43,0,MIN(A277,Career_History!E43)-Career_History!D43+1),0),IF(Career_History!H44=TRUE,IF(A277&lt;Career_History!D44,0,MIN(A277,Career_History!E44)-Career_History!D44+1),0),IF(Career_History!H45=TRUE,IF(A277&lt;Career_History!D45,0,MIN(A277,Career_History!E45)-Career_History!D45+1),0),IF(Career_History!H46=TRUE,IF(A277&lt;Career_History!D46,0,MIN(A277,Career_History!E46)-Career_History!D46+1),0))/365.2425</f>
        <v>21.333771398454452</v>
      </c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9"/>
      <c r="BH277" s="9"/>
      <c r="BI277" s="9"/>
      <c r="BJ277" s="9"/>
      <c r="BK277" s="9"/>
      <c r="BL277" s="9"/>
      <c r="BM277" s="9"/>
      <c r="BN277" s="9"/>
      <c r="BO277" s="9"/>
    </row>
    <row r="278" spans="1:67">
      <c r="A278" s="8">
        <v>43100</v>
      </c>
      <c r="B278" s="9">
        <f t="shared" si="12"/>
        <v>33.254618506882409</v>
      </c>
      <c r="C278" s="9">
        <f t="shared" si="13"/>
        <v>1.0212393136067133</v>
      </c>
      <c r="D278" s="9">
        <f t="shared" si="14"/>
        <v>28.85685537690712</v>
      </c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>
        <f>SUM(IF(Career_History!G25=TRUE,IF(A278&lt;Career_History!D25,0,MIN(A278,Career_History!E25)-Career_History!D25+1),0),IF(Career_History!G26=TRUE,IF(A278&lt;Career_History!D26,0,MIN(A278,Career_History!E26)-Career_History!D26+1),0),IF(Career_History!G27=TRUE,IF(A278&lt;Career_History!D27,0,MIN(A278,Career_History!E27)-Career_History!D27+1),0),IF(Career_History!G28=TRUE,IF(A278&lt;Career_History!D28,0,MIN(A278,Career_History!E28)-Career_History!D28+1),0),IF(Career_History!G29=TRUE,IF(A278&lt;Career_History!D29,0,MIN(A278,Career_History!E29)-Career_History!D29+1),0))/365.2425</f>
        <v>44.504678398598188</v>
      </c>
      <c r="AD278" s="9">
        <f>SUM(IF(Career_History!I25=TRUE,IF(A278&lt;Career_History!D25,0,MIN(A278,Career_History!E25)-Career_History!D25+1),0),IF(Career_History!I26=TRUE,IF(A278&lt;Career_History!D26,0,MIN(A278,Career_History!E26)-Career_History!D26+1),0),IF(Career_History!I27=TRUE,IF(A278&lt;Career_History!D27,0,MIN(A278,Career_History!E27)-Career_History!D27+1),0),IF(Career_History!I28=TRUE,IF(A278&lt;Career_History!D28,0,MIN(A278,Career_History!E28)-Career_History!D28+1),0),IF(Career_History!I29=TRUE,IF(A278&lt;Career_History!D29,0,MIN(A278,Career_History!E29)-Career_History!D29+1),0))/365.2425</f>
        <v>0</v>
      </c>
      <c r="AE278" s="9">
        <f>SUM(IF(Career_History!H25=TRUE,IF(A278&lt;Career_History!D25,0,MIN(A278,Career_History!E25)-Career_History!D25+1),0),IF(Career_History!H26=TRUE,IF(A278&lt;Career_History!D26,0,MIN(A278,Career_History!E26)-Career_History!D26+1),0),IF(Career_History!H27=TRUE,IF(A278&lt;Career_History!D27,0,MIN(A278,Career_History!E27)-Career_History!D27+1),0),IF(Career_History!H28=TRUE,IF(A278&lt;Career_History!D28,0,MIN(A278,Career_History!E28)-Career_History!D28+1),0),IF(Career_History!H29=TRUE,IF(A278&lt;Career_History!D29,0,MIN(A278,Career_History!E29)-Career_History!D29+1),0))/365.2425</f>
        <v>32.000657097681675</v>
      </c>
      <c r="AF278" s="9"/>
      <c r="AG278" s="9"/>
      <c r="AH278" s="9"/>
      <c r="AI278" s="9"/>
      <c r="AJ278" s="9"/>
      <c r="AK278" s="9"/>
      <c r="AL278" s="9">
        <f>SUM(IF(Career_History!G39=TRUE,IF(A278&lt;Career_History!D39,0,MIN(A278,Career_History!E39)-Career_History!D39+1),0),IF(Career_History!G40=TRUE,IF(A278&lt;Career_History!D40,0,MIN(A278,Career_History!E40)-Career_History!D40+1),0))/365.2425</f>
        <v>24.504267712547144</v>
      </c>
      <c r="AM278" s="9">
        <f>SUM(IF(Career_History!I39=TRUE,IF(A278&lt;Career_History!D39,0,MIN(A278,Career_History!E39)-Career_History!D39+1),0),IF(Career_History!I40=TRUE,IF(A278&lt;Career_History!D40,0,MIN(A278,Career_History!E40)-Career_History!D40+1),0))/365.2425</f>
        <v>0</v>
      </c>
      <c r="AN278" s="9">
        <f>SUM(IF(Career_History!H39=TRUE,IF(A278&lt;Career_History!D39,0,MIN(A278,Career_History!E39)-Career_History!D39+1),0),IF(Career_History!H40=TRUE,IF(A278&lt;Career_History!D40,0,MIN(A278,Career_History!E40)-Career_History!D40+1),0))/365.2425</f>
        <v>24.504267712547144</v>
      </c>
      <c r="AO278" s="9">
        <f>SUM(IF(Career_History!G41=TRUE,IF(A278&lt;Career_History!D41,0,MIN(A278,Career_History!E41)-Career_History!D41+1),0),IF(Career_History!G42=TRUE,IF(A278&lt;Career_History!D42,0,MIN(A278,Career_History!E42)-Career_History!D42+1),0))/365.2425</f>
        <v>37.503850181728573</v>
      </c>
      <c r="AP278" s="9">
        <f>SUM(IF(Career_History!I41=TRUE,IF(A278&lt;Career_History!D41,0,MIN(A278,Career_History!E41)-Career_History!D41+1),0),IF(Career_History!I42=TRUE,IF(A278&lt;Career_History!D42,0,MIN(A278,Career_History!E42)-Career_History!D42+1),0))/365.2425</f>
        <v>0</v>
      </c>
      <c r="AQ278" s="9">
        <f>SUM(IF(Career_History!H41=TRUE,IF(A278&lt;Career_History!D41,0,MIN(A278,Career_History!E41)-Career_History!D41+1),0),IF(Career_History!H42=TRUE,IF(A278&lt;Career_History!D42,0,MIN(A278,Career_History!E42)-Career_History!D42+1),0))/365.2425</f>
        <v>37.503850181728573</v>
      </c>
      <c r="AR278" s="9">
        <f>SUM(IF(Career_History!G43=TRUE,IF(A278&lt;Career_History!D43,0,MIN(A278,Career_History!E43)-Career_History!D43+1),0),IF(Career_History!G44=TRUE,IF(A278&lt;Career_History!D44,0,MIN(A278,Career_History!E44)-Career_History!D44+1),0),IF(Career_History!G45=TRUE,IF(A278&lt;Career_History!D45,0,MIN(A278,Career_History!E45)-Career_History!D45+1),0),IF(Career_History!G46=TRUE,IF(A278&lt;Career_History!D46,0,MIN(A278,Career_History!E46)-Career_History!D46+1),0))/365.2425</f>
        <v>26.505677734655741</v>
      </c>
      <c r="AS278" s="9">
        <f>SUM(IF(Career_History!I43=TRUE,IF(A278&lt;Career_History!D43,0,MIN(A278,Career_History!E43)-Career_History!D43+1),0),IF(Career_History!I44=TRUE,IF(A278&lt;Career_History!D44,0,MIN(A278,Career_History!E44)-Career_History!D44+1),0),IF(Career_History!I45=TRUE,IF(A278&lt;Career_History!D45,0,MIN(A278,Career_History!E45)-Career_History!D45+1),0),IF(Career_History!I46=TRUE,IF(A278&lt;Career_History!D46,0,MIN(A278,Career_History!E46)-Career_History!D46+1),0))/365.2425</f>
        <v>4.0849572544268531</v>
      </c>
      <c r="AT278" s="9">
        <f>SUM(IF(Career_History!H43=TRUE,IF(A278&lt;Career_History!D43,0,MIN(A278,Career_History!E43)-Career_History!D43+1),0),IF(Career_History!H44=TRUE,IF(A278&lt;Career_History!D44,0,MIN(A278,Career_History!E44)-Career_History!D44+1),0),IF(Career_History!H45=TRUE,IF(A278&lt;Career_History!D45,0,MIN(A278,Career_History!E45)-Career_History!D45+1),0),IF(Career_History!H46=TRUE,IF(A278&lt;Career_History!D46,0,MIN(A278,Career_History!E46)-Career_History!D46+1),0))/365.2425</f>
        <v>21.418646515671096</v>
      </c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9"/>
      <c r="BH278" s="9"/>
      <c r="BI278" s="9"/>
      <c r="BJ278" s="9"/>
      <c r="BK278" s="9"/>
      <c r="BL278" s="9"/>
      <c r="BM278" s="9"/>
      <c r="BN278" s="9"/>
      <c r="BO278" s="9"/>
    </row>
    <row r="279" spans="1:67">
      <c r="A279" s="8">
        <v>43131</v>
      </c>
      <c r="B279" s="9">
        <f t="shared" si="12"/>
        <v>32.589307104184208</v>
      </c>
      <c r="C279" s="9">
        <f t="shared" si="13"/>
        <v>4.2169243721636995</v>
      </c>
      <c r="D279" s="9">
        <f t="shared" si="14"/>
        <v>25.671163678925645</v>
      </c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>
        <f>SUM(IF(Career_History!G25=TRUE,IF(A279&lt;Career_History!D25,0,MIN(A279,Career_History!E25)-Career_History!D25+1),0),IF(Career_History!G26=TRUE,IF(A279&lt;Career_History!D26,0,MIN(A279,Career_History!E26)-Career_History!D26+1),0),IF(Career_History!G27=TRUE,IF(A279&lt;Career_History!D27,0,MIN(A279,Career_History!E27)-Career_History!D27+1),0),IF(Career_History!G28=TRUE,IF(A279&lt;Career_History!D28,0,MIN(A279,Career_History!E28)-Career_History!D28+1),0),IF(Career_History!G29=TRUE,IF(A279&lt;Career_History!D29,0,MIN(A279,Career_History!E29)-Career_History!D29+1),0))/365.2425</f>
        <v>44.589553515814835</v>
      </c>
      <c r="AD279" s="9">
        <f>SUM(IF(Career_History!I25=TRUE,IF(A279&lt;Career_History!D25,0,MIN(A279,Career_History!E25)-Career_History!D25+1),0),IF(Career_History!I26=TRUE,IF(A279&lt;Career_History!D26,0,MIN(A279,Career_History!E26)-Career_History!D26+1),0),IF(Career_History!I27=TRUE,IF(A279&lt;Career_History!D27,0,MIN(A279,Career_History!E27)-Career_History!D27+1),0),IF(Career_History!I28=TRUE,IF(A279&lt;Career_History!D28,0,MIN(A279,Career_History!E28)-Career_History!D28+1),0),IF(Career_History!I29=TRUE,IF(A279&lt;Career_History!D29,0,MIN(A279,Career_History!E29)-Career_History!D29+1),0))/365.2425</f>
        <v>0</v>
      </c>
      <c r="AE279" s="9">
        <f>SUM(IF(Career_History!H25=TRUE,IF(A279&lt;Career_History!D25,0,MIN(A279,Career_History!E25)-Career_History!D25+1),0),IF(Career_History!H26=TRUE,IF(A279&lt;Career_History!D26,0,MIN(A279,Career_History!E26)-Career_History!D26+1),0),IF(Career_History!H27=TRUE,IF(A279&lt;Career_History!D27,0,MIN(A279,Career_History!E27)-Career_History!D27+1),0),IF(Career_History!H28=TRUE,IF(A279&lt;Career_History!D28,0,MIN(A279,Career_History!E28)-Career_History!D28+1),0),IF(Career_History!H29=TRUE,IF(A279&lt;Career_History!D29,0,MIN(A279,Career_History!E29)-Career_History!D29+1),0))/365.2425</f>
        <v>32.085532214898322</v>
      </c>
      <c r="AF279" s="9"/>
      <c r="AG279" s="9"/>
      <c r="AH279" s="9"/>
      <c r="AI279" s="9"/>
      <c r="AJ279" s="9"/>
      <c r="AK279" s="9"/>
      <c r="AL279" s="9">
        <f>SUM(IF(Career_History!G39=TRUE,IF(A279&lt;Career_History!D39,0,MIN(A279,Career_History!E39)-Career_History!D39+1),0),IF(Career_History!G40=TRUE,IF(A279&lt;Career_History!D40,0,MIN(A279,Career_History!E40)-Career_History!D40+1),0))/365.2425</f>
        <v>24.589142829763787</v>
      </c>
      <c r="AM279" s="9">
        <f>SUM(IF(Career_History!I39=TRUE,IF(A279&lt;Career_History!D39,0,MIN(A279,Career_History!E39)-Career_History!D39+1),0),IF(Career_History!I40=TRUE,IF(A279&lt;Career_History!D40,0,MIN(A279,Career_History!E40)-Career_History!D40+1),0))/365.2425</f>
        <v>0</v>
      </c>
      <c r="AN279" s="9">
        <f>SUM(IF(Career_History!H39=TRUE,IF(A279&lt;Career_History!D39,0,MIN(A279,Career_History!E39)-Career_History!D39+1),0),IF(Career_History!H40=TRUE,IF(A279&lt;Career_History!D40,0,MIN(A279,Career_History!E40)-Career_History!D40+1),0))/365.2425</f>
        <v>24.589142829763787</v>
      </c>
      <c r="AO279" s="9">
        <f>SUM(IF(Career_History!G41=TRUE,IF(A279&lt;Career_History!D41,0,MIN(A279,Career_History!E41)-Career_History!D41+1),0),IF(Career_History!G42=TRUE,IF(A279&lt;Career_History!D42,0,MIN(A279,Career_History!E42)-Career_History!D42+1),0))/365.2425</f>
        <v>37.588725298945221</v>
      </c>
      <c r="AP279" s="9">
        <f>SUM(IF(Career_History!I41=TRUE,IF(A279&lt;Career_History!D41,0,MIN(A279,Career_History!E41)-Career_History!D41+1),0),IF(Career_History!I42=TRUE,IF(A279&lt;Career_History!D42,0,MIN(A279,Career_History!E42)-Career_History!D42+1),0))/365.2425</f>
        <v>0</v>
      </c>
      <c r="AQ279" s="9">
        <f>SUM(IF(Career_History!H41=TRUE,IF(A279&lt;Career_History!D41,0,MIN(A279,Career_History!E41)-Career_History!D41+1),0),IF(Career_History!H42=TRUE,IF(A279&lt;Career_History!D42,0,MIN(A279,Career_History!E42)-Career_History!D42+1),0))/365.2425</f>
        <v>37.588725298945221</v>
      </c>
      <c r="AR279" s="9">
        <f>SUM(IF(Career_History!G43=TRUE,IF(A279&lt;Career_History!D43,0,MIN(A279,Career_History!E43)-Career_History!D43+1),0),IF(Career_History!G44=TRUE,IF(A279&lt;Career_History!D44,0,MIN(A279,Career_History!E44)-Career_History!D44+1),0),IF(Career_History!G45=TRUE,IF(A279&lt;Career_History!D45,0,MIN(A279,Career_History!E45)-Career_History!D45+1),0),IF(Career_History!G46=TRUE,IF(A279&lt;Career_History!D46,0,MIN(A279,Career_History!E46)-Career_History!D46+1),0))/365.2425</f>
        <v>26.590552851872385</v>
      </c>
      <c r="AS279" s="9">
        <f>SUM(IF(Career_History!I43=TRUE,IF(A279&lt;Career_History!D43,0,MIN(A279,Career_History!E43)-Career_History!D43+1),0),IF(Career_History!I44=TRUE,IF(A279&lt;Career_History!D44,0,MIN(A279,Career_History!E44)-Career_History!D44+1),0),IF(Career_History!I45=TRUE,IF(A279&lt;Career_History!D45,0,MIN(A279,Career_History!E45)-Career_History!D45+1),0),IF(Career_History!I46=TRUE,IF(A279&lt;Career_History!D46,0,MIN(A279,Career_History!E46)-Career_History!D46+1),0))/365.2425</f>
        <v>4.0849572544268531</v>
      </c>
      <c r="AT279" s="9">
        <f>SUM(IF(Career_History!H43=TRUE,IF(A279&lt;Career_History!D43,0,MIN(A279,Career_History!E43)-Career_History!D43+1),0),IF(Career_History!H44=TRUE,IF(A279&lt;Career_History!D44,0,MIN(A279,Career_History!E44)-Career_History!D44+1),0),IF(Career_History!H45=TRUE,IF(A279&lt;Career_History!D45,0,MIN(A279,Career_History!E45)-Career_History!D45+1),0),IF(Career_History!H46=TRUE,IF(A279&lt;Career_History!D46,0,MIN(A279,Career_History!E46)-Career_History!D46+1),0))/365.2425</f>
        <v>21.50352163288774</v>
      </c>
      <c r="AU279" s="9">
        <f>SUM(IF(Career_History!G47=TRUE,IF(A279&lt;Career_History!D47,0,MIN(A279,Career_History!E47)-Career_History!D47+1),0),IF(Career_History!G48=TRUE,IF(A279&lt;Career_History!D48,0,MIN(A279,Career_History!E48)-Career_History!D48+1),0),IF(Career_History!G49=TRUE,IF(A279&lt;Career_History!D49,0,MIN(A279,Career_History!E49)-Career_History!D49+1),0))/365.2425</f>
        <v>29.5885610245248</v>
      </c>
      <c r="AV279" s="9">
        <f>SUM(IF(Career_History!I47=TRUE,IF(A279&lt;Career_History!D47,0,MIN(A279,Career_History!E47)-Career_History!D47+1),0),IF(Career_History!I48=TRUE,IF(A279&lt;Career_History!D48,0,MIN(A279,Career_History!E48)-Career_History!D48+1),0),IF(Career_History!I49=TRUE,IF(A279&lt;Career_History!D49,0,MIN(A279,Career_History!E49)-Career_History!D49+1),0))/365.2425</f>
        <v>16.999664606391644</v>
      </c>
      <c r="AW279" s="9">
        <f>SUM(IF(Career_History!H47=TRUE,IF(A279&lt;Career_History!D47,0,MIN(A279,Career_History!E47)-Career_History!D47+1),0),IF(Career_History!H48=TRUE,IF(A279&lt;Career_History!D48,0,MIN(A279,Career_History!E48)-Career_History!D48+1),0),IF(Career_History!H49=TRUE,IF(A279&lt;Career_History!D49,0,MIN(A279,Career_History!E49)-Career_History!D49+1),0))/365.2425</f>
        <v>12.588896418133158</v>
      </c>
      <c r="AX279" s="9"/>
      <c r="AY279" s="9"/>
      <c r="AZ279" s="9"/>
      <c r="BA279" s="9"/>
      <c r="BB279" s="9"/>
      <c r="BC279" s="9"/>
      <c r="BD279" s="9"/>
      <c r="BE279" s="9"/>
      <c r="BF279" s="9"/>
      <c r="BG279" s="9"/>
      <c r="BH279" s="9"/>
      <c r="BI279" s="9"/>
      <c r="BJ279" s="9"/>
      <c r="BK279" s="9"/>
      <c r="BL279" s="9"/>
      <c r="BM279" s="9"/>
      <c r="BN279" s="9"/>
      <c r="BO279" s="9"/>
    </row>
    <row r="280" spans="1:67">
      <c r="A280" s="8">
        <v>43159</v>
      </c>
      <c r="B280" s="9">
        <f t="shared" si="12"/>
        <v>32.66596850037989</v>
      </c>
      <c r="C280" s="9">
        <f t="shared" si="13"/>
        <v>4.2169243721636995</v>
      </c>
      <c r="D280" s="9">
        <f t="shared" si="14"/>
        <v>25.74782507512132</v>
      </c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>
        <f>SUM(IF(Career_History!G25=TRUE,IF(A280&lt;Career_History!D25,0,MIN(A280,Career_History!E25)-Career_History!D25+1),0),IF(Career_History!G26=TRUE,IF(A280&lt;Career_History!D26,0,MIN(A280,Career_History!E26)-Career_History!D26+1),0),IF(Career_History!G27=TRUE,IF(A280&lt;Career_History!D27,0,MIN(A280,Career_History!E27)-Career_History!D27+1),0),IF(Career_History!G28=TRUE,IF(A280&lt;Career_History!D28,0,MIN(A280,Career_History!E28)-Career_History!D28+1),0),IF(Career_History!G29=TRUE,IF(A280&lt;Career_History!D29,0,MIN(A280,Career_History!E29)-Career_History!D29+1),0))/365.2425</f>
        <v>44.66621491201051</v>
      </c>
      <c r="AD280" s="9">
        <f>SUM(IF(Career_History!I25=TRUE,IF(A280&lt;Career_History!D25,0,MIN(A280,Career_History!E25)-Career_History!D25+1),0),IF(Career_History!I26=TRUE,IF(A280&lt;Career_History!D26,0,MIN(A280,Career_History!E26)-Career_History!D26+1),0),IF(Career_History!I27=TRUE,IF(A280&lt;Career_History!D27,0,MIN(A280,Career_History!E27)-Career_History!D27+1),0),IF(Career_History!I28=TRUE,IF(A280&lt;Career_History!D28,0,MIN(A280,Career_History!E28)-Career_History!D28+1),0),IF(Career_History!I29=TRUE,IF(A280&lt;Career_History!D29,0,MIN(A280,Career_History!E29)-Career_History!D29+1),0))/365.2425</f>
        <v>0</v>
      </c>
      <c r="AE280" s="9">
        <f>SUM(IF(Career_History!H25=TRUE,IF(A280&lt;Career_History!D25,0,MIN(A280,Career_History!E25)-Career_History!D25+1),0),IF(Career_History!H26=TRUE,IF(A280&lt;Career_History!D26,0,MIN(A280,Career_History!E26)-Career_History!D26+1),0),IF(Career_History!H27=TRUE,IF(A280&lt;Career_History!D27,0,MIN(A280,Career_History!E27)-Career_History!D27+1),0),IF(Career_History!H28=TRUE,IF(A280&lt;Career_History!D28,0,MIN(A280,Career_History!E28)-Career_History!D28+1),0),IF(Career_History!H29=TRUE,IF(A280&lt;Career_History!D29,0,MIN(A280,Career_History!E29)-Career_History!D29+1),0))/365.2425</f>
        <v>32.162193611093997</v>
      </c>
      <c r="AF280" s="9"/>
      <c r="AG280" s="9"/>
      <c r="AH280" s="9"/>
      <c r="AI280" s="9"/>
      <c r="AJ280" s="9"/>
      <c r="AK280" s="9"/>
      <c r="AL280" s="9">
        <f>SUM(IF(Career_History!G39=TRUE,IF(A280&lt;Career_History!D39,0,MIN(A280,Career_History!E39)-Career_History!D39+1),0),IF(Career_History!G40=TRUE,IF(A280&lt;Career_History!D40,0,MIN(A280,Career_History!E40)-Career_History!D40+1),0))/365.2425</f>
        <v>24.665804225959466</v>
      </c>
      <c r="AM280" s="9">
        <f>SUM(IF(Career_History!I39=TRUE,IF(A280&lt;Career_History!D39,0,MIN(A280,Career_History!E39)-Career_History!D39+1),0),IF(Career_History!I40=TRUE,IF(A280&lt;Career_History!D40,0,MIN(A280,Career_History!E40)-Career_History!D40+1),0))/365.2425</f>
        <v>0</v>
      </c>
      <c r="AN280" s="9">
        <f>SUM(IF(Career_History!H39=TRUE,IF(A280&lt;Career_History!D39,0,MIN(A280,Career_History!E39)-Career_History!D39+1),0),IF(Career_History!H40=TRUE,IF(A280&lt;Career_History!D40,0,MIN(A280,Career_History!E40)-Career_History!D40+1),0))/365.2425</f>
        <v>24.665804225959466</v>
      </c>
      <c r="AO280" s="9">
        <f>SUM(IF(Career_History!G41=TRUE,IF(A280&lt;Career_History!D41,0,MIN(A280,Career_History!E41)-Career_History!D41+1),0),IF(Career_History!G42=TRUE,IF(A280&lt;Career_History!D42,0,MIN(A280,Career_History!E42)-Career_History!D42+1),0))/365.2425</f>
        <v>37.665386695140896</v>
      </c>
      <c r="AP280" s="9">
        <f>SUM(IF(Career_History!I41=TRUE,IF(A280&lt;Career_History!D41,0,MIN(A280,Career_History!E41)-Career_History!D41+1),0),IF(Career_History!I42=TRUE,IF(A280&lt;Career_History!D42,0,MIN(A280,Career_History!E42)-Career_History!D42+1),0))/365.2425</f>
        <v>0</v>
      </c>
      <c r="AQ280" s="9">
        <f>SUM(IF(Career_History!H41=TRUE,IF(A280&lt;Career_History!D41,0,MIN(A280,Career_History!E41)-Career_History!D41+1),0),IF(Career_History!H42=TRUE,IF(A280&lt;Career_History!D42,0,MIN(A280,Career_History!E42)-Career_History!D42+1),0))/365.2425</f>
        <v>37.665386695140896</v>
      </c>
      <c r="AR280" s="9">
        <f>SUM(IF(Career_History!G43=TRUE,IF(A280&lt;Career_History!D43,0,MIN(A280,Career_History!E43)-Career_History!D43+1),0),IF(Career_History!G44=TRUE,IF(A280&lt;Career_History!D44,0,MIN(A280,Career_History!E44)-Career_History!D44+1),0),IF(Career_History!G45=TRUE,IF(A280&lt;Career_History!D45,0,MIN(A280,Career_History!E45)-Career_History!D45+1),0),IF(Career_History!G46=TRUE,IF(A280&lt;Career_History!D46,0,MIN(A280,Career_History!E46)-Career_History!D46+1),0))/365.2425</f>
        <v>26.667214248068063</v>
      </c>
      <c r="AS280" s="9">
        <f>SUM(IF(Career_History!I43=TRUE,IF(A280&lt;Career_History!D43,0,MIN(A280,Career_History!E43)-Career_History!D43+1),0),IF(Career_History!I44=TRUE,IF(A280&lt;Career_History!D44,0,MIN(A280,Career_History!E44)-Career_History!D44+1),0),IF(Career_History!I45=TRUE,IF(A280&lt;Career_History!D45,0,MIN(A280,Career_History!E45)-Career_History!D45+1),0),IF(Career_History!I46=TRUE,IF(A280&lt;Career_History!D46,0,MIN(A280,Career_History!E46)-Career_History!D46+1),0))/365.2425</f>
        <v>4.0849572544268531</v>
      </c>
      <c r="AT280" s="9">
        <f>SUM(IF(Career_History!H43=TRUE,IF(A280&lt;Career_History!D43,0,MIN(A280,Career_History!E43)-Career_History!D43+1),0),IF(Career_History!H44=TRUE,IF(A280&lt;Career_History!D44,0,MIN(A280,Career_History!E44)-Career_History!D44+1),0),IF(Career_History!H45=TRUE,IF(A280&lt;Career_History!D45,0,MIN(A280,Career_History!E45)-Career_History!D45+1),0),IF(Career_History!H46=TRUE,IF(A280&lt;Career_History!D46,0,MIN(A280,Career_History!E46)-Career_History!D46+1),0))/365.2425</f>
        <v>21.580183029083418</v>
      </c>
      <c r="AU280" s="9">
        <f>SUM(IF(Career_History!G47=TRUE,IF(A280&lt;Career_History!D47,0,MIN(A280,Career_History!E47)-Career_History!D47+1),0),IF(Career_History!G48=TRUE,IF(A280&lt;Career_History!D48,0,MIN(A280,Career_History!E48)-Career_History!D48+1),0),IF(Career_History!G49=TRUE,IF(A280&lt;Career_History!D49,0,MIN(A280,Career_History!E49)-Career_History!D49+1),0))/365.2425</f>
        <v>29.665222420720479</v>
      </c>
      <c r="AV280" s="9">
        <f>SUM(IF(Career_History!I47=TRUE,IF(A280&lt;Career_History!D47,0,MIN(A280,Career_History!E47)-Career_History!D47+1),0),IF(Career_History!I48=TRUE,IF(A280&lt;Career_History!D48,0,MIN(A280,Career_History!E48)-Career_History!D48+1),0),IF(Career_History!I49=TRUE,IF(A280&lt;Career_History!D49,0,MIN(A280,Career_History!E49)-Career_History!D49+1),0))/365.2425</f>
        <v>16.999664606391644</v>
      </c>
      <c r="AW280" s="9">
        <f>SUM(IF(Career_History!H47=TRUE,IF(A280&lt;Career_History!D47,0,MIN(A280,Career_History!E47)-Career_History!D47+1),0),IF(Career_History!H48=TRUE,IF(A280&lt;Career_History!D48,0,MIN(A280,Career_History!E48)-Career_History!D48+1),0),IF(Career_History!H49=TRUE,IF(A280&lt;Career_History!D49,0,MIN(A280,Career_History!E49)-Career_History!D49+1),0))/365.2425</f>
        <v>12.665557814328835</v>
      </c>
      <c r="AX280" s="9"/>
      <c r="AY280" s="9"/>
      <c r="AZ280" s="9"/>
      <c r="BA280" s="9"/>
      <c r="BB280" s="9"/>
      <c r="BC280" s="9"/>
      <c r="BD280" s="9"/>
      <c r="BE280" s="9"/>
      <c r="BF280" s="9"/>
      <c r="BG280" s="9"/>
      <c r="BH280" s="9"/>
      <c r="BI280" s="9"/>
      <c r="BJ280" s="9"/>
      <c r="BK280" s="9"/>
      <c r="BL280" s="9"/>
      <c r="BM280" s="9"/>
      <c r="BN280" s="9"/>
      <c r="BO280" s="9"/>
    </row>
    <row r="281" spans="1:67">
      <c r="A281" s="8">
        <v>43190</v>
      </c>
      <c r="B281" s="9">
        <f t="shared" si="12"/>
        <v>32.750843617596523</v>
      </c>
      <c r="C281" s="9">
        <f t="shared" si="13"/>
        <v>4.2169243721636995</v>
      </c>
      <c r="D281" s="9">
        <f t="shared" si="14"/>
        <v>25.832700192337967</v>
      </c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>
        <f>SUM(IF(Career_History!G25=TRUE,IF(A281&lt;Career_History!D25,0,MIN(A281,Career_History!E25)-Career_History!D25+1),0),IF(Career_History!G26=TRUE,IF(A281&lt;Career_History!D26,0,MIN(A281,Career_History!E26)-Career_History!D26+1),0),IF(Career_History!G27=TRUE,IF(A281&lt;Career_History!D27,0,MIN(A281,Career_History!E27)-Career_History!D27+1),0),IF(Career_History!G28=TRUE,IF(A281&lt;Career_History!D28,0,MIN(A281,Career_History!E28)-Career_History!D28+1),0),IF(Career_History!G29=TRUE,IF(A281&lt;Career_History!D29,0,MIN(A281,Career_History!E29)-Career_History!D29+1),0))/365.2425</f>
        <v>44.751090029227157</v>
      </c>
      <c r="AD281" s="9">
        <f>SUM(IF(Career_History!I25=TRUE,IF(A281&lt;Career_History!D25,0,MIN(A281,Career_History!E25)-Career_History!D25+1),0),IF(Career_History!I26=TRUE,IF(A281&lt;Career_History!D26,0,MIN(A281,Career_History!E26)-Career_History!D26+1),0),IF(Career_History!I27=TRUE,IF(A281&lt;Career_History!D27,0,MIN(A281,Career_History!E27)-Career_History!D27+1),0),IF(Career_History!I28=TRUE,IF(A281&lt;Career_History!D28,0,MIN(A281,Career_History!E28)-Career_History!D28+1),0),IF(Career_History!I29=TRUE,IF(A281&lt;Career_History!D29,0,MIN(A281,Career_History!E29)-Career_History!D29+1),0))/365.2425</f>
        <v>0</v>
      </c>
      <c r="AE281" s="9">
        <f>SUM(IF(Career_History!H25=TRUE,IF(A281&lt;Career_History!D25,0,MIN(A281,Career_History!E25)-Career_History!D25+1),0),IF(Career_History!H26=TRUE,IF(A281&lt;Career_History!D26,0,MIN(A281,Career_History!E26)-Career_History!D26+1),0),IF(Career_History!H27=TRUE,IF(A281&lt;Career_History!D27,0,MIN(A281,Career_History!E27)-Career_History!D27+1),0),IF(Career_History!H28=TRUE,IF(A281&lt;Career_History!D28,0,MIN(A281,Career_History!E28)-Career_History!D28+1),0),IF(Career_History!H29=TRUE,IF(A281&lt;Career_History!D29,0,MIN(A281,Career_History!E29)-Career_History!D29+1),0))/365.2425</f>
        <v>32.247068728310644</v>
      </c>
      <c r="AF281" s="9"/>
      <c r="AG281" s="9"/>
      <c r="AH281" s="9"/>
      <c r="AI281" s="9"/>
      <c r="AJ281" s="9"/>
      <c r="AK281" s="9"/>
      <c r="AL281" s="9">
        <f>SUM(IF(Career_History!G39=TRUE,IF(A281&lt;Career_History!D39,0,MIN(A281,Career_History!E39)-Career_History!D39+1),0),IF(Career_History!G40=TRUE,IF(A281&lt;Career_History!D40,0,MIN(A281,Career_History!E40)-Career_History!D40+1),0))/365.2425</f>
        <v>24.75067934317611</v>
      </c>
      <c r="AM281" s="9">
        <f>SUM(IF(Career_History!I39=TRUE,IF(A281&lt;Career_History!D39,0,MIN(A281,Career_History!E39)-Career_History!D39+1),0),IF(Career_History!I40=TRUE,IF(A281&lt;Career_History!D40,0,MIN(A281,Career_History!E40)-Career_History!D40+1),0))/365.2425</f>
        <v>0</v>
      </c>
      <c r="AN281" s="9">
        <f>SUM(IF(Career_History!H39=TRUE,IF(A281&lt;Career_History!D39,0,MIN(A281,Career_History!E39)-Career_History!D39+1),0),IF(Career_History!H40=TRUE,IF(A281&lt;Career_History!D40,0,MIN(A281,Career_History!E40)-Career_History!D40+1),0))/365.2425</f>
        <v>24.75067934317611</v>
      </c>
      <c r="AO281" s="9">
        <f>SUM(IF(Career_History!G41=TRUE,IF(A281&lt;Career_History!D41,0,MIN(A281,Career_History!E41)-Career_History!D41+1),0),IF(Career_History!G42=TRUE,IF(A281&lt;Career_History!D42,0,MIN(A281,Career_History!E42)-Career_History!D42+1),0))/365.2425</f>
        <v>37.750261812357543</v>
      </c>
      <c r="AP281" s="9">
        <f>SUM(IF(Career_History!I41=TRUE,IF(A281&lt;Career_History!D41,0,MIN(A281,Career_History!E41)-Career_History!D41+1),0),IF(Career_History!I42=TRUE,IF(A281&lt;Career_History!D42,0,MIN(A281,Career_History!E42)-Career_History!D42+1),0))/365.2425</f>
        <v>0</v>
      </c>
      <c r="AQ281" s="9">
        <f>SUM(IF(Career_History!H41=TRUE,IF(A281&lt;Career_History!D41,0,MIN(A281,Career_History!E41)-Career_History!D41+1),0),IF(Career_History!H42=TRUE,IF(A281&lt;Career_History!D42,0,MIN(A281,Career_History!E42)-Career_History!D42+1),0))/365.2425</f>
        <v>37.750261812357543</v>
      </c>
      <c r="AR281" s="9">
        <f>SUM(IF(Career_History!G43=TRUE,IF(A281&lt;Career_History!D43,0,MIN(A281,Career_History!E43)-Career_History!D43+1),0),IF(Career_History!G44=TRUE,IF(A281&lt;Career_History!D44,0,MIN(A281,Career_History!E44)-Career_History!D44+1),0),IF(Career_History!G45=TRUE,IF(A281&lt;Career_History!D45,0,MIN(A281,Career_History!E45)-Career_History!D45+1),0),IF(Career_History!G46=TRUE,IF(A281&lt;Career_History!D46,0,MIN(A281,Career_History!E46)-Career_History!D46+1),0))/365.2425</f>
        <v>26.752089365284707</v>
      </c>
      <c r="AS281" s="9">
        <f>SUM(IF(Career_History!I43=TRUE,IF(A281&lt;Career_History!D43,0,MIN(A281,Career_History!E43)-Career_History!D43+1),0),IF(Career_History!I44=TRUE,IF(A281&lt;Career_History!D44,0,MIN(A281,Career_History!E44)-Career_History!D44+1),0),IF(Career_History!I45=TRUE,IF(A281&lt;Career_History!D45,0,MIN(A281,Career_History!E45)-Career_History!D45+1),0),IF(Career_History!I46=TRUE,IF(A281&lt;Career_History!D46,0,MIN(A281,Career_History!E46)-Career_History!D46+1),0))/365.2425</f>
        <v>4.0849572544268531</v>
      </c>
      <c r="AT281" s="9">
        <f>SUM(IF(Career_History!H43=TRUE,IF(A281&lt;Career_History!D43,0,MIN(A281,Career_History!E43)-Career_History!D43+1),0),IF(Career_History!H44=TRUE,IF(A281&lt;Career_History!D44,0,MIN(A281,Career_History!E44)-Career_History!D44+1),0),IF(Career_History!H45=TRUE,IF(A281&lt;Career_History!D45,0,MIN(A281,Career_History!E45)-Career_History!D45+1),0),IF(Career_History!H46=TRUE,IF(A281&lt;Career_History!D46,0,MIN(A281,Career_History!E46)-Career_History!D46+1),0))/365.2425</f>
        <v>21.665058146300062</v>
      </c>
      <c r="AU281" s="9">
        <f>SUM(IF(Career_History!G47=TRUE,IF(A281&lt;Career_History!D47,0,MIN(A281,Career_History!E47)-Career_History!D47+1),0),IF(Career_History!G48=TRUE,IF(A281&lt;Career_History!D48,0,MIN(A281,Career_History!E48)-Career_History!D48+1),0),IF(Career_History!G49=TRUE,IF(A281&lt;Career_History!D49,0,MIN(A281,Career_History!E49)-Career_History!D49+1),0))/365.2425</f>
        <v>29.750097537937123</v>
      </c>
      <c r="AV281" s="9">
        <f>SUM(IF(Career_History!I47=TRUE,IF(A281&lt;Career_History!D47,0,MIN(A281,Career_History!E47)-Career_History!D47+1),0),IF(Career_History!I48=TRUE,IF(A281&lt;Career_History!D48,0,MIN(A281,Career_History!E48)-Career_History!D48+1),0),IF(Career_History!I49=TRUE,IF(A281&lt;Career_History!D49,0,MIN(A281,Career_History!E49)-Career_History!D49+1),0))/365.2425</f>
        <v>16.999664606391644</v>
      </c>
      <c r="AW281" s="9">
        <f>SUM(IF(Career_History!H47=TRUE,IF(A281&lt;Career_History!D47,0,MIN(A281,Career_History!E47)-Career_History!D47+1),0),IF(Career_History!H48=TRUE,IF(A281&lt;Career_History!D48,0,MIN(A281,Career_History!E48)-Career_History!D48+1),0),IF(Career_History!H49=TRUE,IF(A281&lt;Career_History!D49,0,MIN(A281,Career_History!E49)-Career_History!D49+1),0))/365.2425</f>
        <v>12.750432931545479</v>
      </c>
      <c r="AX281" s="9"/>
      <c r="AY281" s="9"/>
      <c r="AZ281" s="9"/>
      <c r="BA281" s="9"/>
      <c r="BB281" s="9"/>
      <c r="BC281" s="9"/>
      <c r="BD281" s="9"/>
      <c r="BE281" s="9"/>
      <c r="BF281" s="9"/>
      <c r="BG281" s="9"/>
      <c r="BH281" s="9"/>
      <c r="BI281" s="9"/>
      <c r="BJ281" s="9"/>
      <c r="BK281" s="9"/>
      <c r="BL281" s="9"/>
      <c r="BM281" s="9"/>
      <c r="BN281" s="9"/>
      <c r="BO281" s="9"/>
    </row>
    <row r="282" spans="1:67">
      <c r="A282" s="8">
        <v>43220</v>
      </c>
      <c r="B282" s="9">
        <f t="shared" si="12"/>
        <v>32.832980827806189</v>
      </c>
      <c r="C282" s="9">
        <f t="shared" si="13"/>
        <v>4.2169243721636995</v>
      </c>
      <c r="D282" s="9">
        <f t="shared" si="14"/>
        <v>25.914837402547626</v>
      </c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>
        <f>SUM(IF(Career_History!G25=TRUE,IF(A282&lt;Career_History!D25,0,MIN(A282,Career_History!E25)-Career_History!D25+1),0),IF(Career_History!G26=TRUE,IF(A282&lt;Career_History!D26,0,MIN(A282,Career_History!E26)-Career_History!D26+1),0),IF(Career_History!G27=TRUE,IF(A282&lt;Career_History!D27,0,MIN(A282,Career_History!E27)-Career_History!D27+1),0),IF(Career_History!G28=TRUE,IF(A282&lt;Career_History!D28,0,MIN(A282,Career_History!E28)-Career_History!D28+1),0),IF(Career_History!G29=TRUE,IF(A282&lt;Career_History!D29,0,MIN(A282,Career_History!E29)-Career_History!D29+1),0))/365.2425</f>
        <v>44.833227239436809</v>
      </c>
      <c r="AD282" s="9">
        <f>SUM(IF(Career_History!I25=TRUE,IF(A282&lt;Career_History!D25,0,MIN(A282,Career_History!E25)-Career_History!D25+1),0),IF(Career_History!I26=TRUE,IF(A282&lt;Career_History!D26,0,MIN(A282,Career_History!E26)-Career_History!D26+1),0),IF(Career_History!I27=TRUE,IF(A282&lt;Career_History!D27,0,MIN(A282,Career_History!E27)-Career_History!D27+1),0),IF(Career_History!I28=TRUE,IF(A282&lt;Career_History!D28,0,MIN(A282,Career_History!E28)-Career_History!D28+1),0),IF(Career_History!I29=TRUE,IF(A282&lt;Career_History!D29,0,MIN(A282,Career_History!E29)-Career_History!D29+1),0))/365.2425</f>
        <v>0</v>
      </c>
      <c r="AE282" s="9">
        <f>SUM(IF(Career_History!H25=TRUE,IF(A282&lt;Career_History!D25,0,MIN(A282,Career_History!E25)-Career_History!D25+1),0),IF(Career_History!H26=TRUE,IF(A282&lt;Career_History!D26,0,MIN(A282,Career_History!E26)-Career_History!D26+1),0),IF(Career_History!H27=TRUE,IF(A282&lt;Career_History!D27,0,MIN(A282,Career_History!E27)-Career_History!D27+1),0),IF(Career_History!H28=TRUE,IF(A282&lt;Career_History!D28,0,MIN(A282,Career_History!E28)-Career_History!D28+1),0),IF(Career_History!H29=TRUE,IF(A282&lt;Career_History!D29,0,MIN(A282,Career_History!E29)-Career_History!D29+1),0))/365.2425</f>
        <v>32.329205938520296</v>
      </c>
      <c r="AF282" s="9"/>
      <c r="AG282" s="9"/>
      <c r="AH282" s="9"/>
      <c r="AI282" s="9"/>
      <c r="AJ282" s="9"/>
      <c r="AK282" s="9"/>
      <c r="AL282" s="9">
        <f>SUM(IF(Career_History!G39=TRUE,IF(A282&lt;Career_History!D39,0,MIN(A282,Career_History!E39)-Career_History!D39+1),0),IF(Career_History!G40=TRUE,IF(A282&lt;Career_History!D40,0,MIN(A282,Career_History!E40)-Career_History!D40+1),0))/365.2425</f>
        <v>24.832816553385765</v>
      </c>
      <c r="AM282" s="9">
        <f>SUM(IF(Career_History!I39=TRUE,IF(A282&lt;Career_History!D39,0,MIN(A282,Career_History!E39)-Career_History!D39+1),0),IF(Career_History!I40=TRUE,IF(A282&lt;Career_History!D40,0,MIN(A282,Career_History!E40)-Career_History!D40+1),0))/365.2425</f>
        <v>0</v>
      </c>
      <c r="AN282" s="9">
        <f>SUM(IF(Career_History!H39=TRUE,IF(A282&lt;Career_History!D39,0,MIN(A282,Career_History!E39)-Career_History!D39+1),0),IF(Career_History!H40=TRUE,IF(A282&lt;Career_History!D40,0,MIN(A282,Career_History!E40)-Career_History!D40+1),0))/365.2425</f>
        <v>24.832816553385765</v>
      </c>
      <c r="AO282" s="9">
        <f>SUM(IF(Career_History!G41=TRUE,IF(A282&lt;Career_History!D41,0,MIN(A282,Career_History!E41)-Career_History!D41+1),0),IF(Career_History!G42=TRUE,IF(A282&lt;Career_History!D42,0,MIN(A282,Career_History!E42)-Career_History!D42+1),0))/365.2425</f>
        <v>37.832399022567195</v>
      </c>
      <c r="AP282" s="9">
        <f>SUM(IF(Career_History!I41=TRUE,IF(A282&lt;Career_History!D41,0,MIN(A282,Career_History!E41)-Career_History!D41+1),0),IF(Career_History!I42=TRUE,IF(A282&lt;Career_History!D42,0,MIN(A282,Career_History!E42)-Career_History!D42+1),0))/365.2425</f>
        <v>0</v>
      </c>
      <c r="AQ282" s="9">
        <f>SUM(IF(Career_History!H41=TRUE,IF(A282&lt;Career_History!D41,0,MIN(A282,Career_History!E41)-Career_History!D41+1),0),IF(Career_History!H42=TRUE,IF(A282&lt;Career_History!D42,0,MIN(A282,Career_History!E42)-Career_History!D42+1),0))/365.2425</f>
        <v>37.832399022567195</v>
      </c>
      <c r="AR282" s="9">
        <f>SUM(IF(Career_History!G43=TRUE,IF(A282&lt;Career_History!D43,0,MIN(A282,Career_History!E43)-Career_History!D43+1),0),IF(Career_History!G44=TRUE,IF(A282&lt;Career_History!D44,0,MIN(A282,Career_History!E44)-Career_History!D44+1),0),IF(Career_History!G45=TRUE,IF(A282&lt;Career_History!D45,0,MIN(A282,Career_History!E45)-Career_History!D45+1),0),IF(Career_History!G46=TRUE,IF(A282&lt;Career_History!D46,0,MIN(A282,Career_History!E46)-Career_History!D46+1),0))/365.2425</f>
        <v>26.834226575494363</v>
      </c>
      <c r="AS282" s="9">
        <f>SUM(IF(Career_History!I43=TRUE,IF(A282&lt;Career_History!D43,0,MIN(A282,Career_History!E43)-Career_History!D43+1),0),IF(Career_History!I44=TRUE,IF(A282&lt;Career_History!D44,0,MIN(A282,Career_History!E44)-Career_History!D44+1),0),IF(Career_History!I45=TRUE,IF(A282&lt;Career_History!D45,0,MIN(A282,Career_History!E45)-Career_History!D45+1),0),IF(Career_History!I46=TRUE,IF(A282&lt;Career_History!D46,0,MIN(A282,Career_History!E46)-Career_History!D46+1),0))/365.2425</f>
        <v>4.0849572544268531</v>
      </c>
      <c r="AT282" s="9">
        <f>SUM(IF(Career_History!H43=TRUE,IF(A282&lt;Career_History!D43,0,MIN(A282,Career_History!E43)-Career_History!D43+1),0),IF(Career_History!H44=TRUE,IF(A282&lt;Career_History!D44,0,MIN(A282,Career_History!E44)-Career_History!D44+1),0),IF(Career_History!H45=TRUE,IF(A282&lt;Career_History!D45,0,MIN(A282,Career_History!E45)-Career_History!D45+1),0),IF(Career_History!H46=TRUE,IF(A282&lt;Career_History!D46,0,MIN(A282,Career_History!E46)-Career_History!D46+1),0))/365.2425</f>
        <v>21.747195356509717</v>
      </c>
      <c r="AU282" s="9">
        <f>SUM(IF(Career_History!G47=TRUE,IF(A282&lt;Career_History!D47,0,MIN(A282,Career_History!E47)-Career_History!D47+1),0),IF(Career_History!G48=TRUE,IF(A282&lt;Career_History!D48,0,MIN(A282,Career_History!E48)-Career_History!D48+1),0),IF(Career_History!G49=TRUE,IF(A282&lt;Career_History!D49,0,MIN(A282,Career_History!E49)-Career_History!D49+1),0))/365.2425</f>
        <v>29.832234748146778</v>
      </c>
      <c r="AV282" s="9">
        <f>SUM(IF(Career_History!I47=TRUE,IF(A282&lt;Career_History!D47,0,MIN(A282,Career_History!E47)-Career_History!D47+1),0),IF(Career_History!I48=TRUE,IF(A282&lt;Career_History!D48,0,MIN(A282,Career_History!E48)-Career_History!D48+1),0),IF(Career_History!I49=TRUE,IF(A282&lt;Career_History!D49,0,MIN(A282,Career_History!E49)-Career_History!D49+1),0))/365.2425</f>
        <v>16.999664606391644</v>
      </c>
      <c r="AW282" s="9">
        <f>SUM(IF(Career_History!H47=TRUE,IF(A282&lt;Career_History!D47,0,MIN(A282,Career_History!E47)-Career_History!D47+1),0),IF(Career_History!H48=TRUE,IF(A282&lt;Career_History!D48,0,MIN(A282,Career_History!E48)-Career_History!D48+1),0),IF(Career_History!H49=TRUE,IF(A282&lt;Career_History!D49,0,MIN(A282,Career_History!E49)-Career_History!D49+1),0))/365.2425</f>
        <v>12.832570141755134</v>
      </c>
      <c r="AX282" s="9"/>
      <c r="AY282" s="9"/>
      <c r="AZ282" s="9"/>
      <c r="BA282" s="9"/>
      <c r="BB282" s="9"/>
      <c r="BC282" s="9"/>
      <c r="BD282" s="9"/>
      <c r="BE282" s="9"/>
      <c r="BF282" s="9"/>
      <c r="BG282" s="9"/>
      <c r="BH282" s="9"/>
      <c r="BI282" s="9"/>
      <c r="BJ282" s="9"/>
      <c r="BK282" s="9"/>
      <c r="BL282" s="9"/>
      <c r="BM282" s="9"/>
      <c r="BN282" s="9"/>
      <c r="BO282" s="9"/>
    </row>
    <row r="283" spans="1:67">
      <c r="A283" s="8">
        <v>43251</v>
      </c>
      <c r="B283" s="9">
        <f t="shared" si="12"/>
        <v>32.917855945022822</v>
      </c>
      <c r="C283" s="9">
        <f t="shared" si="13"/>
        <v>4.2169243721636995</v>
      </c>
      <c r="D283" s="9">
        <f t="shared" si="14"/>
        <v>25.999712519764266</v>
      </c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>
        <f>SUM(IF(Career_History!G25=TRUE,IF(A283&lt;Career_History!D25,0,MIN(A283,Career_History!E25)-Career_History!D25+1),0),IF(Career_History!G26=TRUE,IF(A283&lt;Career_History!D26,0,MIN(A283,Career_History!E26)-Career_History!D26+1),0),IF(Career_History!G27=TRUE,IF(A283&lt;Career_History!D27,0,MIN(A283,Career_History!E27)-Career_History!D27+1),0),IF(Career_History!G28=TRUE,IF(A283&lt;Career_History!D28,0,MIN(A283,Career_History!E28)-Career_History!D28+1),0),IF(Career_History!G29=TRUE,IF(A283&lt;Career_History!D29,0,MIN(A283,Career_History!E29)-Career_History!D29+1),0))/365.2425</f>
        <v>44.918102356653456</v>
      </c>
      <c r="AD283" s="9">
        <f>SUM(IF(Career_History!I25=TRUE,IF(A283&lt;Career_History!D25,0,MIN(A283,Career_History!E25)-Career_History!D25+1),0),IF(Career_History!I26=TRUE,IF(A283&lt;Career_History!D26,0,MIN(A283,Career_History!E26)-Career_History!D26+1),0),IF(Career_History!I27=TRUE,IF(A283&lt;Career_History!D27,0,MIN(A283,Career_History!E27)-Career_History!D27+1),0),IF(Career_History!I28=TRUE,IF(A283&lt;Career_History!D28,0,MIN(A283,Career_History!E28)-Career_History!D28+1),0),IF(Career_History!I29=TRUE,IF(A283&lt;Career_History!D29,0,MIN(A283,Career_History!E29)-Career_History!D29+1),0))/365.2425</f>
        <v>0</v>
      </c>
      <c r="AE283" s="9">
        <f>SUM(IF(Career_History!H25=TRUE,IF(A283&lt;Career_History!D25,0,MIN(A283,Career_History!E25)-Career_History!D25+1),0),IF(Career_History!H26=TRUE,IF(A283&lt;Career_History!D26,0,MIN(A283,Career_History!E26)-Career_History!D26+1),0),IF(Career_History!H27=TRUE,IF(A283&lt;Career_History!D27,0,MIN(A283,Career_History!E27)-Career_History!D27+1),0),IF(Career_History!H28=TRUE,IF(A283&lt;Career_History!D28,0,MIN(A283,Career_History!E28)-Career_History!D28+1),0),IF(Career_History!H29=TRUE,IF(A283&lt;Career_History!D29,0,MIN(A283,Career_History!E29)-Career_History!D29+1),0))/365.2425</f>
        <v>32.414081055736943</v>
      </c>
      <c r="AF283" s="9"/>
      <c r="AG283" s="9"/>
      <c r="AH283" s="9"/>
      <c r="AI283" s="9"/>
      <c r="AJ283" s="9"/>
      <c r="AK283" s="9"/>
      <c r="AL283" s="9">
        <f>SUM(IF(Career_History!G39=TRUE,IF(A283&lt;Career_History!D39,0,MIN(A283,Career_History!E39)-Career_History!D39+1),0),IF(Career_History!G40=TRUE,IF(A283&lt;Career_History!D40,0,MIN(A283,Career_History!E40)-Career_History!D40+1),0))/365.2425</f>
        <v>24.917691670602409</v>
      </c>
      <c r="AM283" s="9">
        <f>SUM(IF(Career_History!I39=TRUE,IF(A283&lt;Career_History!D39,0,MIN(A283,Career_History!E39)-Career_History!D39+1),0),IF(Career_History!I40=TRUE,IF(A283&lt;Career_History!D40,0,MIN(A283,Career_History!E40)-Career_History!D40+1),0))/365.2425</f>
        <v>0</v>
      </c>
      <c r="AN283" s="9">
        <f>SUM(IF(Career_History!H39=TRUE,IF(A283&lt;Career_History!D39,0,MIN(A283,Career_History!E39)-Career_History!D39+1),0),IF(Career_History!H40=TRUE,IF(A283&lt;Career_History!D40,0,MIN(A283,Career_History!E40)-Career_History!D40+1),0))/365.2425</f>
        <v>24.917691670602409</v>
      </c>
      <c r="AO283" s="9">
        <f>SUM(IF(Career_History!G41=TRUE,IF(A283&lt;Career_History!D41,0,MIN(A283,Career_History!E41)-Career_History!D41+1),0),IF(Career_History!G42=TRUE,IF(A283&lt;Career_History!D42,0,MIN(A283,Career_History!E42)-Career_History!D42+1),0))/365.2425</f>
        <v>37.917274139783842</v>
      </c>
      <c r="AP283" s="9">
        <f>SUM(IF(Career_History!I41=TRUE,IF(A283&lt;Career_History!D41,0,MIN(A283,Career_History!E41)-Career_History!D41+1),0),IF(Career_History!I42=TRUE,IF(A283&lt;Career_History!D42,0,MIN(A283,Career_History!E42)-Career_History!D42+1),0))/365.2425</f>
        <v>0</v>
      </c>
      <c r="AQ283" s="9">
        <f>SUM(IF(Career_History!H41=TRUE,IF(A283&lt;Career_History!D41,0,MIN(A283,Career_History!E41)-Career_History!D41+1),0),IF(Career_History!H42=TRUE,IF(A283&lt;Career_History!D42,0,MIN(A283,Career_History!E42)-Career_History!D42+1),0))/365.2425</f>
        <v>37.917274139783842</v>
      </c>
      <c r="AR283" s="9">
        <f>SUM(IF(Career_History!G43=TRUE,IF(A283&lt;Career_History!D43,0,MIN(A283,Career_History!E43)-Career_History!D43+1),0),IF(Career_History!G44=TRUE,IF(A283&lt;Career_History!D44,0,MIN(A283,Career_History!E44)-Career_History!D44+1),0),IF(Career_History!G45=TRUE,IF(A283&lt;Career_History!D45,0,MIN(A283,Career_History!E45)-Career_History!D45+1),0),IF(Career_History!G46=TRUE,IF(A283&lt;Career_History!D46,0,MIN(A283,Career_History!E46)-Career_History!D46+1),0))/365.2425</f>
        <v>26.919101692711006</v>
      </c>
      <c r="AS283" s="9">
        <f>SUM(IF(Career_History!I43=TRUE,IF(A283&lt;Career_History!D43,0,MIN(A283,Career_History!E43)-Career_History!D43+1),0),IF(Career_History!I44=TRUE,IF(A283&lt;Career_History!D44,0,MIN(A283,Career_History!E44)-Career_History!D44+1),0),IF(Career_History!I45=TRUE,IF(A283&lt;Career_History!D45,0,MIN(A283,Career_History!E45)-Career_History!D45+1),0),IF(Career_History!I46=TRUE,IF(A283&lt;Career_History!D46,0,MIN(A283,Career_History!E46)-Career_History!D46+1),0))/365.2425</f>
        <v>4.0849572544268531</v>
      </c>
      <c r="AT283" s="9">
        <f>SUM(IF(Career_History!H43=TRUE,IF(A283&lt;Career_History!D43,0,MIN(A283,Career_History!E43)-Career_History!D43+1),0),IF(Career_History!H44=TRUE,IF(A283&lt;Career_History!D44,0,MIN(A283,Career_History!E44)-Career_History!D44+1),0),IF(Career_History!H45=TRUE,IF(A283&lt;Career_History!D45,0,MIN(A283,Career_History!E45)-Career_History!D45+1),0),IF(Career_History!H46=TRUE,IF(A283&lt;Career_History!D46,0,MIN(A283,Career_History!E46)-Career_History!D46+1),0))/365.2425</f>
        <v>21.832070473726361</v>
      </c>
      <c r="AU283" s="9">
        <f>SUM(IF(Career_History!G47=TRUE,IF(A283&lt;Career_History!D47,0,MIN(A283,Career_History!E47)-Career_History!D47+1),0),IF(Career_History!G48=TRUE,IF(A283&lt;Career_History!D48,0,MIN(A283,Career_History!E48)-Career_History!D48+1),0),IF(Career_History!G49=TRUE,IF(A283&lt;Career_History!D49,0,MIN(A283,Career_History!E49)-Career_History!D49+1),0))/365.2425</f>
        <v>29.917109865363422</v>
      </c>
      <c r="AV283" s="9">
        <f>SUM(IF(Career_History!I47=TRUE,IF(A283&lt;Career_History!D47,0,MIN(A283,Career_History!E47)-Career_History!D47+1),0),IF(Career_History!I48=TRUE,IF(A283&lt;Career_History!D48,0,MIN(A283,Career_History!E48)-Career_History!D48+1),0),IF(Career_History!I49=TRUE,IF(A283&lt;Career_History!D49,0,MIN(A283,Career_History!E49)-Career_History!D49+1),0))/365.2425</f>
        <v>16.999664606391644</v>
      </c>
      <c r="AW283" s="9">
        <f>SUM(IF(Career_History!H47=TRUE,IF(A283&lt;Career_History!D47,0,MIN(A283,Career_History!E47)-Career_History!D47+1),0),IF(Career_History!H48=TRUE,IF(A283&lt;Career_History!D48,0,MIN(A283,Career_History!E48)-Career_History!D48+1),0),IF(Career_History!H49=TRUE,IF(A283&lt;Career_History!D49,0,MIN(A283,Career_History!E49)-Career_History!D49+1),0))/365.2425</f>
        <v>12.917445258971778</v>
      </c>
      <c r="AX283" s="9"/>
      <c r="AY283" s="9"/>
      <c r="AZ283" s="9"/>
      <c r="BA283" s="9"/>
      <c r="BB283" s="9"/>
      <c r="BC283" s="9"/>
      <c r="BD283" s="9"/>
      <c r="BE283" s="9"/>
      <c r="BF283" s="9"/>
      <c r="BG283" s="9"/>
      <c r="BH283" s="9"/>
      <c r="BI283" s="9"/>
      <c r="BJ283" s="9"/>
      <c r="BK283" s="9"/>
      <c r="BL283" s="9"/>
      <c r="BM283" s="9"/>
      <c r="BN283" s="9"/>
      <c r="BO283" s="9"/>
    </row>
    <row r="284" spans="1:67">
      <c r="A284" s="8">
        <v>43281</v>
      </c>
      <c r="B284" s="9">
        <f t="shared" si="12"/>
        <v>32.999993155232481</v>
      </c>
      <c r="C284" s="9">
        <f t="shared" si="13"/>
        <v>4.2169243721636995</v>
      </c>
      <c r="D284" s="9">
        <f t="shared" si="14"/>
        <v>26.081849729973918</v>
      </c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>
        <f>SUM(IF(Career_History!G25=TRUE,IF(A284&lt;Career_History!D25,0,MIN(A284,Career_History!E25)-Career_History!D25+1),0),IF(Career_History!G26=TRUE,IF(A284&lt;Career_History!D26,0,MIN(A284,Career_History!E26)-Career_History!D26+1),0),IF(Career_History!G27=TRUE,IF(A284&lt;Career_History!D27,0,MIN(A284,Career_History!E27)-Career_History!D27+1),0),IF(Career_History!G28=TRUE,IF(A284&lt;Career_History!D28,0,MIN(A284,Career_History!E28)-Career_History!D28+1),0),IF(Career_History!G29=TRUE,IF(A284&lt;Career_History!D29,0,MIN(A284,Career_History!E29)-Career_History!D29+1),0))/365.2425</f>
        <v>45.000239566863108</v>
      </c>
      <c r="AD284" s="9">
        <f>SUM(IF(Career_History!I25=TRUE,IF(A284&lt;Career_History!D25,0,MIN(A284,Career_History!E25)-Career_History!D25+1),0),IF(Career_History!I26=TRUE,IF(A284&lt;Career_History!D26,0,MIN(A284,Career_History!E26)-Career_History!D26+1),0),IF(Career_History!I27=TRUE,IF(A284&lt;Career_History!D27,0,MIN(A284,Career_History!E27)-Career_History!D27+1),0),IF(Career_History!I28=TRUE,IF(A284&lt;Career_History!D28,0,MIN(A284,Career_History!E28)-Career_History!D28+1),0),IF(Career_History!I29=TRUE,IF(A284&lt;Career_History!D29,0,MIN(A284,Career_History!E29)-Career_History!D29+1),0))/365.2425</f>
        <v>0</v>
      </c>
      <c r="AE284" s="9">
        <f>SUM(IF(Career_History!H25=TRUE,IF(A284&lt;Career_History!D25,0,MIN(A284,Career_History!E25)-Career_History!D25+1),0),IF(Career_History!H26=TRUE,IF(A284&lt;Career_History!D26,0,MIN(A284,Career_History!E26)-Career_History!D26+1),0),IF(Career_History!H27=TRUE,IF(A284&lt;Career_History!D27,0,MIN(A284,Career_History!E27)-Career_History!D27+1),0),IF(Career_History!H28=TRUE,IF(A284&lt;Career_History!D28,0,MIN(A284,Career_History!E28)-Career_History!D28+1),0),IF(Career_History!H29=TRUE,IF(A284&lt;Career_History!D29,0,MIN(A284,Career_History!E29)-Career_History!D29+1),0))/365.2425</f>
        <v>32.496218265946595</v>
      </c>
      <c r="AF284" s="9"/>
      <c r="AG284" s="9"/>
      <c r="AH284" s="9"/>
      <c r="AI284" s="9"/>
      <c r="AJ284" s="9"/>
      <c r="AK284" s="9"/>
      <c r="AL284" s="9">
        <f>SUM(IF(Career_History!G39=TRUE,IF(A284&lt;Career_History!D39,0,MIN(A284,Career_History!E39)-Career_History!D39+1),0),IF(Career_History!G40=TRUE,IF(A284&lt;Career_History!D40,0,MIN(A284,Career_History!E40)-Career_History!D40+1),0))/365.2425</f>
        <v>24.999828880812064</v>
      </c>
      <c r="AM284" s="9">
        <f>SUM(IF(Career_History!I39=TRUE,IF(A284&lt;Career_History!D39,0,MIN(A284,Career_History!E39)-Career_History!D39+1),0),IF(Career_History!I40=TRUE,IF(A284&lt;Career_History!D40,0,MIN(A284,Career_History!E40)-Career_History!D40+1),0))/365.2425</f>
        <v>0</v>
      </c>
      <c r="AN284" s="9">
        <f>SUM(IF(Career_History!H39=TRUE,IF(A284&lt;Career_History!D39,0,MIN(A284,Career_History!E39)-Career_History!D39+1),0),IF(Career_History!H40=TRUE,IF(A284&lt;Career_History!D40,0,MIN(A284,Career_History!E40)-Career_History!D40+1),0))/365.2425</f>
        <v>24.999828880812064</v>
      </c>
      <c r="AO284" s="9">
        <f>SUM(IF(Career_History!G41=TRUE,IF(A284&lt;Career_History!D41,0,MIN(A284,Career_History!E41)-Career_History!D41+1),0),IF(Career_History!G42=TRUE,IF(A284&lt;Career_History!D42,0,MIN(A284,Career_History!E42)-Career_History!D42+1),0))/365.2425</f>
        <v>37.999411349993494</v>
      </c>
      <c r="AP284" s="9">
        <f>SUM(IF(Career_History!I41=TRUE,IF(A284&lt;Career_History!D41,0,MIN(A284,Career_History!E41)-Career_History!D41+1),0),IF(Career_History!I42=TRUE,IF(A284&lt;Career_History!D42,0,MIN(A284,Career_History!E42)-Career_History!D42+1),0))/365.2425</f>
        <v>0</v>
      </c>
      <c r="AQ284" s="9">
        <f>SUM(IF(Career_History!H41=TRUE,IF(A284&lt;Career_History!D41,0,MIN(A284,Career_History!E41)-Career_History!D41+1),0),IF(Career_History!H42=TRUE,IF(A284&lt;Career_History!D42,0,MIN(A284,Career_History!E42)-Career_History!D42+1),0))/365.2425</f>
        <v>37.999411349993494</v>
      </c>
      <c r="AR284" s="9">
        <f>SUM(IF(Career_History!G43=TRUE,IF(A284&lt;Career_History!D43,0,MIN(A284,Career_History!E43)-Career_History!D43+1),0),IF(Career_History!G44=TRUE,IF(A284&lt;Career_History!D44,0,MIN(A284,Career_History!E44)-Career_History!D44+1),0),IF(Career_History!G45=TRUE,IF(A284&lt;Career_History!D45,0,MIN(A284,Career_History!E45)-Career_History!D45+1),0),IF(Career_History!G46=TRUE,IF(A284&lt;Career_History!D46,0,MIN(A284,Career_History!E46)-Career_History!D46+1),0))/365.2425</f>
        <v>27.001238902920662</v>
      </c>
      <c r="AS284" s="9">
        <f>SUM(IF(Career_History!I43=TRUE,IF(A284&lt;Career_History!D43,0,MIN(A284,Career_History!E43)-Career_History!D43+1),0),IF(Career_History!I44=TRUE,IF(A284&lt;Career_History!D44,0,MIN(A284,Career_History!E44)-Career_History!D44+1),0),IF(Career_History!I45=TRUE,IF(A284&lt;Career_History!D45,0,MIN(A284,Career_History!E45)-Career_History!D45+1),0),IF(Career_History!I46=TRUE,IF(A284&lt;Career_History!D46,0,MIN(A284,Career_History!E46)-Career_History!D46+1),0))/365.2425</f>
        <v>4.0849572544268531</v>
      </c>
      <c r="AT284" s="9">
        <f>SUM(IF(Career_History!H43=TRUE,IF(A284&lt;Career_History!D43,0,MIN(A284,Career_History!E43)-Career_History!D43+1),0),IF(Career_History!H44=TRUE,IF(A284&lt;Career_History!D44,0,MIN(A284,Career_History!E44)-Career_History!D44+1),0),IF(Career_History!H45=TRUE,IF(A284&lt;Career_History!D45,0,MIN(A284,Career_History!E45)-Career_History!D45+1),0),IF(Career_History!H46=TRUE,IF(A284&lt;Career_History!D46,0,MIN(A284,Career_History!E46)-Career_History!D46+1),0))/365.2425</f>
        <v>21.914207683936013</v>
      </c>
      <c r="AU284" s="9">
        <f>SUM(IF(Career_History!G47=TRUE,IF(A284&lt;Career_History!D47,0,MIN(A284,Career_History!E47)-Career_History!D47+1),0),IF(Career_History!G48=TRUE,IF(A284&lt;Career_History!D48,0,MIN(A284,Career_History!E48)-Career_History!D48+1),0),IF(Career_History!G49=TRUE,IF(A284&lt;Career_History!D49,0,MIN(A284,Career_History!E49)-Career_History!D49+1),0))/365.2425</f>
        <v>29.999247075573077</v>
      </c>
      <c r="AV284" s="9">
        <f>SUM(IF(Career_History!I47=TRUE,IF(A284&lt;Career_History!D47,0,MIN(A284,Career_History!E47)-Career_History!D47+1),0),IF(Career_History!I48=TRUE,IF(A284&lt;Career_History!D48,0,MIN(A284,Career_History!E48)-Career_History!D48+1),0),IF(Career_History!I49=TRUE,IF(A284&lt;Career_History!D49,0,MIN(A284,Career_History!E49)-Career_History!D49+1),0))/365.2425</f>
        <v>16.999664606391644</v>
      </c>
      <c r="AW284" s="9">
        <f>SUM(IF(Career_History!H47=TRUE,IF(A284&lt;Career_History!D47,0,MIN(A284,Career_History!E47)-Career_History!D47+1),0),IF(Career_History!H48=TRUE,IF(A284&lt;Career_History!D48,0,MIN(A284,Career_History!E48)-Career_History!D48+1),0),IF(Career_History!H49=TRUE,IF(A284&lt;Career_History!D49,0,MIN(A284,Career_History!E49)-Career_History!D49+1),0))/365.2425</f>
        <v>12.999582469181433</v>
      </c>
      <c r="AX284" s="9"/>
      <c r="AY284" s="9"/>
      <c r="AZ284" s="9"/>
      <c r="BA284" s="9"/>
      <c r="BB284" s="9"/>
      <c r="BC284" s="9"/>
      <c r="BD284" s="9"/>
      <c r="BE284" s="9"/>
      <c r="BF284" s="9"/>
      <c r="BG284" s="9"/>
      <c r="BH284" s="9"/>
      <c r="BI284" s="9"/>
      <c r="BJ284" s="9"/>
      <c r="BK284" s="9"/>
      <c r="BL284" s="9"/>
      <c r="BM284" s="9"/>
      <c r="BN284" s="9"/>
      <c r="BO284" s="9"/>
    </row>
    <row r="285" spans="1:67">
      <c r="A285" s="8">
        <v>43312</v>
      </c>
      <c r="B285" s="9">
        <f t="shared" si="12"/>
        <v>33.084868272449128</v>
      </c>
      <c r="C285" s="9">
        <f t="shared" si="13"/>
        <v>4.2169243721636995</v>
      </c>
      <c r="D285" s="9">
        <f t="shared" si="14"/>
        <v>26.166724847190562</v>
      </c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>
        <f>SUM(IF(Career_History!G25=TRUE,IF(A285&lt;Career_History!D25,0,MIN(A285,Career_History!E25)-Career_History!D25+1),0),IF(Career_History!G26=TRUE,IF(A285&lt;Career_History!D26,0,MIN(A285,Career_History!E26)-Career_History!D26+1),0),IF(Career_History!G27=TRUE,IF(A285&lt;Career_History!D27,0,MIN(A285,Career_History!E27)-Career_History!D27+1),0),IF(Career_History!G28=TRUE,IF(A285&lt;Career_History!D28,0,MIN(A285,Career_History!E28)-Career_History!D28+1),0),IF(Career_History!G29=TRUE,IF(A285&lt;Career_History!D29,0,MIN(A285,Career_History!E29)-Career_History!D29+1),0))/365.2425</f>
        <v>45.085114684079755</v>
      </c>
      <c r="AD285" s="9">
        <f>SUM(IF(Career_History!I25=TRUE,IF(A285&lt;Career_History!D25,0,MIN(A285,Career_History!E25)-Career_History!D25+1),0),IF(Career_History!I26=TRUE,IF(A285&lt;Career_History!D26,0,MIN(A285,Career_History!E26)-Career_History!D26+1),0),IF(Career_History!I27=TRUE,IF(A285&lt;Career_History!D27,0,MIN(A285,Career_History!E27)-Career_History!D27+1),0),IF(Career_History!I28=TRUE,IF(A285&lt;Career_History!D28,0,MIN(A285,Career_History!E28)-Career_History!D28+1),0),IF(Career_History!I29=TRUE,IF(A285&lt;Career_History!D29,0,MIN(A285,Career_History!E29)-Career_History!D29+1),0))/365.2425</f>
        <v>0</v>
      </c>
      <c r="AE285" s="9">
        <f>SUM(IF(Career_History!H25=TRUE,IF(A285&lt;Career_History!D25,0,MIN(A285,Career_History!E25)-Career_History!D25+1),0),IF(Career_History!H26=TRUE,IF(A285&lt;Career_History!D26,0,MIN(A285,Career_History!E26)-Career_History!D26+1),0),IF(Career_History!H27=TRUE,IF(A285&lt;Career_History!D27,0,MIN(A285,Career_History!E27)-Career_History!D27+1),0),IF(Career_History!H28=TRUE,IF(A285&lt;Career_History!D28,0,MIN(A285,Career_History!E28)-Career_History!D28+1),0),IF(Career_History!H29=TRUE,IF(A285&lt;Career_History!D29,0,MIN(A285,Career_History!E29)-Career_History!D29+1),0))/365.2425</f>
        <v>32.581093383163243</v>
      </c>
      <c r="AF285" s="9"/>
      <c r="AG285" s="9"/>
      <c r="AH285" s="9"/>
      <c r="AI285" s="9"/>
      <c r="AJ285" s="9"/>
      <c r="AK285" s="9"/>
      <c r="AL285" s="9">
        <f>SUM(IF(Career_History!G39=TRUE,IF(A285&lt;Career_History!D39,0,MIN(A285,Career_History!E39)-Career_History!D39+1),0),IF(Career_History!G40=TRUE,IF(A285&lt;Career_History!D40,0,MIN(A285,Career_History!E40)-Career_History!D40+1),0))/365.2425</f>
        <v>25.084703998028708</v>
      </c>
      <c r="AM285" s="9">
        <f>SUM(IF(Career_History!I39=TRUE,IF(A285&lt;Career_History!D39,0,MIN(A285,Career_History!E39)-Career_History!D39+1),0),IF(Career_History!I40=TRUE,IF(A285&lt;Career_History!D40,0,MIN(A285,Career_History!E40)-Career_History!D40+1),0))/365.2425</f>
        <v>0</v>
      </c>
      <c r="AN285" s="9">
        <f>SUM(IF(Career_History!H39=TRUE,IF(A285&lt;Career_History!D39,0,MIN(A285,Career_History!E39)-Career_History!D39+1),0),IF(Career_History!H40=TRUE,IF(A285&lt;Career_History!D40,0,MIN(A285,Career_History!E40)-Career_History!D40+1),0))/365.2425</f>
        <v>25.084703998028708</v>
      </c>
      <c r="AO285" s="9">
        <f>SUM(IF(Career_History!G41=TRUE,IF(A285&lt;Career_History!D41,0,MIN(A285,Career_History!E41)-Career_History!D41+1),0),IF(Career_History!G42=TRUE,IF(A285&lt;Career_History!D42,0,MIN(A285,Career_History!E42)-Career_History!D42+1),0))/365.2425</f>
        <v>38.084286467210141</v>
      </c>
      <c r="AP285" s="9">
        <f>SUM(IF(Career_History!I41=TRUE,IF(A285&lt;Career_History!D41,0,MIN(A285,Career_History!E41)-Career_History!D41+1),0),IF(Career_History!I42=TRUE,IF(A285&lt;Career_History!D42,0,MIN(A285,Career_History!E42)-Career_History!D42+1),0))/365.2425</f>
        <v>0</v>
      </c>
      <c r="AQ285" s="9">
        <f>SUM(IF(Career_History!H41=TRUE,IF(A285&lt;Career_History!D41,0,MIN(A285,Career_History!E41)-Career_History!D41+1),0),IF(Career_History!H42=TRUE,IF(A285&lt;Career_History!D42,0,MIN(A285,Career_History!E42)-Career_History!D42+1),0))/365.2425</f>
        <v>38.084286467210141</v>
      </c>
      <c r="AR285" s="9">
        <f>SUM(IF(Career_History!G43=TRUE,IF(A285&lt;Career_History!D43,0,MIN(A285,Career_History!E43)-Career_History!D43+1),0),IF(Career_History!G44=TRUE,IF(A285&lt;Career_History!D44,0,MIN(A285,Career_History!E44)-Career_History!D44+1),0),IF(Career_History!G45=TRUE,IF(A285&lt;Career_History!D45,0,MIN(A285,Career_History!E45)-Career_History!D45+1),0),IF(Career_History!G46=TRUE,IF(A285&lt;Career_History!D46,0,MIN(A285,Career_History!E46)-Career_History!D46+1),0))/365.2425</f>
        <v>27.086114020137305</v>
      </c>
      <c r="AS285" s="9">
        <f>SUM(IF(Career_History!I43=TRUE,IF(A285&lt;Career_History!D43,0,MIN(A285,Career_History!E43)-Career_History!D43+1),0),IF(Career_History!I44=TRUE,IF(A285&lt;Career_History!D44,0,MIN(A285,Career_History!E44)-Career_History!D44+1),0),IF(Career_History!I45=TRUE,IF(A285&lt;Career_History!D45,0,MIN(A285,Career_History!E45)-Career_History!D45+1),0),IF(Career_History!I46=TRUE,IF(A285&lt;Career_History!D46,0,MIN(A285,Career_History!E46)-Career_History!D46+1),0))/365.2425</f>
        <v>4.0849572544268531</v>
      </c>
      <c r="AT285" s="9">
        <f>SUM(IF(Career_History!H43=TRUE,IF(A285&lt;Career_History!D43,0,MIN(A285,Career_History!E43)-Career_History!D43+1),0),IF(Career_History!H44=TRUE,IF(A285&lt;Career_History!D44,0,MIN(A285,Career_History!E44)-Career_History!D44+1),0),IF(Career_History!H45=TRUE,IF(A285&lt;Career_History!D45,0,MIN(A285,Career_History!E45)-Career_History!D45+1),0),IF(Career_History!H46=TRUE,IF(A285&lt;Career_History!D46,0,MIN(A285,Career_History!E46)-Career_History!D46+1),0))/365.2425</f>
        <v>21.999082801152657</v>
      </c>
      <c r="AU285" s="9">
        <f>SUM(IF(Career_History!G47=TRUE,IF(A285&lt;Career_History!D47,0,MIN(A285,Career_History!E47)-Career_History!D47+1),0),IF(Career_History!G48=TRUE,IF(A285&lt;Career_History!D48,0,MIN(A285,Career_History!E48)-Career_History!D48+1),0),IF(Career_History!G49=TRUE,IF(A285&lt;Career_History!D49,0,MIN(A285,Career_History!E49)-Career_History!D49+1),0))/365.2425</f>
        <v>30.084122192789721</v>
      </c>
      <c r="AV285" s="9">
        <f>SUM(IF(Career_History!I47=TRUE,IF(A285&lt;Career_History!D47,0,MIN(A285,Career_History!E47)-Career_History!D47+1),0),IF(Career_History!I48=TRUE,IF(A285&lt;Career_History!D48,0,MIN(A285,Career_History!E48)-Career_History!D48+1),0),IF(Career_History!I49=TRUE,IF(A285&lt;Career_History!D49,0,MIN(A285,Career_History!E49)-Career_History!D49+1),0))/365.2425</f>
        <v>16.999664606391644</v>
      </c>
      <c r="AW285" s="9">
        <f>SUM(IF(Career_History!H47=TRUE,IF(A285&lt;Career_History!D47,0,MIN(A285,Career_History!E47)-Career_History!D47+1),0),IF(Career_History!H48=TRUE,IF(A285&lt;Career_History!D48,0,MIN(A285,Career_History!E48)-Career_History!D48+1),0),IF(Career_History!H49=TRUE,IF(A285&lt;Career_History!D49,0,MIN(A285,Career_History!E49)-Career_History!D49+1),0))/365.2425</f>
        <v>13.084457586398077</v>
      </c>
      <c r="AX285" s="9"/>
      <c r="AY285" s="9"/>
      <c r="AZ285" s="9"/>
      <c r="BA285" s="9"/>
      <c r="BB285" s="9"/>
      <c r="BC285" s="9"/>
      <c r="BD285" s="9"/>
      <c r="BE285" s="9"/>
      <c r="BF285" s="9"/>
      <c r="BG285" s="9"/>
      <c r="BH285" s="9"/>
      <c r="BI285" s="9"/>
      <c r="BJ285" s="9"/>
      <c r="BK285" s="9"/>
      <c r="BL285" s="9"/>
      <c r="BM285" s="9"/>
      <c r="BN285" s="9"/>
      <c r="BO285" s="9"/>
    </row>
    <row r="286" spans="1:67">
      <c r="A286" s="8">
        <v>43343</v>
      </c>
      <c r="B286" s="9">
        <f t="shared" si="12"/>
        <v>33.169743389665776</v>
      </c>
      <c r="C286" s="9">
        <f t="shared" si="13"/>
        <v>4.2169243721636995</v>
      </c>
      <c r="D286" s="9">
        <f t="shared" si="14"/>
        <v>26.251599964407205</v>
      </c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>
        <f>SUM(IF(Career_History!G25=TRUE,IF(A286&lt;Career_History!D25,0,MIN(A286,Career_History!E25)-Career_History!D25+1),0),IF(Career_History!G26=TRUE,IF(A286&lt;Career_History!D26,0,MIN(A286,Career_History!E26)-Career_History!D26+1),0),IF(Career_History!G27=TRUE,IF(A286&lt;Career_History!D27,0,MIN(A286,Career_History!E27)-Career_History!D27+1),0),IF(Career_History!G28=TRUE,IF(A286&lt;Career_History!D28,0,MIN(A286,Career_History!E28)-Career_History!D28+1),0),IF(Career_History!G29=TRUE,IF(A286&lt;Career_History!D29,0,MIN(A286,Career_History!E29)-Career_History!D29+1),0))/365.2425</f>
        <v>45.169989801296396</v>
      </c>
      <c r="AD286" s="9">
        <f>SUM(IF(Career_History!I25=TRUE,IF(A286&lt;Career_History!D25,0,MIN(A286,Career_History!E25)-Career_History!D25+1),0),IF(Career_History!I26=TRUE,IF(A286&lt;Career_History!D26,0,MIN(A286,Career_History!E26)-Career_History!D26+1),0),IF(Career_History!I27=TRUE,IF(A286&lt;Career_History!D27,0,MIN(A286,Career_History!E27)-Career_History!D27+1),0),IF(Career_History!I28=TRUE,IF(A286&lt;Career_History!D28,0,MIN(A286,Career_History!E28)-Career_History!D28+1),0),IF(Career_History!I29=TRUE,IF(A286&lt;Career_History!D29,0,MIN(A286,Career_History!E29)-Career_History!D29+1),0))/365.2425</f>
        <v>0</v>
      </c>
      <c r="AE286" s="9">
        <f>SUM(IF(Career_History!H25=TRUE,IF(A286&lt;Career_History!D25,0,MIN(A286,Career_History!E25)-Career_History!D25+1),0),IF(Career_History!H26=TRUE,IF(A286&lt;Career_History!D26,0,MIN(A286,Career_History!E26)-Career_History!D26+1),0),IF(Career_History!H27=TRUE,IF(A286&lt;Career_History!D27,0,MIN(A286,Career_History!E27)-Career_History!D27+1),0),IF(Career_History!H28=TRUE,IF(A286&lt;Career_History!D28,0,MIN(A286,Career_History!E28)-Career_History!D28+1),0),IF(Career_History!H29=TRUE,IF(A286&lt;Career_History!D29,0,MIN(A286,Career_History!E29)-Career_History!D29+1),0))/365.2425</f>
        <v>32.665968500379883</v>
      </c>
      <c r="AF286" s="9"/>
      <c r="AG286" s="9"/>
      <c r="AH286" s="9"/>
      <c r="AI286" s="9"/>
      <c r="AJ286" s="9"/>
      <c r="AK286" s="9"/>
      <c r="AL286" s="9">
        <f>SUM(IF(Career_History!G39=TRUE,IF(A286&lt;Career_History!D39,0,MIN(A286,Career_History!E39)-Career_History!D39+1),0),IF(Career_History!G40=TRUE,IF(A286&lt;Career_History!D40,0,MIN(A286,Career_History!E40)-Career_History!D40+1),0))/365.2425</f>
        <v>25.169579115245352</v>
      </c>
      <c r="AM286" s="9">
        <f>SUM(IF(Career_History!I39=TRUE,IF(A286&lt;Career_History!D39,0,MIN(A286,Career_History!E39)-Career_History!D39+1),0),IF(Career_History!I40=TRUE,IF(A286&lt;Career_History!D40,0,MIN(A286,Career_History!E40)-Career_History!D40+1),0))/365.2425</f>
        <v>0</v>
      </c>
      <c r="AN286" s="9">
        <f>SUM(IF(Career_History!H39=TRUE,IF(A286&lt;Career_History!D39,0,MIN(A286,Career_History!E39)-Career_History!D39+1),0),IF(Career_History!H40=TRUE,IF(A286&lt;Career_History!D40,0,MIN(A286,Career_History!E40)-Career_History!D40+1),0))/365.2425</f>
        <v>25.169579115245352</v>
      </c>
      <c r="AO286" s="9">
        <f>SUM(IF(Career_History!G41=TRUE,IF(A286&lt;Career_History!D41,0,MIN(A286,Career_History!E41)-Career_History!D41+1),0),IF(Career_History!G42=TRUE,IF(A286&lt;Career_History!D42,0,MIN(A286,Career_History!E42)-Career_History!D42+1),0))/365.2425</f>
        <v>38.169161584426782</v>
      </c>
      <c r="AP286" s="9">
        <f>SUM(IF(Career_History!I41=TRUE,IF(A286&lt;Career_History!D41,0,MIN(A286,Career_History!E41)-Career_History!D41+1),0),IF(Career_History!I42=TRUE,IF(A286&lt;Career_History!D42,0,MIN(A286,Career_History!E42)-Career_History!D42+1),0))/365.2425</f>
        <v>0</v>
      </c>
      <c r="AQ286" s="9">
        <f>SUM(IF(Career_History!H41=TRUE,IF(A286&lt;Career_History!D41,0,MIN(A286,Career_History!E41)-Career_History!D41+1),0),IF(Career_History!H42=TRUE,IF(A286&lt;Career_History!D42,0,MIN(A286,Career_History!E42)-Career_History!D42+1),0))/365.2425</f>
        <v>38.169161584426782</v>
      </c>
      <c r="AR286" s="9">
        <f>SUM(IF(Career_History!G43=TRUE,IF(A286&lt;Career_History!D43,0,MIN(A286,Career_History!E43)-Career_History!D43+1),0),IF(Career_History!G44=TRUE,IF(A286&lt;Career_History!D44,0,MIN(A286,Career_History!E44)-Career_History!D44+1),0),IF(Career_History!G45=TRUE,IF(A286&lt;Career_History!D45,0,MIN(A286,Career_History!E45)-Career_History!D45+1),0),IF(Career_History!G46=TRUE,IF(A286&lt;Career_History!D46,0,MIN(A286,Career_History!E46)-Career_History!D46+1),0))/365.2425</f>
        <v>27.170989137353949</v>
      </c>
      <c r="AS286" s="9">
        <f>SUM(IF(Career_History!I43=TRUE,IF(A286&lt;Career_History!D43,0,MIN(A286,Career_History!E43)-Career_History!D43+1),0),IF(Career_History!I44=TRUE,IF(A286&lt;Career_History!D44,0,MIN(A286,Career_History!E44)-Career_History!D44+1),0),IF(Career_History!I45=TRUE,IF(A286&lt;Career_History!D45,0,MIN(A286,Career_History!E45)-Career_History!D45+1),0),IF(Career_History!I46=TRUE,IF(A286&lt;Career_History!D46,0,MIN(A286,Career_History!E46)-Career_History!D46+1),0))/365.2425</f>
        <v>4.0849572544268531</v>
      </c>
      <c r="AT286" s="9">
        <f>SUM(IF(Career_History!H43=TRUE,IF(A286&lt;Career_History!D43,0,MIN(A286,Career_History!E43)-Career_History!D43+1),0),IF(Career_History!H44=TRUE,IF(A286&lt;Career_History!D44,0,MIN(A286,Career_History!E44)-Career_History!D44+1),0),IF(Career_History!H45=TRUE,IF(A286&lt;Career_History!D45,0,MIN(A286,Career_History!E45)-Career_History!D45+1),0),IF(Career_History!H46=TRUE,IF(A286&lt;Career_History!D46,0,MIN(A286,Career_History!E46)-Career_History!D46+1),0))/365.2425</f>
        <v>22.0839579183693</v>
      </c>
      <c r="AU286" s="9">
        <f>SUM(IF(Career_History!G47=TRUE,IF(A286&lt;Career_History!D47,0,MIN(A286,Career_History!E47)-Career_History!D47+1),0),IF(Career_History!G48=TRUE,IF(A286&lt;Career_History!D48,0,MIN(A286,Career_History!E48)-Career_History!D48+1),0),IF(Career_History!G49=TRUE,IF(A286&lt;Career_History!D49,0,MIN(A286,Career_History!E49)-Career_History!D49+1),0))/365.2425</f>
        <v>30.168997310006365</v>
      </c>
      <c r="AV286" s="9">
        <f>SUM(IF(Career_History!I47=TRUE,IF(A286&lt;Career_History!D47,0,MIN(A286,Career_History!E47)-Career_History!D47+1),0),IF(Career_History!I48=TRUE,IF(A286&lt;Career_History!D48,0,MIN(A286,Career_History!E48)-Career_History!D48+1),0),IF(Career_History!I49=TRUE,IF(A286&lt;Career_History!D49,0,MIN(A286,Career_History!E49)-Career_History!D49+1),0))/365.2425</f>
        <v>16.999664606391644</v>
      </c>
      <c r="AW286" s="9">
        <f>SUM(IF(Career_History!H47=TRUE,IF(A286&lt;Career_History!D47,0,MIN(A286,Career_History!E47)-Career_History!D47+1),0),IF(Career_History!H48=TRUE,IF(A286&lt;Career_History!D48,0,MIN(A286,Career_History!E48)-Career_History!D48+1),0),IF(Career_History!H49=TRUE,IF(A286&lt;Career_History!D49,0,MIN(A286,Career_History!E49)-Career_History!D49+1),0))/365.2425</f>
        <v>13.169332703614721</v>
      </c>
      <c r="AX286" s="9"/>
      <c r="AY286" s="9"/>
      <c r="AZ286" s="9"/>
      <c r="BA286" s="9"/>
      <c r="BB286" s="9"/>
      <c r="BC286" s="9"/>
      <c r="BD286" s="9"/>
      <c r="BE286" s="9"/>
      <c r="BF286" s="9"/>
      <c r="BG286" s="9"/>
      <c r="BH286" s="9"/>
      <c r="BI286" s="9"/>
      <c r="BJ286" s="9"/>
      <c r="BK286" s="9"/>
      <c r="BL286" s="9"/>
      <c r="BM286" s="9"/>
      <c r="BN286" s="9"/>
      <c r="BO286" s="9"/>
    </row>
    <row r="287" spans="1:67">
      <c r="A287" s="8">
        <v>43373</v>
      </c>
      <c r="B287" s="9">
        <f t="shared" si="12"/>
        <v>33.251880599875427</v>
      </c>
      <c r="C287" s="9">
        <f t="shared" si="13"/>
        <v>4.2169243721636995</v>
      </c>
      <c r="D287" s="9">
        <f t="shared" si="14"/>
        <v>26.333737174616864</v>
      </c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>
        <f>SUM(IF(Career_History!G25=TRUE,IF(A287&lt;Career_History!D25,0,MIN(A287,Career_History!E25)-Career_History!D25+1),0),IF(Career_History!G26=TRUE,IF(A287&lt;Career_History!D26,0,MIN(A287,Career_History!E26)-Career_History!D26+1),0),IF(Career_History!G27=TRUE,IF(A287&lt;Career_History!D27,0,MIN(A287,Career_History!E27)-Career_History!D27+1),0),IF(Career_History!G28=TRUE,IF(A287&lt;Career_History!D28,0,MIN(A287,Career_History!E28)-Career_History!D28+1),0),IF(Career_History!G29=TRUE,IF(A287&lt;Career_History!D29,0,MIN(A287,Career_History!E29)-Career_History!D29+1),0))/365.2425</f>
        <v>45.252127011506055</v>
      </c>
      <c r="AD287" s="9">
        <f>SUM(IF(Career_History!I25=TRUE,IF(A287&lt;Career_History!D25,0,MIN(A287,Career_History!E25)-Career_History!D25+1),0),IF(Career_History!I26=TRUE,IF(A287&lt;Career_History!D26,0,MIN(A287,Career_History!E26)-Career_History!D26+1),0),IF(Career_History!I27=TRUE,IF(A287&lt;Career_History!D27,0,MIN(A287,Career_History!E27)-Career_History!D27+1),0),IF(Career_History!I28=TRUE,IF(A287&lt;Career_History!D28,0,MIN(A287,Career_History!E28)-Career_History!D28+1),0),IF(Career_History!I29=TRUE,IF(A287&lt;Career_History!D29,0,MIN(A287,Career_History!E29)-Career_History!D29+1),0))/365.2425</f>
        <v>0</v>
      </c>
      <c r="AE287" s="9">
        <f>SUM(IF(Career_History!H25=TRUE,IF(A287&lt;Career_History!D25,0,MIN(A287,Career_History!E25)-Career_History!D25+1),0),IF(Career_History!H26=TRUE,IF(A287&lt;Career_History!D26,0,MIN(A287,Career_History!E26)-Career_History!D26+1),0),IF(Career_History!H27=TRUE,IF(A287&lt;Career_History!D27,0,MIN(A287,Career_History!E27)-Career_History!D27+1),0),IF(Career_History!H28=TRUE,IF(A287&lt;Career_History!D28,0,MIN(A287,Career_History!E28)-Career_History!D28+1),0),IF(Career_History!H29=TRUE,IF(A287&lt;Career_History!D29,0,MIN(A287,Career_History!E29)-Career_History!D29+1),0))/365.2425</f>
        <v>32.748105710589542</v>
      </c>
      <c r="AF287" s="9"/>
      <c r="AG287" s="9"/>
      <c r="AH287" s="9"/>
      <c r="AI287" s="9"/>
      <c r="AJ287" s="9"/>
      <c r="AK287" s="9"/>
      <c r="AL287" s="9">
        <f>SUM(IF(Career_History!G39=TRUE,IF(A287&lt;Career_History!D39,0,MIN(A287,Career_History!E39)-Career_History!D39+1),0),IF(Career_History!G40=TRUE,IF(A287&lt;Career_History!D40,0,MIN(A287,Career_History!E40)-Career_History!D40+1),0))/365.2425</f>
        <v>25.251716325455007</v>
      </c>
      <c r="AM287" s="9">
        <f>SUM(IF(Career_History!I39=TRUE,IF(A287&lt;Career_History!D39,0,MIN(A287,Career_History!E39)-Career_History!D39+1),0),IF(Career_History!I40=TRUE,IF(A287&lt;Career_History!D40,0,MIN(A287,Career_History!E40)-Career_History!D40+1),0))/365.2425</f>
        <v>0</v>
      </c>
      <c r="AN287" s="9">
        <f>SUM(IF(Career_History!H39=TRUE,IF(A287&lt;Career_History!D39,0,MIN(A287,Career_History!E39)-Career_History!D39+1),0),IF(Career_History!H40=TRUE,IF(A287&lt;Career_History!D40,0,MIN(A287,Career_History!E40)-Career_History!D40+1),0))/365.2425</f>
        <v>25.251716325455007</v>
      </c>
      <c r="AO287" s="9">
        <f>SUM(IF(Career_History!G41=TRUE,IF(A287&lt;Career_History!D41,0,MIN(A287,Career_History!E41)-Career_History!D41+1),0),IF(Career_History!G42=TRUE,IF(A287&lt;Career_History!D42,0,MIN(A287,Career_History!E42)-Career_History!D42+1),0))/365.2425</f>
        <v>38.25129879463644</v>
      </c>
      <c r="AP287" s="9">
        <f>SUM(IF(Career_History!I41=TRUE,IF(A287&lt;Career_History!D41,0,MIN(A287,Career_History!E41)-Career_History!D41+1),0),IF(Career_History!I42=TRUE,IF(A287&lt;Career_History!D42,0,MIN(A287,Career_History!E42)-Career_History!D42+1),0))/365.2425</f>
        <v>0</v>
      </c>
      <c r="AQ287" s="9">
        <f>SUM(IF(Career_History!H41=TRUE,IF(A287&lt;Career_History!D41,0,MIN(A287,Career_History!E41)-Career_History!D41+1),0),IF(Career_History!H42=TRUE,IF(A287&lt;Career_History!D42,0,MIN(A287,Career_History!E42)-Career_History!D42+1),0))/365.2425</f>
        <v>38.25129879463644</v>
      </c>
      <c r="AR287" s="9">
        <f>SUM(IF(Career_History!G43=TRUE,IF(A287&lt;Career_History!D43,0,MIN(A287,Career_History!E43)-Career_History!D43+1),0),IF(Career_History!G44=TRUE,IF(A287&lt;Career_History!D44,0,MIN(A287,Career_History!E44)-Career_History!D44+1),0),IF(Career_History!G45=TRUE,IF(A287&lt;Career_History!D45,0,MIN(A287,Career_History!E45)-Career_History!D45+1),0),IF(Career_History!G46=TRUE,IF(A287&lt;Career_History!D46,0,MIN(A287,Career_History!E46)-Career_History!D46+1),0))/365.2425</f>
        <v>27.253126347563605</v>
      </c>
      <c r="AS287" s="9">
        <f>SUM(IF(Career_History!I43=TRUE,IF(A287&lt;Career_History!D43,0,MIN(A287,Career_History!E43)-Career_History!D43+1),0),IF(Career_History!I44=TRUE,IF(A287&lt;Career_History!D44,0,MIN(A287,Career_History!E44)-Career_History!D44+1),0),IF(Career_History!I45=TRUE,IF(A287&lt;Career_History!D45,0,MIN(A287,Career_History!E45)-Career_History!D45+1),0),IF(Career_History!I46=TRUE,IF(A287&lt;Career_History!D46,0,MIN(A287,Career_History!E46)-Career_History!D46+1),0))/365.2425</f>
        <v>4.0849572544268531</v>
      </c>
      <c r="AT287" s="9">
        <f>SUM(IF(Career_History!H43=TRUE,IF(A287&lt;Career_History!D43,0,MIN(A287,Career_History!E43)-Career_History!D43+1),0),IF(Career_History!H44=TRUE,IF(A287&lt;Career_History!D44,0,MIN(A287,Career_History!E44)-Career_History!D44+1),0),IF(Career_History!H45=TRUE,IF(A287&lt;Career_History!D45,0,MIN(A287,Career_History!E45)-Career_History!D45+1),0),IF(Career_History!H46=TRUE,IF(A287&lt;Career_History!D46,0,MIN(A287,Career_History!E46)-Career_History!D46+1),0))/365.2425</f>
        <v>22.166095128578956</v>
      </c>
      <c r="AU287" s="9">
        <f>SUM(IF(Career_History!G47=TRUE,IF(A287&lt;Career_History!D47,0,MIN(A287,Career_History!E47)-Career_History!D47+1),0),IF(Career_History!G48=TRUE,IF(A287&lt;Career_History!D48,0,MIN(A287,Career_History!E48)-Career_History!D48+1),0),IF(Career_History!G49=TRUE,IF(A287&lt;Career_History!D49,0,MIN(A287,Career_History!E49)-Career_History!D49+1),0))/365.2425</f>
        <v>30.25113452021602</v>
      </c>
      <c r="AV287" s="9">
        <f>SUM(IF(Career_History!I47=TRUE,IF(A287&lt;Career_History!D47,0,MIN(A287,Career_History!E47)-Career_History!D47+1),0),IF(Career_History!I48=TRUE,IF(A287&lt;Career_History!D48,0,MIN(A287,Career_History!E48)-Career_History!D48+1),0),IF(Career_History!I49=TRUE,IF(A287&lt;Career_History!D49,0,MIN(A287,Career_History!E49)-Career_History!D49+1),0))/365.2425</f>
        <v>16.999664606391644</v>
      </c>
      <c r="AW287" s="9">
        <f>SUM(IF(Career_History!H47=TRUE,IF(A287&lt;Career_History!D47,0,MIN(A287,Career_History!E47)-Career_History!D47+1),0),IF(Career_History!H48=TRUE,IF(A287&lt;Career_History!D48,0,MIN(A287,Career_History!E48)-Career_History!D48+1),0),IF(Career_History!H49=TRUE,IF(A287&lt;Career_History!D49,0,MIN(A287,Career_History!E49)-Career_History!D49+1),0))/365.2425</f>
        <v>13.251469913824376</v>
      </c>
      <c r="AX287" s="9"/>
      <c r="AY287" s="9"/>
      <c r="AZ287" s="9"/>
      <c r="BA287" s="9"/>
      <c r="BB287" s="9"/>
      <c r="BC287" s="9"/>
      <c r="BD287" s="9"/>
      <c r="BE287" s="9"/>
      <c r="BF287" s="9"/>
      <c r="BG287" s="9"/>
      <c r="BH287" s="9"/>
      <c r="BI287" s="9"/>
      <c r="BJ287" s="9"/>
      <c r="BK287" s="9"/>
      <c r="BL287" s="9"/>
      <c r="BM287" s="9"/>
      <c r="BN287" s="9"/>
      <c r="BO287" s="9"/>
    </row>
    <row r="288" spans="1:67">
      <c r="A288" s="8">
        <v>43404</v>
      </c>
      <c r="B288" s="9">
        <f t="shared" si="12"/>
        <v>33.336755717092068</v>
      </c>
      <c r="C288" s="9">
        <f t="shared" si="13"/>
        <v>4.2169243721636995</v>
      </c>
      <c r="D288" s="9">
        <f t="shared" si="14"/>
        <v>26.418612291833504</v>
      </c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>
        <f>SUM(IF(Career_History!G25=TRUE,IF(A288&lt;Career_History!D25,0,MIN(A288,Career_History!E25)-Career_History!D25+1),0),IF(Career_History!G26=TRUE,IF(A288&lt;Career_History!D26,0,MIN(A288,Career_History!E26)-Career_History!D26+1),0),IF(Career_History!G27=TRUE,IF(A288&lt;Career_History!D27,0,MIN(A288,Career_History!E27)-Career_History!D27+1),0),IF(Career_History!G28=TRUE,IF(A288&lt;Career_History!D28,0,MIN(A288,Career_History!E28)-Career_History!D28+1),0),IF(Career_History!G29=TRUE,IF(A288&lt;Career_History!D29,0,MIN(A288,Career_History!E29)-Career_History!D29+1),0))/365.2425</f>
        <v>45.337002128722695</v>
      </c>
      <c r="AD288" s="9">
        <f>SUM(IF(Career_History!I25=TRUE,IF(A288&lt;Career_History!D25,0,MIN(A288,Career_History!E25)-Career_History!D25+1),0),IF(Career_History!I26=TRUE,IF(A288&lt;Career_History!D26,0,MIN(A288,Career_History!E26)-Career_History!D26+1),0),IF(Career_History!I27=TRUE,IF(A288&lt;Career_History!D27,0,MIN(A288,Career_History!E27)-Career_History!D27+1),0),IF(Career_History!I28=TRUE,IF(A288&lt;Career_History!D28,0,MIN(A288,Career_History!E28)-Career_History!D28+1),0),IF(Career_History!I29=TRUE,IF(A288&lt;Career_History!D29,0,MIN(A288,Career_History!E29)-Career_History!D29+1),0))/365.2425</f>
        <v>0</v>
      </c>
      <c r="AE288" s="9">
        <f>SUM(IF(Career_History!H25=TRUE,IF(A288&lt;Career_History!D25,0,MIN(A288,Career_History!E25)-Career_History!D25+1),0),IF(Career_History!H26=TRUE,IF(A288&lt;Career_History!D26,0,MIN(A288,Career_History!E26)-Career_History!D26+1),0),IF(Career_History!H27=TRUE,IF(A288&lt;Career_History!D27,0,MIN(A288,Career_History!E27)-Career_History!D27+1),0),IF(Career_History!H28=TRUE,IF(A288&lt;Career_History!D28,0,MIN(A288,Career_History!E28)-Career_History!D28+1),0),IF(Career_History!H29=TRUE,IF(A288&lt;Career_History!D29,0,MIN(A288,Career_History!E29)-Career_History!D29+1),0))/365.2425</f>
        <v>32.832980827806182</v>
      </c>
      <c r="AF288" s="9"/>
      <c r="AG288" s="9"/>
      <c r="AH288" s="9"/>
      <c r="AI288" s="9"/>
      <c r="AJ288" s="9"/>
      <c r="AK288" s="9"/>
      <c r="AL288" s="9">
        <f>SUM(IF(Career_History!G39=TRUE,IF(A288&lt;Career_History!D39,0,MIN(A288,Career_History!E39)-Career_History!D39+1),0),IF(Career_History!G40=TRUE,IF(A288&lt;Career_History!D40,0,MIN(A288,Career_History!E40)-Career_History!D40+1),0))/365.2425</f>
        <v>25.336591442671651</v>
      </c>
      <c r="AM288" s="9">
        <f>SUM(IF(Career_History!I39=TRUE,IF(A288&lt;Career_History!D39,0,MIN(A288,Career_History!E39)-Career_History!D39+1),0),IF(Career_History!I40=TRUE,IF(A288&lt;Career_History!D40,0,MIN(A288,Career_History!E40)-Career_History!D40+1),0))/365.2425</f>
        <v>0</v>
      </c>
      <c r="AN288" s="9">
        <f>SUM(IF(Career_History!H39=TRUE,IF(A288&lt;Career_History!D39,0,MIN(A288,Career_History!E39)-Career_History!D39+1),0),IF(Career_History!H40=TRUE,IF(A288&lt;Career_History!D40,0,MIN(A288,Career_History!E40)-Career_History!D40+1),0))/365.2425</f>
        <v>25.336591442671651</v>
      </c>
      <c r="AO288" s="9">
        <f>SUM(IF(Career_History!G41=TRUE,IF(A288&lt;Career_History!D41,0,MIN(A288,Career_History!E41)-Career_History!D41+1),0),IF(Career_History!G42=TRUE,IF(A288&lt;Career_History!D42,0,MIN(A288,Career_History!E42)-Career_History!D42+1),0))/365.2425</f>
        <v>38.336173911853081</v>
      </c>
      <c r="AP288" s="9">
        <f>SUM(IF(Career_History!I41=TRUE,IF(A288&lt;Career_History!D41,0,MIN(A288,Career_History!E41)-Career_History!D41+1),0),IF(Career_History!I42=TRUE,IF(A288&lt;Career_History!D42,0,MIN(A288,Career_History!E42)-Career_History!D42+1),0))/365.2425</f>
        <v>0</v>
      </c>
      <c r="AQ288" s="9">
        <f>SUM(IF(Career_History!H41=TRUE,IF(A288&lt;Career_History!D41,0,MIN(A288,Career_History!E41)-Career_History!D41+1),0),IF(Career_History!H42=TRUE,IF(A288&lt;Career_History!D42,0,MIN(A288,Career_History!E42)-Career_History!D42+1),0))/365.2425</f>
        <v>38.336173911853081</v>
      </c>
      <c r="AR288" s="9">
        <f>SUM(IF(Career_History!G43=TRUE,IF(A288&lt;Career_History!D43,0,MIN(A288,Career_History!E43)-Career_History!D43+1),0),IF(Career_History!G44=TRUE,IF(A288&lt;Career_History!D44,0,MIN(A288,Career_History!E44)-Career_History!D44+1),0),IF(Career_History!G45=TRUE,IF(A288&lt;Career_History!D45,0,MIN(A288,Career_History!E45)-Career_History!D45+1),0),IF(Career_History!G46=TRUE,IF(A288&lt;Career_History!D46,0,MIN(A288,Career_History!E46)-Career_History!D46+1),0))/365.2425</f>
        <v>27.338001464780248</v>
      </c>
      <c r="AS288" s="9">
        <f>SUM(IF(Career_History!I43=TRUE,IF(A288&lt;Career_History!D43,0,MIN(A288,Career_History!E43)-Career_History!D43+1),0),IF(Career_History!I44=TRUE,IF(A288&lt;Career_History!D44,0,MIN(A288,Career_History!E44)-Career_History!D44+1),0),IF(Career_History!I45=TRUE,IF(A288&lt;Career_History!D45,0,MIN(A288,Career_History!E45)-Career_History!D45+1),0),IF(Career_History!I46=TRUE,IF(A288&lt;Career_History!D46,0,MIN(A288,Career_History!E46)-Career_History!D46+1),0))/365.2425</f>
        <v>4.0849572544268531</v>
      </c>
      <c r="AT288" s="9">
        <f>SUM(IF(Career_History!H43=TRUE,IF(A288&lt;Career_History!D43,0,MIN(A288,Career_History!E43)-Career_History!D43+1),0),IF(Career_History!H44=TRUE,IF(A288&lt;Career_History!D44,0,MIN(A288,Career_History!E44)-Career_History!D44+1),0),IF(Career_History!H45=TRUE,IF(A288&lt;Career_History!D45,0,MIN(A288,Career_History!E45)-Career_History!D45+1),0),IF(Career_History!H46=TRUE,IF(A288&lt;Career_History!D46,0,MIN(A288,Career_History!E46)-Career_History!D46+1),0))/365.2425</f>
        <v>22.2509702457956</v>
      </c>
      <c r="AU288" s="9">
        <f>SUM(IF(Career_History!G47=TRUE,IF(A288&lt;Career_History!D47,0,MIN(A288,Career_History!E47)-Career_History!D47+1),0),IF(Career_History!G48=TRUE,IF(A288&lt;Career_History!D48,0,MIN(A288,Career_History!E48)-Career_History!D48+1),0),IF(Career_History!G49=TRUE,IF(A288&lt;Career_History!D49,0,MIN(A288,Career_History!E49)-Career_History!D49+1),0))/365.2425</f>
        <v>30.336009637432664</v>
      </c>
      <c r="AV288" s="9">
        <f>SUM(IF(Career_History!I47=TRUE,IF(A288&lt;Career_History!D47,0,MIN(A288,Career_History!E47)-Career_History!D47+1),0),IF(Career_History!I48=TRUE,IF(A288&lt;Career_History!D48,0,MIN(A288,Career_History!E48)-Career_History!D48+1),0),IF(Career_History!I49=TRUE,IF(A288&lt;Career_History!D49,0,MIN(A288,Career_History!E49)-Career_History!D49+1),0))/365.2425</f>
        <v>16.999664606391644</v>
      </c>
      <c r="AW288" s="9">
        <f>SUM(IF(Career_History!H47=TRUE,IF(A288&lt;Career_History!D47,0,MIN(A288,Career_History!E47)-Career_History!D47+1),0),IF(Career_History!H48=TRUE,IF(A288&lt;Career_History!D48,0,MIN(A288,Career_History!E48)-Career_History!D48+1),0),IF(Career_History!H49=TRUE,IF(A288&lt;Career_History!D49,0,MIN(A288,Career_History!E49)-Career_History!D49+1),0))/365.2425</f>
        <v>13.33634503104102</v>
      </c>
      <c r="AX288" s="9"/>
      <c r="AY288" s="9"/>
      <c r="AZ288" s="9"/>
      <c r="BA288" s="9"/>
      <c r="BB288" s="9"/>
      <c r="BC288" s="9"/>
      <c r="BD288" s="9"/>
      <c r="BE288" s="9"/>
      <c r="BF288" s="9"/>
      <c r="BG288" s="9"/>
      <c r="BH288" s="9"/>
      <c r="BI288" s="9"/>
      <c r="BJ288" s="9"/>
      <c r="BK288" s="9"/>
      <c r="BL288" s="9"/>
      <c r="BM288" s="9"/>
      <c r="BN288" s="9"/>
      <c r="BO288" s="9"/>
    </row>
    <row r="289" spans="1:67">
      <c r="A289" s="8">
        <v>43434</v>
      </c>
      <c r="B289" s="9">
        <f t="shared" si="12"/>
        <v>33.418892927301727</v>
      </c>
      <c r="C289" s="9">
        <f t="shared" si="13"/>
        <v>4.2169243721636995</v>
      </c>
      <c r="D289" s="9">
        <f t="shared" si="14"/>
        <v>26.500749502043163</v>
      </c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>
        <f>SUM(IF(Career_History!G25=TRUE,IF(A289&lt;Career_History!D25,0,MIN(A289,Career_History!E25)-Career_History!D25+1),0),IF(Career_History!G26=TRUE,IF(A289&lt;Career_History!D26,0,MIN(A289,Career_History!E26)-Career_History!D26+1),0),IF(Career_History!G27=TRUE,IF(A289&lt;Career_History!D27,0,MIN(A289,Career_History!E27)-Career_History!D27+1),0),IF(Career_History!G28=TRUE,IF(A289&lt;Career_History!D28,0,MIN(A289,Career_History!E28)-Career_History!D28+1),0),IF(Career_History!G29=TRUE,IF(A289&lt;Career_History!D29,0,MIN(A289,Career_History!E29)-Career_History!D29+1),0))/365.2425</f>
        <v>45.419139338932354</v>
      </c>
      <c r="AD289" s="9">
        <f>SUM(IF(Career_History!I25=TRUE,IF(A289&lt;Career_History!D25,0,MIN(A289,Career_History!E25)-Career_History!D25+1),0),IF(Career_History!I26=TRUE,IF(A289&lt;Career_History!D26,0,MIN(A289,Career_History!E26)-Career_History!D26+1),0),IF(Career_History!I27=TRUE,IF(A289&lt;Career_History!D27,0,MIN(A289,Career_History!E27)-Career_History!D27+1),0),IF(Career_History!I28=TRUE,IF(A289&lt;Career_History!D28,0,MIN(A289,Career_History!E28)-Career_History!D28+1),0),IF(Career_History!I29=TRUE,IF(A289&lt;Career_History!D29,0,MIN(A289,Career_History!E29)-Career_History!D29+1),0))/365.2425</f>
        <v>0</v>
      </c>
      <c r="AE289" s="9">
        <f>SUM(IF(Career_History!H25=TRUE,IF(A289&lt;Career_History!D25,0,MIN(A289,Career_History!E25)-Career_History!D25+1),0),IF(Career_History!H26=TRUE,IF(A289&lt;Career_History!D26,0,MIN(A289,Career_History!E26)-Career_History!D26+1),0),IF(Career_History!H27=TRUE,IF(A289&lt;Career_History!D27,0,MIN(A289,Career_History!E27)-Career_History!D27+1),0),IF(Career_History!H28=TRUE,IF(A289&lt;Career_History!D28,0,MIN(A289,Career_History!E28)-Career_History!D28+1),0),IF(Career_History!H29=TRUE,IF(A289&lt;Career_History!D29,0,MIN(A289,Career_History!E29)-Career_History!D29+1),0))/365.2425</f>
        <v>32.915118038015841</v>
      </c>
      <c r="AF289" s="9"/>
      <c r="AG289" s="9"/>
      <c r="AH289" s="9"/>
      <c r="AI289" s="9"/>
      <c r="AJ289" s="9"/>
      <c r="AK289" s="9"/>
      <c r="AL289" s="9">
        <f>SUM(IF(Career_History!G39=TRUE,IF(A289&lt;Career_History!D39,0,MIN(A289,Career_History!E39)-Career_History!D39+1),0),IF(Career_History!G40=TRUE,IF(A289&lt;Career_History!D40,0,MIN(A289,Career_History!E40)-Career_History!D40+1),0))/365.2425</f>
        <v>25.418728652881306</v>
      </c>
      <c r="AM289" s="9">
        <f>SUM(IF(Career_History!I39=TRUE,IF(A289&lt;Career_History!D39,0,MIN(A289,Career_History!E39)-Career_History!D39+1),0),IF(Career_History!I40=TRUE,IF(A289&lt;Career_History!D40,0,MIN(A289,Career_History!E40)-Career_History!D40+1),0))/365.2425</f>
        <v>0</v>
      </c>
      <c r="AN289" s="9">
        <f>SUM(IF(Career_History!H39=TRUE,IF(A289&lt;Career_History!D39,0,MIN(A289,Career_History!E39)-Career_History!D39+1),0),IF(Career_History!H40=TRUE,IF(A289&lt;Career_History!D40,0,MIN(A289,Career_History!E40)-Career_History!D40+1),0))/365.2425</f>
        <v>25.418728652881306</v>
      </c>
      <c r="AO289" s="9">
        <f>SUM(IF(Career_History!G41=TRUE,IF(A289&lt;Career_History!D41,0,MIN(A289,Career_History!E41)-Career_History!D41+1),0),IF(Career_History!G42=TRUE,IF(A289&lt;Career_History!D42,0,MIN(A289,Career_History!E42)-Career_History!D42+1),0))/365.2425</f>
        <v>38.41831112206274</v>
      </c>
      <c r="AP289" s="9">
        <f>SUM(IF(Career_History!I41=TRUE,IF(A289&lt;Career_History!D41,0,MIN(A289,Career_History!E41)-Career_History!D41+1),0),IF(Career_History!I42=TRUE,IF(A289&lt;Career_History!D42,0,MIN(A289,Career_History!E42)-Career_History!D42+1),0))/365.2425</f>
        <v>0</v>
      </c>
      <c r="AQ289" s="9">
        <f>SUM(IF(Career_History!H41=TRUE,IF(A289&lt;Career_History!D41,0,MIN(A289,Career_History!E41)-Career_History!D41+1),0),IF(Career_History!H42=TRUE,IF(A289&lt;Career_History!D42,0,MIN(A289,Career_History!E42)-Career_History!D42+1),0))/365.2425</f>
        <v>38.41831112206274</v>
      </c>
      <c r="AR289" s="9">
        <f>SUM(IF(Career_History!G43=TRUE,IF(A289&lt;Career_History!D43,0,MIN(A289,Career_History!E43)-Career_History!D43+1),0),IF(Career_History!G44=TRUE,IF(A289&lt;Career_History!D44,0,MIN(A289,Career_History!E44)-Career_History!D44+1),0),IF(Career_History!G45=TRUE,IF(A289&lt;Career_History!D45,0,MIN(A289,Career_History!E45)-Career_History!D45+1),0),IF(Career_History!G46=TRUE,IF(A289&lt;Career_History!D46,0,MIN(A289,Career_History!E46)-Career_History!D46+1),0))/365.2425</f>
        <v>27.420138674989904</v>
      </c>
      <c r="AS289" s="9">
        <f>SUM(IF(Career_History!I43=TRUE,IF(A289&lt;Career_History!D43,0,MIN(A289,Career_History!E43)-Career_History!D43+1),0),IF(Career_History!I44=TRUE,IF(A289&lt;Career_History!D44,0,MIN(A289,Career_History!E44)-Career_History!D44+1),0),IF(Career_History!I45=TRUE,IF(A289&lt;Career_History!D45,0,MIN(A289,Career_History!E45)-Career_History!D45+1),0),IF(Career_History!I46=TRUE,IF(A289&lt;Career_History!D46,0,MIN(A289,Career_History!E46)-Career_History!D46+1),0))/365.2425</f>
        <v>4.0849572544268531</v>
      </c>
      <c r="AT289" s="9">
        <f>SUM(IF(Career_History!H43=TRUE,IF(A289&lt;Career_History!D43,0,MIN(A289,Career_History!E43)-Career_History!D43+1),0),IF(Career_History!H44=TRUE,IF(A289&lt;Career_History!D44,0,MIN(A289,Career_History!E44)-Career_History!D44+1),0),IF(Career_History!H45=TRUE,IF(A289&lt;Career_History!D45,0,MIN(A289,Career_History!E45)-Career_History!D45+1),0),IF(Career_History!H46=TRUE,IF(A289&lt;Career_History!D46,0,MIN(A289,Career_History!E46)-Career_History!D46+1),0))/365.2425</f>
        <v>22.333107456005255</v>
      </c>
      <c r="AU289" s="9">
        <f>SUM(IF(Career_History!G47=TRUE,IF(A289&lt;Career_History!D47,0,MIN(A289,Career_History!E47)-Career_History!D47+1),0),IF(Career_History!G48=TRUE,IF(A289&lt;Career_History!D48,0,MIN(A289,Career_History!E48)-Career_History!D48+1),0),IF(Career_History!G49=TRUE,IF(A289&lt;Career_History!D49,0,MIN(A289,Career_History!E49)-Career_History!D49+1),0))/365.2425</f>
        <v>30.418146847642319</v>
      </c>
      <c r="AV289" s="9">
        <f>SUM(IF(Career_History!I47=TRUE,IF(A289&lt;Career_History!D47,0,MIN(A289,Career_History!E47)-Career_History!D47+1),0),IF(Career_History!I48=TRUE,IF(A289&lt;Career_History!D48,0,MIN(A289,Career_History!E48)-Career_History!D48+1),0),IF(Career_History!I49=TRUE,IF(A289&lt;Career_History!D49,0,MIN(A289,Career_History!E49)-Career_History!D49+1),0))/365.2425</f>
        <v>16.999664606391644</v>
      </c>
      <c r="AW289" s="9">
        <f>SUM(IF(Career_History!H47=TRUE,IF(A289&lt;Career_History!D47,0,MIN(A289,Career_History!E47)-Career_History!D47+1),0),IF(Career_History!H48=TRUE,IF(A289&lt;Career_History!D48,0,MIN(A289,Career_History!E48)-Career_History!D48+1),0),IF(Career_History!H49=TRUE,IF(A289&lt;Career_History!D49,0,MIN(A289,Career_History!E49)-Career_History!D49+1),0))/365.2425</f>
        <v>13.418482241250675</v>
      </c>
      <c r="AX289" s="9"/>
      <c r="AY289" s="9"/>
      <c r="AZ289" s="9"/>
      <c r="BA289" s="9"/>
      <c r="BB289" s="9"/>
      <c r="BC289" s="9"/>
      <c r="BD289" s="9"/>
      <c r="BE289" s="9"/>
      <c r="BF289" s="9"/>
      <c r="BG289" s="9"/>
      <c r="BH289" s="9"/>
      <c r="BI289" s="9"/>
      <c r="BJ289" s="9"/>
      <c r="BK289" s="9"/>
      <c r="BL289" s="9"/>
      <c r="BM289" s="9"/>
      <c r="BN289" s="9"/>
      <c r="BO289" s="9"/>
    </row>
    <row r="290" spans="1:67">
      <c r="A290" s="8">
        <v>43465</v>
      </c>
      <c r="B290" s="9">
        <f t="shared" si="12"/>
        <v>30.50370644161071</v>
      </c>
      <c r="C290" s="9">
        <f t="shared" si="13"/>
        <v>5.2711554652046244</v>
      </c>
      <c r="D290" s="9">
        <f t="shared" si="14"/>
        <v>24.982032485266636</v>
      </c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>
        <f>SUM(IF(Career_History!G39=TRUE,IF(A290&lt;Career_History!D39,0,MIN(A290,Career_History!E39)-Career_History!D39+1),0),IF(Career_History!G40=TRUE,IF(A290&lt;Career_History!D40,0,MIN(A290,Career_History!E40)-Career_History!D40+1),0))/365.2425</f>
        <v>25.50360377009795</v>
      </c>
      <c r="AM290" s="9">
        <f>SUM(IF(Career_History!I39=TRUE,IF(A290&lt;Career_History!D39,0,MIN(A290,Career_History!E39)-Career_History!D39+1),0),IF(Career_History!I40=TRUE,IF(A290&lt;Career_History!D40,0,MIN(A290,Career_History!E40)-Career_History!D40+1),0))/365.2425</f>
        <v>0</v>
      </c>
      <c r="AN290" s="9">
        <f>SUM(IF(Career_History!H39=TRUE,IF(A290&lt;Career_History!D39,0,MIN(A290,Career_History!E39)-Career_History!D39+1),0),IF(Career_History!H40=TRUE,IF(A290&lt;Career_History!D40,0,MIN(A290,Career_History!E40)-Career_History!D40+1),0))/365.2425</f>
        <v>25.50360377009795</v>
      </c>
      <c r="AO290" s="9">
        <f>SUM(IF(Career_History!G41=TRUE,IF(A290&lt;Career_History!D41,0,MIN(A290,Career_History!E41)-Career_History!D41+1),0),IF(Career_History!G42=TRUE,IF(A290&lt;Career_History!D42,0,MIN(A290,Career_History!E42)-Career_History!D42+1),0))/365.2425</f>
        <v>38.50318623927938</v>
      </c>
      <c r="AP290" s="9">
        <f>SUM(IF(Career_History!I41=TRUE,IF(A290&lt;Career_History!D41,0,MIN(A290,Career_History!E41)-Career_History!D41+1),0),IF(Career_History!I42=TRUE,IF(A290&lt;Career_History!D42,0,MIN(A290,Career_History!E42)-Career_History!D42+1),0))/365.2425</f>
        <v>0</v>
      </c>
      <c r="AQ290" s="9">
        <f>SUM(IF(Career_History!H41=TRUE,IF(A290&lt;Career_History!D41,0,MIN(A290,Career_History!E41)-Career_History!D41+1),0),IF(Career_History!H42=TRUE,IF(A290&lt;Career_History!D42,0,MIN(A290,Career_History!E42)-Career_History!D42+1),0))/365.2425</f>
        <v>38.50318623927938</v>
      </c>
      <c r="AR290" s="9">
        <f>SUM(IF(Career_History!G43=TRUE,IF(A290&lt;Career_History!D43,0,MIN(A290,Career_History!E43)-Career_History!D43+1),0),IF(Career_History!G44=TRUE,IF(A290&lt;Career_History!D44,0,MIN(A290,Career_History!E44)-Career_History!D44+1),0),IF(Career_History!G45=TRUE,IF(A290&lt;Career_History!D45,0,MIN(A290,Career_History!E45)-Career_History!D45+1),0),IF(Career_History!G46=TRUE,IF(A290&lt;Career_History!D46,0,MIN(A290,Career_History!E46)-Career_History!D46+1),0))/365.2425</f>
        <v>27.505013792206547</v>
      </c>
      <c r="AS290" s="9">
        <f>SUM(IF(Career_History!I43=TRUE,IF(A290&lt;Career_History!D43,0,MIN(A290,Career_History!E43)-Career_History!D43+1),0),IF(Career_History!I44=TRUE,IF(A290&lt;Career_History!D44,0,MIN(A290,Career_History!E44)-Career_History!D44+1),0),IF(Career_History!I45=TRUE,IF(A290&lt;Career_History!D45,0,MIN(A290,Career_History!E45)-Career_History!D45+1),0),IF(Career_History!I46=TRUE,IF(A290&lt;Career_History!D46,0,MIN(A290,Career_History!E46)-Career_History!D46+1),0))/365.2425</f>
        <v>4.0849572544268531</v>
      </c>
      <c r="AT290" s="9">
        <f>SUM(IF(Career_History!H43=TRUE,IF(A290&lt;Career_History!D43,0,MIN(A290,Career_History!E43)-Career_History!D43+1),0),IF(Career_History!H44=TRUE,IF(A290&lt;Career_History!D44,0,MIN(A290,Career_History!E44)-Career_History!D44+1),0),IF(Career_History!H45=TRUE,IF(A290&lt;Career_History!D45,0,MIN(A290,Career_History!E45)-Career_History!D45+1),0),IF(Career_History!H46=TRUE,IF(A290&lt;Career_History!D46,0,MIN(A290,Career_History!E46)-Career_History!D46+1),0))/365.2425</f>
        <v>22.417982573221899</v>
      </c>
      <c r="AU290" s="9">
        <f>SUM(IF(Career_History!G47=TRUE,IF(A290&lt;Career_History!D47,0,MIN(A290,Career_History!E47)-Career_History!D47+1),0),IF(Career_History!G48=TRUE,IF(A290&lt;Career_History!D48,0,MIN(A290,Career_History!E48)-Career_History!D48+1),0),IF(Career_History!G49=TRUE,IF(A290&lt;Career_History!D49,0,MIN(A290,Career_History!E49)-Career_History!D49+1),0))/365.2425</f>
        <v>30.503021964858963</v>
      </c>
      <c r="AV290" s="9">
        <f>SUM(IF(Career_History!I47=TRUE,IF(A290&lt;Career_History!D47,0,MIN(A290,Career_History!E47)-Career_History!D47+1),0),IF(Career_History!I48=TRUE,IF(A290&lt;Career_History!D48,0,MIN(A290,Career_History!E48)-Career_History!D48+1),0),IF(Career_History!I49=TRUE,IF(A290&lt;Career_History!D49,0,MIN(A290,Career_History!E49)-Career_History!D49+1),0))/365.2425</f>
        <v>16.999664606391644</v>
      </c>
      <c r="AW290" s="9">
        <f>SUM(IF(Career_History!H47=TRUE,IF(A290&lt;Career_History!D47,0,MIN(A290,Career_History!E47)-Career_History!D47+1),0),IF(Career_History!H48=TRUE,IF(A290&lt;Career_History!D48,0,MIN(A290,Career_History!E48)-Career_History!D48+1),0),IF(Career_History!H49=TRUE,IF(A290&lt;Career_History!D49,0,MIN(A290,Career_History!E49)-Career_History!D49+1),0))/365.2425</f>
        <v>13.503357358467319</v>
      </c>
      <c r="AX290" s="9"/>
      <c r="AY290" s="9"/>
      <c r="AZ290" s="9"/>
      <c r="BA290" s="9"/>
      <c r="BB290" s="9"/>
      <c r="BC290" s="9"/>
      <c r="BD290" s="9"/>
      <c r="BE290" s="9"/>
      <c r="BF290" s="9"/>
      <c r="BG290" s="9"/>
      <c r="BH290" s="9"/>
      <c r="BI290" s="9"/>
      <c r="BJ290" s="9"/>
      <c r="BK290" s="9"/>
      <c r="BL290" s="9"/>
      <c r="BM290" s="9"/>
      <c r="BN290" s="9"/>
      <c r="BO290" s="9"/>
    </row>
    <row r="291" spans="1:67">
      <c r="A291" s="8">
        <v>43496</v>
      </c>
      <c r="B291" s="9">
        <f t="shared" si="12"/>
        <v>32.588759522782809</v>
      </c>
      <c r="C291" s="9">
        <f t="shared" si="13"/>
        <v>4.2338993956070281</v>
      </c>
      <c r="D291" s="9">
        <f t="shared" si="14"/>
        <v>23.470434026708283</v>
      </c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>
        <f>SUM(IF(Career_History!G41=TRUE,IF(A291&lt;Career_History!D41,0,MIN(A291,Career_History!E41)-Career_History!D41+1),0),IF(Career_History!G42=TRUE,IF(A291&lt;Career_History!D42,0,MIN(A291,Career_History!E42)-Career_History!D42+1),0))/365.2425</f>
        <v>38.588061356496027</v>
      </c>
      <c r="AP291" s="9">
        <f>SUM(IF(Career_History!I41=TRUE,IF(A291&lt;Career_History!D41,0,MIN(A291,Career_History!E41)-Career_History!D41+1),0),IF(Career_History!I42=TRUE,IF(A291&lt;Career_History!D42,0,MIN(A291,Career_History!E42)-Career_History!D42+1),0))/365.2425</f>
        <v>0</v>
      </c>
      <c r="AQ291" s="9">
        <f>SUM(IF(Career_History!H41=TRUE,IF(A291&lt;Career_History!D41,0,MIN(A291,Career_History!E41)-Career_History!D41+1),0),IF(Career_History!H42=TRUE,IF(A291&lt;Career_History!D42,0,MIN(A291,Career_History!E42)-Career_History!D42+1),0))/365.2425</f>
        <v>38.588061356496027</v>
      </c>
      <c r="AR291" s="9">
        <f>SUM(IF(Career_History!G43=TRUE,IF(A291&lt;Career_History!D43,0,MIN(A291,Career_History!E43)-Career_History!D43+1),0),IF(Career_History!G44=TRUE,IF(A291&lt;Career_History!D44,0,MIN(A291,Career_History!E44)-Career_History!D44+1),0),IF(Career_History!G45=TRUE,IF(A291&lt;Career_History!D45,0,MIN(A291,Career_History!E45)-Career_History!D45+1),0),IF(Career_History!G46=TRUE,IF(A291&lt;Career_History!D46,0,MIN(A291,Career_History!E46)-Career_History!D46+1),0))/365.2425</f>
        <v>27.589888909423191</v>
      </c>
      <c r="AS291" s="9">
        <f>SUM(IF(Career_History!I43=TRUE,IF(A291&lt;Career_History!D43,0,MIN(A291,Career_History!E43)-Career_History!D43+1),0),IF(Career_History!I44=TRUE,IF(A291&lt;Career_History!D44,0,MIN(A291,Career_History!E44)-Career_History!D44+1),0),IF(Career_History!I45=TRUE,IF(A291&lt;Career_History!D45,0,MIN(A291,Career_History!E45)-Career_History!D45+1),0),IF(Career_History!I46=TRUE,IF(A291&lt;Career_History!D46,0,MIN(A291,Career_History!E46)-Career_History!D46+1),0))/365.2425</f>
        <v>4.0849572544268531</v>
      </c>
      <c r="AT291" s="9">
        <f>SUM(IF(Career_History!H43=TRUE,IF(A291&lt;Career_History!D43,0,MIN(A291,Career_History!E43)-Career_History!D43+1),0),IF(Career_History!H44=TRUE,IF(A291&lt;Career_History!D44,0,MIN(A291,Career_History!E44)-Career_History!D44+1),0),IF(Career_History!H45=TRUE,IF(A291&lt;Career_History!D45,0,MIN(A291,Career_History!E45)-Career_History!D45+1),0),IF(Career_History!H46=TRUE,IF(A291&lt;Career_History!D46,0,MIN(A291,Career_History!E46)-Career_History!D46+1),0))/365.2425</f>
        <v>22.502857690438542</v>
      </c>
      <c r="AU291" s="9">
        <f>SUM(IF(Career_History!G47=TRUE,IF(A291&lt;Career_History!D47,0,MIN(A291,Career_History!E47)-Career_History!D47+1),0),IF(Career_History!G48=TRUE,IF(A291&lt;Career_History!D48,0,MIN(A291,Career_History!E48)-Career_History!D48+1),0),IF(Career_History!G49=TRUE,IF(A291&lt;Career_History!D49,0,MIN(A291,Career_History!E49)-Career_History!D49+1),0))/365.2425</f>
        <v>30.587897082075607</v>
      </c>
      <c r="AV291" s="9">
        <f>SUM(IF(Career_History!I47=TRUE,IF(A291&lt;Career_History!D47,0,MIN(A291,Career_History!E47)-Career_History!D47+1),0),IF(Career_History!I48=TRUE,IF(A291&lt;Career_History!D48,0,MIN(A291,Career_History!E48)-Career_History!D48+1),0),IF(Career_History!I49=TRUE,IF(A291&lt;Career_History!D49,0,MIN(A291,Career_History!E49)-Career_History!D49+1),0))/365.2425</f>
        <v>16.999664606391644</v>
      </c>
      <c r="AW291" s="9">
        <f>SUM(IF(Career_History!H47=TRUE,IF(A291&lt;Career_History!D47,0,MIN(A291,Career_History!E47)-Career_History!D47+1),0),IF(Career_History!H48=TRUE,IF(A291&lt;Career_History!D48,0,MIN(A291,Career_History!E48)-Career_History!D48+1),0),IF(Career_History!H49=TRUE,IF(A291&lt;Career_History!D49,0,MIN(A291,Career_History!E49)-Career_History!D49+1),0))/365.2425</f>
        <v>13.588232475683963</v>
      </c>
      <c r="AX291" s="9">
        <f>SUM(IF(Career_History!G50=TRUE,IF(A291&lt;Career_History!D50,0,MIN(A291,Career_History!E50)-Career_History!D50+1),0),IF(Career_History!G51=TRUE,IF(A291&lt;Career_History!D51,0,MIN(A291,Career_History!E51)-Career_History!D51+1),0),IF(Career_History!G52=TRUE,IF(A291&lt;Career_History!D52,0,MIN(A291,Career_History!E52)-Career_History!D52+1),0))/365.2425</f>
        <v>23.589806772212981</v>
      </c>
      <c r="AY291" s="9">
        <f>SUM(IF(Career_History!I50=TRUE,IF(A291&lt;Career_History!D50,0,MIN(A291,Career_History!E50)-Career_History!D50+1),0),IF(Career_History!I51=TRUE,IF(A291&lt;Career_History!D51,0,MIN(A291,Career_History!E51)-Career_History!D51+1),0),IF(Career_History!I52=TRUE,IF(A291&lt;Career_History!D52,0,MIN(A291,Career_History!E52)-Career_History!D52+1),0))/365.2425</f>
        <v>8.4875117216643731E-2</v>
      </c>
      <c r="AZ291" s="9">
        <f>SUM(IF(Career_History!H50=TRUE,IF(A291&lt;Career_History!D50,0,MIN(A291,Career_History!E50)-Career_History!D50+1),0),IF(Career_History!H51=TRUE,IF(A291&lt;Career_History!D51,0,MIN(A291,Career_History!E51)-Career_History!D51+1),0),IF(Career_History!H52=TRUE,IF(A291&lt;Career_History!D52,0,MIN(A291,Career_History!E52)-Career_History!D52+1),0))/365.2425</f>
        <v>8.4875117216643731E-2</v>
      </c>
      <c r="BA291" s="9">
        <f>SUM(IF(Career_History!G53=TRUE,IF(A291&lt;Career_History!D53,0,MIN(A291,Career_History!E53)-Career_History!D53+1),0),IF(Career_History!G54=TRUE,IF(A291&lt;Career_History!D54,0,MIN(A291,Career_History!E54)-Career_History!D54+1),0),IF(Career_History!G55=TRUE,IF(A291&lt;Career_History!D55,0,MIN(A291,Career_History!E55)-Career_History!D55+1),0),IF(Career_History!G56=TRUE,IF(A291&lt;Career_History!D56,0,MIN(A291,Career_History!E56)-Career_History!D56+1),0),IF(Career_History!G57=TRUE,IF(A291&lt;Career_History!D57,0,MIN(A291,Career_History!E57)-Career_History!D57+1),0))/365.2425</f>
        <v>42.588143493706234</v>
      </c>
      <c r="BB291" s="9">
        <f>SUM(IF(Career_History!I53=TRUE,IF(A291&lt;Career_History!D53,0,MIN(A291,Career_History!E53)-Career_History!D53+1),0),IF(Career_History!I54=TRUE,IF(A291&lt;Career_History!D54,0,MIN(A291,Career_History!E54)-Career_History!D54+1),0),IF(Career_History!I55=TRUE,IF(A291&lt;Career_History!D55,0,MIN(A291,Career_History!E55)-Career_History!D55+1),0),IF(Career_History!I56=TRUE,IF(A291&lt;Career_History!D56,0,MIN(A291,Career_History!E56)-Career_History!D56+1),0),IF(Career_History!I57=TRUE,IF(A291&lt;Career_History!D57,0,MIN(A291,Career_History!E57)-Career_History!D57+1),0))/365.2425</f>
        <v>0</v>
      </c>
      <c r="BC291" s="9">
        <f>SUM(IF(Career_History!H53=TRUE,IF(A291&lt;Career_History!D53,0,MIN(A291,Career_History!E53)-Career_History!D53+1),0),IF(Career_History!H54=TRUE,IF(A291&lt;Career_History!D54,0,MIN(A291,Career_History!E54)-Career_History!D54+1),0),IF(Career_History!H55=TRUE,IF(A291&lt;Career_History!D55,0,MIN(A291,Career_History!E55)-Career_History!D55+1),0),IF(Career_History!H56=TRUE,IF(A291&lt;Career_History!D56,0,MIN(A291,Career_History!E56)-Career_History!D56+1),0),IF(Career_History!H57=TRUE,IF(A291&lt;Career_History!D57,0,MIN(A291,Career_History!E57)-Career_History!D57+1),0))/365.2425</f>
        <v>42.588143493706234</v>
      </c>
      <c r="BD291" s="9"/>
      <c r="BE291" s="9"/>
      <c r="BF291" s="9"/>
      <c r="BG291" s="9"/>
      <c r="BH291" s="9"/>
      <c r="BI291" s="9"/>
      <c r="BJ291" s="9"/>
      <c r="BK291" s="9"/>
      <c r="BL291" s="9"/>
      <c r="BM291" s="9"/>
      <c r="BN291" s="9"/>
      <c r="BO291" s="9"/>
    </row>
    <row r="292" spans="1:67">
      <c r="A292" s="8">
        <v>43524</v>
      </c>
      <c r="B292" s="9">
        <f t="shared" si="12"/>
        <v>32.665420918978484</v>
      </c>
      <c r="C292" s="9">
        <f t="shared" si="13"/>
        <v>4.2338993956070281</v>
      </c>
      <c r="D292" s="9">
        <f t="shared" si="14"/>
        <v>23.547095422903958</v>
      </c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>
        <f>SUM(IF(Career_History!G41=TRUE,IF(A292&lt;Career_History!D41,0,MIN(A292,Career_History!E41)-Career_History!D41+1),0),IF(Career_History!G42=TRUE,IF(A292&lt;Career_History!D42,0,MIN(A292,Career_History!E42)-Career_History!D42+1),0))/365.2425</f>
        <v>38.664722752691702</v>
      </c>
      <c r="AP292" s="9">
        <f>SUM(IF(Career_History!I41=TRUE,IF(A292&lt;Career_History!D41,0,MIN(A292,Career_History!E41)-Career_History!D41+1),0),IF(Career_History!I42=TRUE,IF(A292&lt;Career_History!D42,0,MIN(A292,Career_History!E42)-Career_History!D42+1),0))/365.2425</f>
        <v>0</v>
      </c>
      <c r="AQ292" s="9">
        <f>SUM(IF(Career_History!H41=TRUE,IF(A292&lt;Career_History!D41,0,MIN(A292,Career_History!E41)-Career_History!D41+1),0),IF(Career_History!H42=TRUE,IF(A292&lt;Career_History!D42,0,MIN(A292,Career_History!E42)-Career_History!D42+1),0))/365.2425</f>
        <v>38.664722752691702</v>
      </c>
      <c r="AR292" s="9">
        <f>SUM(IF(Career_History!G43=TRUE,IF(A292&lt;Career_History!D43,0,MIN(A292,Career_History!E43)-Career_History!D43+1),0),IF(Career_History!G44=TRUE,IF(A292&lt;Career_History!D44,0,MIN(A292,Career_History!E44)-Career_History!D44+1),0),IF(Career_History!G45=TRUE,IF(A292&lt;Career_History!D45,0,MIN(A292,Career_History!E45)-Career_History!D45+1),0),IF(Career_History!G46=TRUE,IF(A292&lt;Career_History!D46,0,MIN(A292,Career_History!E46)-Career_History!D46+1),0))/365.2425</f>
        <v>27.66655030561887</v>
      </c>
      <c r="AS292" s="9">
        <f>SUM(IF(Career_History!I43=TRUE,IF(A292&lt;Career_History!D43,0,MIN(A292,Career_History!E43)-Career_History!D43+1),0),IF(Career_History!I44=TRUE,IF(A292&lt;Career_History!D44,0,MIN(A292,Career_History!E44)-Career_History!D44+1),0),IF(Career_History!I45=TRUE,IF(A292&lt;Career_History!D45,0,MIN(A292,Career_History!E45)-Career_History!D45+1),0),IF(Career_History!I46=TRUE,IF(A292&lt;Career_History!D46,0,MIN(A292,Career_History!E46)-Career_History!D46+1),0))/365.2425</f>
        <v>4.0849572544268531</v>
      </c>
      <c r="AT292" s="9">
        <f>SUM(IF(Career_History!H43=TRUE,IF(A292&lt;Career_History!D43,0,MIN(A292,Career_History!E43)-Career_History!D43+1),0),IF(Career_History!H44=TRUE,IF(A292&lt;Career_History!D44,0,MIN(A292,Career_History!E44)-Career_History!D44+1),0),IF(Career_History!H45=TRUE,IF(A292&lt;Career_History!D45,0,MIN(A292,Career_History!E45)-Career_History!D45+1),0),IF(Career_History!H46=TRUE,IF(A292&lt;Career_History!D46,0,MIN(A292,Career_History!E46)-Career_History!D46+1),0))/365.2425</f>
        <v>22.579519086634221</v>
      </c>
      <c r="AU292" s="9">
        <f>SUM(IF(Career_History!G47=TRUE,IF(A292&lt;Career_History!D47,0,MIN(A292,Career_History!E47)-Career_History!D47+1),0),IF(Career_History!G48=TRUE,IF(A292&lt;Career_History!D48,0,MIN(A292,Career_History!E48)-Career_History!D48+1),0),IF(Career_History!G49=TRUE,IF(A292&lt;Career_History!D49,0,MIN(A292,Career_History!E49)-Career_History!D49+1),0))/365.2425</f>
        <v>30.664558478271285</v>
      </c>
      <c r="AV292" s="9">
        <f>SUM(IF(Career_History!I47=TRUE,IF(A292&lt;Career_History!D47,0,MIN(A292,Career_History!E47)-Career_History!D47+1),0),IF(Career_History!I48=TRUE,IF(A292&lt;Career_History!D48,0,MIN(A292,Career_History!E48)-Career_History!D48+1),0),IF(Career_History!I49=TRUE,IF(A292&lt;Career_History!D49,0,MIN(A292,Career_History!E49)-Career_History!D49+1),0))/365.2425</f>
        <v>16.999664606391644</v>
      </c>
      <c r="AW292" s="9">
        <f>SUM(IF(Career_History!H47=TRUE,IF(A292&lt;Career_History!D47,0,MIN(A292,Career_History!E47)-Career_History!D47+1),0),IF(Career_History!H48=TRUE,IF(A292&lt;Career_History!D48,0,MIN(A292,Career_History!E48)-Career_History!D48+1),0),IF(Career_History!H49=TRUE,IF(A292&lt;Career_History!D49,0,MIN(A292,Career_History!E49)-Career_History!D49+1),0))/365.2425</f>
        <v>13.664893871879642</v>
      </c>
      <c r="AX292" s="9">
        <f>SUM(IF(Career_History!G50=TRUE,IF(A292&lt;Career_History!D50,0,MIN(A292,Career_History!E50)-Career_History!D50+1),0),IF(Career_History!G51=TRUE,IF(A292&lt;Career_History!D51,0,MIN(A292,Career_History!E51)-Career_History!D51+1),0),IF(Career_History!G52=TRUE,IF(A292&lt;Career_History!D52,0,MIN(A292,Career_History!E52)-Career_History!D52+1),0))/365.2425</f>
        <v>23.66646816840866</v>
      </c>
      <c r="AY292" s="9">
        <f>SUM(IF(Career_History!I50=TRUE,IF(A292&lt;Career_History!D50,0,MIN(A292,Career_History!E50)-Career_History!D50+1),0),IF(Career_History!I51=TRUE,IF(A292&lt;Career_History!D51,0,MIN(A292,Career_History!E51)-Career_History!D51+1),0),IF(Career_History!I52=TRUE,IF(A292&lt;Career_History!D52,0,MIN(A292,Career_History!E52)-Career_History!D52+1),0))/365.2425</f>
        <v>8.4875117216643731E-2</v>
      </c>
      <c r="AZ292" s="9">
        <f>SUM(IF(Career_History!H50=TRUE,IF(A292&lt;Career_History!D50,0,MIN(A292,Career_History!E50)-Career_History!D50+1),0),IF(Career_History!H51=TRUE,IF(A292&lt;Career_History!D51,0,MIN(A292,Career_History!E51)-Career_History!D51+1),0),IF(Career_History!H52=TRUE,IF(A292&lt;Career_History!D52,0,MIN(A292,Career_History!E52)-Career_History!D52+1),0))/365.2425</f>
        <v>0.16153651341232195</v>
      </c>
      <c r="BA292" s="9">
        <f>SUM(IF(Career_History!G53=TRUE,IF(A292&lt;Career_History!D53,0,MIN(A292,Career_History!E53)-Career_History!D53+1),0),IF(Career_History!G54=TRUE,IF(A292&lt;Career_History!D54,0,MIN(A292,Career_History!E54)-Career_History!D54+1),0),IF(Career_History!G55=TRUE,IF(A292&lt;Career_History!D55,0,MIN(A292,Career_History!E55)-Career_History!D55+1),0),IF(Career_History!G56=TRUE,IF(A292&lt;Career_History!D56,0,MIN(A292,Career_History!E56)-Career_History!D56+1),0),IF(Career_History!G57=TRUE,IF(A292&lt;Career_History!D57,0,MIN(A292,Career_History!E57)-Career_History!D57+1),0))/365.2425</f>
        <v>42.664804889901916</v>
      </c>
      <c r="BB292" s="9">
        <f>SUM(IF(Career_History!I53=TRUE,IF(A292&lt;Career_History!D53,0,MIN(A292,Career_History!E53)-Career_History!D53+1),0),IF(Career_History!I54=TRUE,IF(A292&lt;Career_History!D54,0,MIN(A292,Career_History!E54)-Career_History!D54+1),0),IF(Career_History!I55=TRUE,IF(A292&lt;Career_History!D55,0,MIN(A292,Career_History!E55)-Career_History!D55+1),0),IF(Career_History!I56=TRUE,IF(A292&lt;Career_History!D56,0,MIN(A292,Career_History!E56)-Career_History!D56+1),0),IF(Career_History!I57=TRUE,IF(A292&lt;Career_History!D57,0,MIN(A292,Career_History!E57)-Career_History!D57+1),0))/365.2425</f>
        <v>0</v>
      </c>
      <c r="BC292" s="9">
        <f>SUM(IF(Career_History!H53=TRUE,IF(A292&lt;Career_History!D53,0,MIN(A292,Career_History!E53)-Career_History!D53+1),0),IF(Career_History!H54=TRUE,IF(A292&lt;Career_History!D54,0,MIN(A292,Career_History!E54)-Career_History!D54+1),0),IF(Career_History!H55=TRUE,IF(A292&lt;Career_History!D55,0,MIN(A292,Career_History!E55)-Career_History!D55+1),0),IF(Career_History!H56=TRUE,IF(A292&lt;Career_History!D56,0,MIN(A292,Career_History!E56)-Career_History!D56+1),0),IF(Career_History!H57=TRUE,IF(A292&lt;Career_History!D57,0,MIN(A292,Career_History!E57)-Career_History!D57+1),0))/365.2425</f>
        <v>42.664804889901916</v>
      </c>
      <c r="BD292" s="9"/>
      <c r="BE292" s="9"/>
      <c r="BF292" s="9"/>
      <c r="BG292" s="9"/>
      <c r="BH292" s="9"/>
      <c r="BI292" s="9"/>
      <c r="BJ292" s="9"/>
      <c r="BK292" s="9"/>
      <c r="BL292" s="9"/>
      <c r="BM292" s="9"/>
      <c r="BN292" s="9"/>
      <c r="BO292" s="9"/>
    </row>
    <row r="293" spans="1:67">
      <c r="A293" s="8">
        <v>43555</v>
      </c>
      <c r="B293" s="9">
        <f t="shared" si="12"/>
        <v>32.750296036195131</v>
      </c>
      <c r="C293" s="9">
        <f t="shared" si="13"/>
        <v>4.2338993956070281</v>
      </c>
      <c r="D293" s="9">
        <f t="shared" si="14"/>
        <v>23.631970540120605</v>
      </c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>
        <f>SUM(IF(Career_History!G41=TRUE,IF(A293&lt;Career_History!D41,0,MIN(A293,Career_History!E41)-Career_History!D41+1),0),IF(Career_History!G42=TRUE,IF(A293&lt;Career_History!D42,0,MIN(A293,Career_History!E42)-Career_History!D42+1),0))/365.2425</f>
        <v>38.749597869908349</v>
      </c>
      <c r="AP293" s="9">
        <f>SUM(IF(Career_History!I41=TRUE,IF(A293&lt;Career_History!D41,0,MIN(A293,Career_History!E41)-Career_History!D41+1),0),IF(Career_History!I42=TRUE,IF(A293&lt;Career_History!D42,0,MIN(A293,Career_History!E42)-Career_History!D42+1),0))/365.2425</f>
        <v>0</v>
      </c>
      <c r="AQ293" s="9">
        <f>SUM(IF(Career_History!H41=TRUE,IF(A293&lt;Career_History!D41,0,MIN(A293,Career_History!E41)-Career_History!D41+1),0),IF(Career_History!H42=TRUE,IF(A293&lt;Career_History!D42,0,MIN(A293,Career_History!E42)-Career_History!D42+1),0))/365.2425</f>
        <v>38.749597869908349</v>
      </c>
      <c r="AR293" s="9">
        <f>SUM(IF(Career_History!G43=TRUE,IF(A293&lt;Career_History!D43,0,MIN(A293,Career_History!E43)-Career_History!D43+1),0),IF(Career_History!G44=TRUE,IF(A293&lt;Career_History!D44,0,MIN(A293,Career_History!E44)-Career_History!D44+1),0),IF(Career_History!G45=TRUE,IF(A293&lt;Career_History!D45,0,MIN(A293,Career_History!E45)-Career_History!D45+1),0),IF(Career_History!G46=TRUE,IF(A293&lt;Career_History!D46,0,MIN(A293,Career_History!E46)-Career_History!D46+1),0))/365.2425</f>
        <v>27.751425422835514</v>
      </c>
      <c r="AS293" s="9">
        <f>SUM(IF(Career_History!I43=TRUE,IF(A293&lt;Career_History!D43,0,MIN(A293,Career_History!E43)-Career_History!D43+1),0),IF(Career_History!I44=TRUE,IF(A293&lt;Career_History!D44,0,MIN(A293,Career_History!E44)-Career_History!D44+1),0),IF(Career_History!I45=TRUE,IF(A293&lt;Career_History!D45,0,MIN(A293,Career_History!E45)-Career_History!D45+1),0),IF(Career_History!I46=TRUE,IF(A293&lt;Career_History!D46,0,MIN(A293,Career_History!E46)-Career_History!D46+1),0))/365.2425</f>
        <v>4.0849572544268531</v>
      </c>
      <c r="AT293" s="9">
        <f>SUM(IF(Career_History!H43=TRUE,IF(A293&lt;Career_History!D43,0,MIN(A293,Career_History!E43)-Career_History!D43+1),0),IF(Career_History!H44=TRUE,IF(A293&lt;Career_History!D44,0,MIN(A293,Career_History!E44)-Career_History!D44+1),0),IF(Career_History!H45=TRUE,IF(A293&lt;Career_History!D45,0,MIN(A293,Career_History!E45)-Career_History!D45+1),0),IF(Career_History!H46=TRUE,IF(A293&lt;Career_History!D46,0,MIN(A293,Career_History!E46)-Career_History!D46+1),0))/365.2425</f>
        <v>22.664394203850865</v>
      </c>
      <c r="AU293" s="9">
        <f>SUM(IF(Career_History!G47=TRUE,IF(A293&lt;Career_History!D47,0,MIN(A293,Career_History!E47)-Career_History!D47+1),0),IF(Career_History!G48=TRUE,IF(A293&lt;Career_History!D48,0,MIN(A293,Career_History!E48)-Career_History!D48+1),0),IF(Career_History!G49=TRUE,IF(A293&lt;Career_History!D49,0,MIN(A293,Career_History!E49)-Career_History!D49+1),0))/365.2425</f>
        <v>30.749433595487929</v>
      </c>
      <c r="AV293" s="9">
        <f>SUM(IF(Career_History!I47=TRUE,IF(A293&lt;Career_History!D47,0,MIN(A293,Career_History!E47)-Career_History!D47+1),0),IF(Career_History!I48=TRUE,IF(A293&lt;Career_History!D48,0,MIN(A293,Career_History!E48)-Career_History!D48+1),0),IF(Career_History!I49=TRUE,IF(A293&lt;Career_History!D49,0,MIN(A293,Career_History!E49)-Career_History!D49+1),0))/365.2425</f>
        <v>16.999664606391644</v>
      </c>
      <c r="AW293" s="9">
        <f>SUM(IF(Career_History!H47=TRUE,IF(A293&lt;Career_History!D47,0,MIN(A293,Career_History!E47)-Career_History!D47+1),0),IF(Career_History!H48=TRUE,IF(A293&lt;Career_History!D48,0,MIN(A293,Career_History!E48)-Career_History!D48+1),0),IF(Career_History!H49=TRUE,IF(A293&lt;Career_History!D49,0,MIN(A293,Career_History!E49)-Career_History!D49+1),0))/365.2425</f>
        <v>13.749768989096285</v>
      </c>
      <c r="AX293" s="9">
        <f>SUM(IF(Career_History!G50=TRUE,IF(A293&lt;Career_History!D50,0,MIN(A293,Career_History!E50)-Career_History!D50+1),0),IF(Career_History!G51=TRUE,IF(A293&lt;Career_History!D51,0,MIN(A293,Career_History!E51)-Career_History!D51+1),0),IF(Career_History!G52=TRUE,IF(A293&lt;Career_History!D52,0,MIN(A293,Career_History!E52)-Career_History!D52+1),0))/365.2425</f>
        <v>23.751343285625303</v>
      </c>
      <c r="AY293" s="9">
        <f>SUM(IF(Career_History!I50=TRUE,IF(A293&lt;Career_History!D50,0,MIN(A293,Career_History!E50)-Career_History!D50+1),0),IF(Career_History!I51=TRUE,IF(A293&lt;Career_History!D51,0,MIN(A293,Career_History!E51)-Career_History!D51+1),0),IF(Career_History!I52=TRUE,IF(A293&lt;Career_History!D52,0,MIN(A293,Career_History!E52)-Career_History!D52+1),0))/365.2425</f>
        <v>8.4875117216643731E-2</v>
      </c>
      <c r="AZ293" s="9">
        <f>SUM(IF(Career_History!H50=TRUE,IF(A293&lt;Career_History!D50,0,MIN(A293,Career_History!E50)-Career_History!D50+1),0),IF(Career_History!H51=TRUE,IF(A293&lt;Career_History!D51,0,MIN(A293,Career_History!E51)-Career_History!D51+1),0),IF(Career_History!H52=TRUE,IF(A293&lt;Career_History!D52,0,MIN(A293,Career_History!E52)-Career_History!D52+1),0))/365.2425</f>
        <v>0.24641163062896568</v>
      </c>
      <c r="BA293" s="9">
        <f>SUM(IF(Career_History!G53=TRUE,IF(A293&lt;Career_History!D53,0,MIN(A293,Career_History!E53)-Career_History!D53+1),0),IF(Career_History!G54=TRUE,IF(A293&lt;Career_History!D54,0,MIN(A293,Career_History!E54)-Career_History!D54+1),0),IF(Career_History!G55=TRUE,IF(A293&lt;Career_History!D55,0,MIN(A293,Career_History!E55)-Career_History!D55+1),0),IF(Career_History!G56=TRUE,IF(A293&lt;Career_History!D56,0,MIN(A293,Career_History!E56)-Career_History!D56+1),0),IF(Career_History!G57=TRUE,IF(A293&lt;Career_History!D57,0,MIN(A293,Career_History!E57)-Career_History!D57+1),0))/365.2425</f>
        <v>42.749680007118556</v>
      </c>
      <c r="BB293" s="9">
        <f>SUM(IF(Career_History!I53=TRUE,IF(A293&lt;Career_History!D53,0,MIN(A293,Career_History!E53)-Career_History!D53+1),0),IF(Career_History!I54=TRUE,IF(A293&lt;Career_History!D54,0,MIN(A293,Career_History!E54)-Career_History!D54+1),0),IF(Career_History!I55=TRUE,IF(A293&lt;Career_History!D55,0,MIN(A293,Career_History!E55)-Career_History!D55+1),0),IF(Career_History!I56=TRUE,IF(A293&lt;Career_History!D56,0,MIN(A293,Career_History!E56)-Career_History!D56+1),0),IF(Career_History!I57=TRUE,IF(A293&lt;Career_History!D57,0,MIN(A293,Career_History!E57)-Career_History!D57+1),0))/365.2425</f>
        <v>0</v>
      </c>
      <c r="BC293" s="9">
        <f>SUM(IF(Career_History!H53=TRUE,IF(A293&lt;Career_History!D53,0,MIN(A293,Career_History!E53)-Career_History!D53+1),0),IF(Career_History!H54=TRUE,IF(A293&lt;Career_History!D54,0,MIN(A293,Career_History!E54)-Career_History!D54+1),0),IF(Career_History!H55=TRUE,IF(A293&lt;Career_History!D55,0,MIN(A293,Career_History!E55)-Career_History!D55+1),0),IF(Career_History!H56=TRUE,IF(A293&lt;Career_History!D56,0,MIN(A293,Career_History!E56)-Career_History!D56+1),0),IF(Career_History!H57=TRUE,IF(A293&lt;Career_History!D57,0,MIN(A293,Career_History!E57)-Career_History!D57+1),0))/365.2425</f>
        <v>42.749680007118556</v>
      </c>
      <c r="BD293" s="9"/>
      <c r="BE293" s="9"/>
      <c r="BF293" s="9"/>
      <c r="BG293" s="9"/>
      <c r="BH293" s="9"/>
      <c r="BI293" s="9"/>
      <c r="BJ293" s="9"/>
      <c r="BK293" s="9"/>
      <c r="BL293" s="9"/>
      <c r="BM293" s="9"/>
      <c r="BN293" s="9"/>
      <c r="BO293" s="9"/>
    </row>
    <row r="294" spans="1:67">
      <c r="A294" s="8">
        <v>43585</v>
      </c>
      <c r="B294" s="9">
        <f t="shared" si="12"/>
        <v>32.83243324640479</v>
      </c>
      <c r="C294" s="9">
        <f t="shared" si="13"/>
        <v>4.2338993956070281</v>
      </c>
      <c r="D294" s="9">
        <f t="shared" si="14"/>
        <v>23.71410775033026</v>
      </c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>
        <f>SUM(IF(Career_History!G41=TRUE,IF(A294&lt;Career_History!D41,0,MIN(A294,Career_History!E41)-Career_History!D41+1),0),IF(Career_History!G42=TRUE,IF(A294&lt;Career_History!D42,0,MIN(A294,Career_History!E42)-Career_History!D42+1),0))/365.2425</f>
        <v>38.831735080118001</v>
      </c>
      <c r="AP294" s="9">
        <f>SUM(IF(Career_History!I41=TRUE,IF(A294&lt;Career_History!D41,0,MIN(A294,Career_History!E41)-Career_History!D41+1),0),IF(Career_History!I42=TRUE,IF(A294&lt;Career_History!D42,0,MIN(A294,Career_History!E42)-Career_History!D42+1),0))/365.2425</f>
        <v>0</v>
      </c>
      <c r="AQ294" s="9">
        <f>SUM(IF(Career_History!H41=TRUE,IF(A294&lt;Career_History!D41,0,MIN(A294,Career_History!E41)-Career_History!D41+1),0),IF(Career_History!H42=TRUE,IF(A294&lt;Career_History!D42,0,MIN(A294,Career_History!E42)-Career_History!D42+1),0))/365.2425</f>
        <v>38.831735080118001</v>
      </c>
      <c r="AR294" s="9">
        <f>SUM(IF(Career_History!G43=TRUE,IF(A294&lt;Career_History!D43,0,MIN(A294,Career_History!E43)-Career_History!D43+1),0),IF(Career_History!G44=TRUE,IF(A294&lt;Career_History!D44,0,MIN(A294,Career_History!E44)-Career_History!D44+1),0),IF(Career_History!G45=TRUE,IF(A294&lt;Career_History!D45,0,MIN(A294,Career_History!E45)-Career_History!D45+1),0),IF(Career_History!G46=TRUE,IF(A294&lt;Career_History!D46,0,MIN(A294,Career_History!E46)-Career_History!D46+1),0))/365.2425</f>
        <v>27.833562633045169</v>
      </c>
      <c r="AS294" s="9">
        <f>SUM(IF(Career_History!I43=TRUE,IF(A294&lt;Career_History!D43,0,MIN(A294,Career_History!E43)-Career_History!D43+1),0),IF(Career_History!I44=TRUE,IF(A294&lt;Career_History!D44,0,MIN(A294,Career_History!E44)-Career_History!D44+1),0),IF(Career_History!I45=TRUE,IF(A294&lt;Career_History!D45,0,MIN(A294,Career_History!E45)-Career_History!D45+1),0),IF(Career_History!I46=TRUE,IF(A294&lt;Career_History!D46,0,MIN(A294,Career_History!E46)-Career_History!D46+1),0))/365.2425</f>
        <v>4.0849572544268531</v>
      </c>
      <c r="AT294" s="9">
        <f>SUM(IF(Career_History!H43=TRUE,IF(A294&lt;Career_History!D43,0,MIN(A294,Career_History!E43)-Career_History!D43+1),0),IF(Career_History!H44=TRUE,IF(A294&lt;Career_History!D44,0,MIN(A294,Career_History!E44)-Career_History!D44+1),0),IF(Career_History!H45=TRUE,IF(A294&lt;Career_History!D45,0,MIN(A294,Career_History!E45)-Career_History!D45+1),0),IF(Career_History!H46=TRUE,IF(A294&lt;Career_History!D46,0,MIN(A294,Career_History!E46)-Career_History!D46+1),0))/365.2425</f>
        <v>22.74653141406052</v>
      </c>
      <c r="AU294" s="9">
        <f>SUM(IF(Career_History!G47=TRUE,IF(A294&lt;Career_History!D47,0,MIN(A294,Career_History!E47)-Career_History!D47+1),0),IF(Career_History!G48=TRUE,IF(A294&lt;Career_History!D48,0,MIN(A294,Career_History!E48)-Career_History!D48+1),0),IF(Career_History!G49=TRUE,IF(A294&lt;Career_History!D49,0,MIN(A294,Career_History!E49)-Career_History!D49+1),0))/365.2425</f>
        <v>30.831570805697584</v>
      </c>
      <c r="AV294" s="9">
        <f>SUM(IF(Career_History!I47=TRUE,IF(A294&lt;Career_History!D47,0,MIN(A294,Career_History!E47)-Career_History!D47+1),0),IF(Career_History!I48=TRUE,IF(A294&lt;Career_History!D48,0,MIN(A294,Career_History!E48)-Career_History!D48+1),0),IF(Career_History!I49=TRUE,IF(A294&lt;Career_History!D49,0,MIN(A294,Career_History!E49)-Career_History!D49+1),0))/365.2425</f>
        <v>16.999664606391644</v>
      </c>
      <c r="AW294" s="9">
        <f>SUM(IF(Career_History!H47=TRUE,IF(A294&lt;Career_History!D47,0,MIN(A294,Career_History!E47)-Career_History!D47+1),0),IF(Career_History!H48=TRUE,IF(A294&lt;Career_History!D48,0,MIN(A294,Career_History!E48)-Career_History!D48+1),0),IF(Career_History!H49=TRUE,IF(A294&lt;Career_History!D49,0,MIN(A294,Career_History!E49)-Career_History!D49+1),0))/365.2425</f>
        <v>13.831906199305941</v>
      </c>
      <c r="AX294" s="9">
        <f>SUM(IF(Career_History!G50=TRUE,IF(A294&lt;Career_History!D50,0,MIN(A294,Career_History!E50)-Career_History!D50+1),0),IF(Career_History!G51=TRUE,IF(A294&lt;Career_History!D51,0,MIN(A294,Career_History!E51)-Career_History!D51+1),0),IF(Career_History!G52=TRUE,IF(A294&lt;Career_History!D52,0,MIN(A294,Career_History!E52)-Career_History!D52+1),0))/365.2425</f>
        <v>23.833480495834959</v>
      </c>
      <c r="AY294" s="9">
        <f>SUM(IF(Career_History!I50=TRUE,IF(A294&lt;Career_History!D50,0,MIN(A294,Career_History!E50)-Career_History!D50+1),0),IF(Career_History!I51=TRUE,IF(A294&lt;Career_History!D51,0,MIN(A294,Career_History!E51)-Career_History!D51+1),0),IF(Career_History!I52=TRUE,IF(A294&lt;Career_History!D52,0,MIN(A294,Career_History!E52)-Career_History!D52+1),0))/365.2425</f>
        <v>8.4875117216643731E-2</v>
      </c>
      <c r="AZ294" s="9">
        <f>SUM(IF(Career_History!H50=TRUE,IF(A294&lt;Career_History!D50,0,MIN(A294,Career_History!E50)-Career_History!D50+1),0),IF(Career_History!H51=TRUE,IF(A294&lt;Career_History!D51,0,MIN(A294,Career_History!E51)-Career_History!D51+1),0),IF(Career_History!H52=TRUE,IF(A294&lt;Career_History!D52,0,MIN(A294,Career_History!E52)-Career_History!D52+1),0))/365.2425</f>
        <v>0.3285488408386209</v>
      </c>
      <c r="BA294" s="9">
        <f>SUM(IF(Career_History!G53=TRUE,IF(A294&lt;Career_History!D53,0,MIN(A294,Career_History!E53)-Career_History!D53+1),0),IF(Career_History!G54=TRUE,IF(A294&lt;Career_History!D54,0,MIN(A294,Career_History!E54)-Career_History!D54+1),0),IF(Career_History!G55=TRUE,IF(A294&lt;Career_History!D55,0,MIN(A294,Career_History!E55)-Career_History!D55+1),0),IF(Career_History!G56=TRUE,IF(A294&lt;Career_History!D56,0,MIN(A294,Career_History!E56)-Career_History!D56+1),0),IF(Career_History!G57=TRUE,IF(A294&lt;Career_History!D57,0,MIN(A294,Career_History!E57)-Career_History!D57+1),0))/365.2425</f>
        <v>42.831817217328215</v>
      </c>
      <c r="BB294" s="9">
        <f>SUM(IF(Career_History!I53=TRUE,IF(A294&lt;Career_History!D53,0,MIN(A294,Career_History!E53)-Career_History!D53+1),0),IF(Career_History!I54=TRUE,IF(A294&lt;Career_History!D54,0,MIN(A294,Career_History!E54)-Career_History!D54+1),0),IF(Career_History!I55=TRUE,IF(A294&lt;Career_History!D55,0,MIN(A294,Career_History!E55)-Career_History!D55+1),0),IF(Career_History!I56=TRUE,IF(A294&lt;Career_History!D56,0,MIN(A294,Career_History!E56)-Career_History!D56+1),0),IF(Career_History!I57=TRUE,IF(A294&lt;Career_History!D57,0,MIN(A294,Career_History!E57)-Career_History!D57+1),0))/365.2425</f>
        <v>0</v>
      </c>
      <c r="BC294" s="9">
        <f>SUM(IF(Career_History!H53=TRUE,IF(A294&lt;Career_History!D53,0,MIN(A294,Career_History!E53)-Career_History!D53+1),0),IF(Career_History!H54=TRUE,IF(A294&lt;Career_History!D54,0,MIN(A294,Career_History!E54)-Career_History!D54+1),0),IF(Career_History!H55=TRUE,IF(A294&lt;Career_History!D55,0,MIN(A294,Career_History!E55)-Career_History!D55+1),0),IF(Career_History!H56=TRUE,IF(A294&lt;Career_History!D56,0,MIN(A294,Career_History!E56)-Career_History!D56+1),0),IF(Career_History!H57=TRUE,IF(A294&lt;Career_History!D57,0,MIN(A294,Career_History!E57)-Career_History!D57+1),0))/365.2425</f>
        <v>42.831817217328215</v>
      </c>
      <c r="BD294" s="9"/>
      <c r="BE294" s="9"/>
      <c r="BF294" s="9"/>
      <c r="BG294" s="9"/>
      <c r="BH294" s="9"/>
      <c r="BI294" s="9"/>
      <c r="BJ294" s="9"/>
      <c r="BK294" s="9"/>
      <c r="BL294" s="9"/>
      <c r="BM294" s="9"/>
      <c r="BN294" s="9"/>
      <c r="BO294" s="9"/>
    </row>
    <row r="295" spans="1:67">
      <c r="A295" s="8">
        <v>43616</v>
      </c>
      <c r="B295" s="9">
        <f t="shared" si="12"/>
        <v>32.91730836362143</v>
      </c>
      <c r="C295" s="9">
        <f t="shared" si="13"/>
        <v>4.2338993956070281</v>
      </c>
      <c r="D295" s="9">
        <f t="shared" si="14"/>
        <v>23.798982867546904</v>
      </c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>
        <f>SUM(IF(Career_History!G41=TRUE,IF(A295&lt;Career_History!D41,0,MIN(A295,Career_History!E41)-Career_History!D41+1),0),IF(Career_History!G42=TRUE,IF(A295&lt;Career_History!D42,0,MIN(A295,Career_History!E42)-Career_History!D42+1),0))/365.2425</f>
        <v>38.916610197334649</v>
      </c>
      <c r="AP295" s="9">
        <f>SUM(IF(Career_History!I41=TRUE,IF(A295&lt;Career_History!D41,0,MIN(A295,Career_History!E41)-Career_History!D41+1),0),IF(Career_History!I42=TRUE,IF(A295&lt;Career_History!D42,0,MIN(A295,Career_History!E42)-Career_History!D42+1),0))/365.2425</f>
        <v>0</v>
      </c>
      <c r="AQ295" s="9">
        <f>SUM(IF(Career_History!H41=TRUE,IF(A295&lt;Career_History!D41,0,MIN(A295,Career_History!E41)-Career_History!D41+1),0),IF(Career_History!H42=TRUE,IF(A295&lt;Career_History!D42,0,MIN(A295,Career_History!E42)-Career_History!D42+1),0))/365.2425</f>
        <v>38.916610197334649</v>
      </c>
      <c r="AR295" s="9">
        <f>SUM(IF(Career_History!G43=TRUE,IF(A295&lt;Career_History!D43,0,MIN(A295,Career_History!E43)-Career_History!D43+1),0),IF(Career_History!G44=TRUE,IF(A295&lt;Career_History!D44,0,MIN(A295,Career_History!E44)-Career_History!D44+1),0),IF(Career_History!G45=TRUE,IF(A295&lt;Career_History!D45,0,MIN(A295,Career_History!E45)-Career_History!D45+1),0),IF(Career_History!G46=TRUE,IF(A295&lt;Career_History!D46,0,MIN(A295,Career_History!E46)-Career_History!D46+1),0))/365.2425</f>
        <v>27.918437750261813</v>
      </c>
      <c r="AS295" s="9">
        <f>SUM(IF(Career_History!I43=TRUE,IF(A295&lt;Career_History!D43,0,MIN(A295,Career_History!E43)-Career_History!D43+1),0),IF(Career_History!I44=TRUE,IF(A295&lt;Career_History!D44,0,MIN(A295,Career_History!E44)-Career_History!D44+1),0),IF(Career_History!I45=TRUE,IF(A295&lt;Career_History!D45,0,MIN(A295,Career_History!E45)-Career_History!D45+1),0),IF(Career_History!I46=TRUE,IF(A295&lt;Career_History!D46,0,MIN(A295,Career_History!E46)-Career_History!D46+1),0))/365.2425</f>
        <v>4.0849572544268531</v>
      </c>
      <c r="AT295" s="9">
        <f>SUM(IF(Career_History!H43=TRUE,IF(A295&lt;Career_History!D43,0,MIN(A295,Career_History!E43)-Career_History!D43+1),0),IF(Career_History!H44=TRUE,IF(A295&lt;Career_History!D44,0,MIN(A295,Career_History!E44)-Career_History!D44+1),0),IF(Career_History!H45=TRUE,IF(A295&lt;Career_History!D45,0,MIN(A295,Career_History!E45)-Career_History!D45+1),0),IF(Career_History!H46=TRUE,IF(A295&lt;Career_History!D46,0,MIN(A295,Career_History!E46)-Career_History!D46+1),0))/365.2425</f>
        <v>22.831406531277164</v>
      </c>
      <c r="AU295" s="9">
        <f>SUM(IF(Career_History!G47=TRUE,IF(A295&lt;Career_History!D47,0,MIN(A295,Career_History!E47)-Career_History!D47+1),0),IF(Career_History!G48=TRUE,IF(A295&lt;Career_History!D48,0,MIN(A295,Career_History!E48)-Career_History!D48+1),0),IF(Career_History!G49=TRUE,IF(A295&lt;Career_History!D49,0,MIN(A295,Career_History!E49)-Career_History!D49+1),0))/365.2425</f>
        <v>30.916445922914228</v>
      </c>
      <c r="AV295" s="9">
        <f>SUM(IF(Career_History!I47=TRUE,IF(A295&lt;Career_History!D47,0,MIN(A295,Career_History!E47)-Career_History!D47+1),0),IF(Career_History!I48=TRUE,IF(A295&lt;Career_History!D48,0,MIN(A295,Career_History!E48)-Career_History!D48+1),0),IF(Career_History!I49=TRUE,IF(A295&lt;Career_History!D49,0,MIN(A295,Career_History!E49)-Career_History!D49+1),0))/365.2425</f>
        <v>16.999664606391644</v>
      </c>
      <c r="AW295" s="9">
        <f>SUM(IF(Career_History!H47=TRUE,IF(A295&lt;Career_History!D47,0,MIN(A295,Career_History!E47)-Career_History!D47+1),0),IF(Career_History!H48=TRUE,IF(A295&lt;Career_History!D48,0,MIN(A295,Career_History!E48)-Career_History!D48+1),0),IF(Career_History!H49=TRUE,IF(A295&lt;Career_History!D49,0,MIN(A295,Career_History!E49)-Career_History!D49+1),0))/365.2425</f>
        <v>13.916781316522584</v>
      </c>
      <c r="AX295" s="9">
        <f>SUM(IF(Career_History!G50=TRUE,IF(A295&lt;Career_History!D50,0,MIN(A295,Career_History!E50)-Career_History!D50+1),0),IF(Career_History!G51=TRUE,IF(A295&lt;Career_History!D51,0,MIN(A295,Career_History!E51)-Career_History!D51+1),0),IF(Career_History!G52=TRUE,IF(A295&lt;Career_History!D52,0,MIN(A295,Career_History!E52)-Career_History!D52+1),0))/365.2425</f>
        <v>23.918355613051602</v>
      </c>
      <c r="AY295" s="9">
        <f>SUM(IF(Career_History!I50=TRUE,IF(A295&lt;Career_History!D50,0,MIN(A295,Career_History!E50)-Career_History!D50+1),0),IF(Career_History!I51=TRUE,IF(A295&lt;Career_History!D51,0,MIN(A295,Career_History!E51)-Career_History!D51+1),0),IF(Career_History!I52=TRUE,IF(A295&lt;Career_History!D52,0,MIN(A295,Career_History!E52)-Career_History!D52+1),0))/365.2425</f>
        <v>8.4875117216643731E-2</v>
      </c>
      <c r="AZ295" s="9">
        <f>SUM(IF(Career_History!H50=TRUE,IF(A295&lt;Career_History!D50,0,MIN(A295,Career_History!E50)-Career_History!D50+1),0),IF(Career_History!H51=TRUE,IF(A295&lt;Career_History!D51,0,MIN(A295,Career_History!E51)-Career_History!D51+1),0),IF(Career_History!H52=TRUE,IF(A295&lt;Career_History!D52,0,MIN(A295,Career_History!E52)-Career_History!D52+1),0))/365.2425</f>
        <v>0.41342395805526466</v>
      </c>
      <c r="BA295" s="9">
        <f>SUM(IF(Career_History!G53=TRUE,IF(A295&lt;Career_History!D53,0,MIN(A295,Career_History!E53)-Career_History!D53+1),0),IF(Career_History!G54=TRUE,IF(A295&lt;Career_History!D54,0,MIN(A295,Career_History!E54)-Career_History!D54+1),0),IF(Career_History!G55=TRUE,IF(A295&lt;Career_History!D55,0,MIN(A295,Career_History!E55)-Career_History!D55+1),0),IF(Career_History!G56=TRUE,IF(A295&lt;Career_History!D56,0,MIN(A295,Career_History!E56)-Career_History!D56+1),0),IF(Career_History!G57=TRUE,IF(A295&lt;Career_History!D57,0,MIN(A295,Career_History!E57)-Career_History!D57+1),0))/365.2425</f>
        <v>42.916692334544855</v>
      </c>
      <c r="BB295" s="9">
        <f>SUM(IF(Career_History!I53=TRUE,IF(A295&lt;Career_History!D53,0,MIN(A295,Career_History!E53)-Career_History!D53+1),0),IF(Career_History!I54=TRUE,IF(A295&lt;Career_History!D54,0,MIN(A295,Career_History!E54)-Career_History!D54+1),0),IF(Career_History!I55=TRUE,IF(A295&lt;Career_History!D55,0,MIN(A295,Career_History!E55)-Career_History!D55+1),0),IF(Career_History!I56=TRUE,IF(A295&lt;Career_History!D56,0,MIN(A295,Career_History!E56)-Career_History!D56+1),0),IF(Career_History!I57=TRUE,IF(A295&lt;Career_History!D57,0,MIN(A295,Career_History!E57)-Career_History!D57+1),0))/365.2425</f>
        <v>0</v>
      </c>
      <c r="BC295" s="9">
        <f>SUM(IF(Career_History!H53=TRUE,IF(A295&lt;Career_History!D53,0,MIN(A295,Career_History!E53)-Career_History!D53+1),0),IF(Career_History!H54=TRUE,IF(A295&lt;Career_History!D54,0,MIN(A295,Career_History!E54)-Career_History!D54+1),0),IF(Career_History!H55=TRUE,IF(A295&lt;Career_History!D55,0,MIN(A295,Career_History!E55)-Career_History!D55+1),0),IF(Career_History!H56=TRUE,IF(A295&lt;Career_History!D56,0,MIN(A295,Career_History!E56)-Career_History!D56+1),0),IF(Career_History!H57=TRUE,IF(A295&lt;Career_History!D57,0,MIN(A295,Career_History!E57)-Career_History!D57+1),0))/365.2425</f>
        <v>42.916692334544855</v>
      </c>
      <c r="BD295" s="9"/>
      <c r="BE295" s="9"/>
      <c r="BF295" s="9"/>
      <c r="BG295" s="9"/>
      <c r="BH295" s="9"/>
      <c r="BI295" s="9"/>
      <c r="BJ295" s="9"/>
      <c r="BK295" s="9"/>
      <c r="BL295" s="9"/>
      <c r="BM295" s="9"/>
      <c r="BN295" s="9"/>
      <c r="BO295" s="9"/>
    </row>
    <row r="296" spans="1:67">
      <c r="A296" s="8">
        <v>43646</v>
      </c>
      <c r="B296" s="9">
        <f t="shared" si="12"/>
        <v>32.999445573831089</v>
      </c>
      <c r="C296" s="9">
        <f t="shared" si="13"/>
        <v>4.2338993956070281</v>
      </c>
      <c r="D296" s="9">
        <f t="shared" si="14"/>
        <v>23.881120077756556</v>
      </c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>
        <f>SUM(IF(Career_History!G41=TRUE,IF(A296&lt;Career_History!D41,0,MIN(A296,Career_History!E41)-Career_History!D41+1),0),IF(Career_History!G42=TRUE,IF(A296&lt;Career_History!D42,0,MIN(A296,Career_History!E42)-Career_History!D42+1),0))/365.2425</f>
        <v>38.9987474075443</v>
      </c>
      <c r="AP296" s="9">
        <f>SUM(IF(Career_History!I41=TRUE,IF(A296&lt;Career_History!D41,0,MIN(A296,Career_History!E41)-Career_History!D41+1),0),IF(Career_History!I42=TRUE,IF(A296&lt;Career_History!D42,0,MIN(A296,Career_History!E42)-Career_History!D42+1),0))/365.2425</f>
        <v>0</v>
      </c>
      <c r="AQ296" s="9">
        <f>SUM(IF(Career_History!H41=TRUE,IF(A296&lt;Career_History!D41,0,MIN(A296,Career_History!E41)-Career_History!D41+1),0),IF(Career_History!H42=TRUE,IF(A296&lt;Career_History!D42,0,MIN(A296,Career_History!E42)-Career_History!D42+1),0))/365.2425</f>
        <v>38.9987474075443</v>
      </c>
      <c r="AR296" s="9">
        <f>SUM(IF(Career_History!G43=TRUE,IF(A296&lt;Career_History!D43,0,MIN(A296,Career_History!E43)-Career_History!D43+1),0),IF(Career_History!G44=TRUE,IF(A296&lt;Career_History!D44,0,MIN(A296,Career_History!E44)-Career_History!D44+1),0),IF(Career_History!G45=TRUE,IF(A296&lt;Career_History!D45,0,MIN(A296,Career_History!E45)-Career_History!D45+1),0),IF(Career_History!G46=TRUE,IF(A296&lt;Career_History!D46,0,MIN(A296,Career_History!E46)-Career_History!D46+1),0))/365.2425</f>
        <v>28.000574960471468</v>
      </c>
      <c r="AS296" s="9">
        <f>SUM(IF(Career_History!I43=TRUE,IF(A296&lt;Career_History!D43,0,MIN(A296,Career_History!E43)-Career_History!D43+1),0),IF(Career_History!I44=TRUE,IF(A296&lt;Career_History!D44,0,MIN(A296,Career_History!E44)-Career_History!D44+1),0),IF(Career_History!I45=TRUE,IF(A296&lt;Career_History!D45,0,MIN(A296,Career_History!E45)-Career_History!D45+1),0),IF(Career_History!I46=TRUE,IF(A296&lt;Career_History!D46,0,MIN(A296,Career_History!E46)-Career_History!D46+1),0))/365.2425</f>
        <v>4.0849572544268531</v>
      </c>
      <c r="AT296" s="9">
        <f>SUM(IF(Career_History!H43=TRUE,IF(A296&lt;Career_History!D43,0,MIN(A296,Career_History!E43)-Career_History!D43+1),0),IF(Career_History!H44=TRUE,IF(A296&lt;Career_History!D44,0,MIN(A296,Career_History!E44)-Career_History!D44+1),0),IF(Career_History!H45=TRUE,IF(A296&lt;Career_History!D45,0,MIN(A296,Career_History!E45)-Career_History!D45+1),0),IF(Career_History!H46=TRUE,IF(A296&lt;Career_History!D46,0,MIN(A296,Career_History!E46)-Career_History!D46+1),0))/365.2425</f>
        <v>22.913543741486819</v>
      </c>
      <c r="AU296" s="9">
        <f>SUM(IF(Career_History!G47=TRUE,IF(A296&lt;Career_History!D47,0,MIN(A296,Career_History!E47)-Career_History!D47+1),0),IF(Career_History!G48=TRUE,IF(A296&lt;Career_History!D48,0,MIN(A296,Career_History!E48)-Career_History!D48+1),0),IF(Career_History!G49=TRUE,IF(A296&lt;Career_History!D49,0,MIN(A296,Career_History!E49)-Career_History!D49+1),0))/365.2425</f>
        <v>30.998583133123883</v>
      </c>
      <c r="AV296" s="9">
        <f>SUM(IF(Career_History!I47=TRUE,IF(A296&lt;Career_History!D47,0,MIN(A296,Career_History!E47)-Career_History!D47+1),0),IF(Career_History!I48=TRUE,IF(A296&lt;Career_History!D48,0,MIN(A296,Career_History!E48)-Career_History!D48+1),0),IF(Career_History!I49=TRUE,IF(A296&lt;Career_History!D49,0,MIN(A296,Career_History!E49)-Career_History!D49+1),0))/365.2425</f>
        <v>16.999664606391644</v>
      </c>
      <c r="AW296" s="9">
        <f>SUM(IF(Career_History!H47=TRUE,IF(A296&lt;Career_History!D47,0,MIN(A296,Career_History!E47)-Career_History!D47+1),0),IF(Career_History!H48=TRUE,IF(A296&lt;Career_History!D48,0,MIN(A296,Career_History!E48)-Career_History!D48+1),0),IF(Career_History!H49=TRUE,IF(A296&lt;Career_History!D49,0,MIN(A296,Career_History!E49)-Career_History!D49+1),0))/365.2425</f>
        <v>13.99891852673224</v>
      </c>
      <c r="AX296" s="9">
        <f>SUM(IF(Career_History!G50=TRUE,IF(A296&lt;Career_History!D50,0,MIN(A296,Career_History!E50)-Career_History!D50+1),0),IF(Career_History!G51=TRUE,IF(A296&lt;Career_History!D51,0,MIN(A296,Career_History!E51)-Career_History!D51+1),0),IF(Career_History!G52=TRUE,IF(A296&lt;Career_History!D52,0,MIN(A296,Career_History!E52)-Career_History!D52+1),0))/365.2425</f>
        <v>24.000492823261258</v>
      </c>
      <c r="AY296" s="9">
        <f>SUM(IF(Career_History!I50=TRUE,IF(A296&lt;Career_History!D50,0,MIN(A296,Career_History!E50)-Career_History!D50+1),0),IF(Career_History!I51=TRUE,IF(A296&lt;Career_History!D51,0,MIN(A296,Career_History!E51)-Career_History!D51+1),0),IF(Career_History!I52=TRUE,IF(A296&lt;Career_History!D52,0,MIN(A296,Career_History!E52)-Career_History!D52+1),0))/365.2425</f>
        <v>8.4875117216643731E-2</v>
      </c>
      <c r="AZ296" s="9">
        <f>SUM(IF(Career_History!H50=TRUE,IF(A296&lt;Career_History!D50,0,MIN(A296,Career_History!E50)-Career_History!D50+1),0),IF(Career_History!H51=TRUE,IF(A296&lt;Career_History!D51,0,MIN(A296,Career_History!E51)-Career_History!D51+1),0),IF(Career_History!H52=TRUE,IF(A296&lt;Career_History!D52,0,MIN(A296,Career_History!E52)-Career_History!D52+1),0))/365.2425</f>
        <v>0.49556116826491986</v>
      </c>
      <c r="BA296" s="9">
        <f>SUM(IF(Career_History!G53=TRUE,IF(A296&lt;Career_History!D53,0,MIN(A296,Career_History!E53)-Career_History!D53+1),0),IF(Career_History!G54=TRUE,IF(A296&lt;Career_History!D54,0,MIN(A296,Career_History!E54)-Career_History!D54+1),0),IF(Career_History!G55=TRUE,IF(A296&lt;Career_History!D55,0,MIN(A296,Career_History!E55)-Career_History!D55+1),0),IF(Career_History!G56=TRUE,IF(A296&lt;Career_History!D56,0,MIN(A296,Career_History!E56)-Career_History!D56+1),0),IF(Career_History!G57=TRUE,IF(A296&lt;Career_History!D57,0,MIN(A296,Career_History!E57)-Career_History!D57+1),0))/365.2425</f>
        <v>42.998829544754514</v>
      </c>
      <c r="BB296" s="9">
        <f>SUM(IF(Career_History!I53=TRUE,IF(A296&lt;Career_History!D53,0,MIN(A296,Career_History!E53)-Career_History!D53+1),0),IF(Career_History!I54=TRUE,IF(A296&lt;Career_History!D54,0,MIN(A296,Career_History!E54)-Career_History!D54+1),0),IF(Career_History!I55=TRUE,IF(A296&lt;Career_History!D55,0,MIN(A296,Career_History!E55)-Career_History!D55+1),0),IF(Career_History!I56=TRUE,IF(A296&lt;Career_History!D56,0,MIN(A296,Career_History!E56)-Career_History!D56+1),0),IF(Career_History!I57=TRUE,IF(A296&lt;Career_History!D57,0,MIN(A296,Career_History!E57)-Career_History!D57+1),0))/365.2425</f>
        <v>0</v>
      </c>
      <c r="BC296" s="9">
        <f>SUM(IF(Career_History!H53=TRUE,IF(A296&lt;Career_History!D53,0,MIN(A296,Career_History!E53)-Career_History!D53+1),0),IF(Career_History!H54=TRUE,IF(A296&lt;Career_History!D54,0,MIN(A296,Career_History!E54)-Career_History!D54+1),0),IF(Career_History!H55=TRUE,IF(A296&lt;Career_History!D55,0,MIN(A296,Career_History!E55)-Career_History!D55+1),0),IF(Career_History!H56=TRUE,IF(A296&lt;Career_History!D56,0,MIN(A296,Career_History!E56)-Career_History!D56+1),0),IF(Career_History!H57=TRUE,IF(A296&lt;Career_History!D57,0,MIN(A296,Career_History!E57)-Career_History!D57+1),0))/365.2425</f>
        <v>42.998829544754514</v>
      </c>
      <c r="BD296" s="9"/>
      <c r="BE296" s="9"/>
      <c r="BF296" s="9"/>
      <c r="BG296" s="9"/>
      <c r="BH296" s="9"/>
      <c r="BI296" s="9"/>
      <c r="BJ296" s="9"/>
      <c r="BK296" s="9"/>
      <c r="BL296" s="9"/>
      <c r="BM296" s="9"/>
      <c r="BN296" s="9"/>
      <c r="BO296" s="9"/>
    </row>
    <row r="297" spans="1:67">
      <c r="A297" s="8">
        <v>43677</v>
      </c>
      <c r="B297" s="9">
        <f t="shared" si="12"/>
        <v>33.084320691047729</v>
      </c>
      <c r="C297" s="9">
        <f t="shared" si="13"/>
        <v>4.2338993956070281</v>
      </c>
      <c r="D297" s="9">
        <f t="shared" si="14"/>
        <v>23.965995194973203</v>
      </c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>
        <f>SUM(IF(Career_History!G41=TRUE,IF(A297&lt;Career_History!D41,0,MIN(A297,Career_History!E41)-Career_History!D41+1),0),IF(Career_History!G42=TRUE,IF(A297&lt;Career_History!D42,0,MIN(A297,Career_History!E42)-Career_History!D42+1),0))/365.2425</f>
        <v>39.083622524760948</v>
      </c>
      <c r="AP297" s="9">
        <f>SUM(IF(Career_History!I41=TRUE,IF(A297&lt;Career_History!D41,0,MIN(A297,Career_History!E41)-Career_History!D41+1),0),IF(Career_History!I42=TRUE,IF(A297&lt;Career_History!D42,0,MIN(A297,Career_History!E42)-Career_History!D42+1),0))/365.2425</f>
        <v>0</v>
      </c>
      <c r="AQ297" s="9">
        <f>SUM(IF(Career_History!H41=TRUE,IF(A297&lt;Career_History!D41,0,MIN(A297,Career_History!E41)-Career_History!D41+1),0),IF(Career_History!H42=TRUE,IF(A297&lt;Career_History!D42,0,MIN(A297,Career_History!E42)-Career_History!D42+1),0))/365.2425</f>
        <v>39.083622524760948</v>
      </c>
      <c r="AR297" s="9">
        <f>SUM(IF(Career_History!G43=TRUE,IF(A297&lt;Career_History!D43,0,MIN(A297,Career_History!E43)-Career_History!D43+1),0),IF(Career_History!G44=TRUE,IF(A297&lt;Career_History!D44,0,MIN(A297,Career_History!E44)-Career_History!D44+1),0),IF(Career_History!G45=TRUE,IF(A297&lt;Career_History!D45,0,MIN(A297,Career_History!E45)-Career_History!D45+1),0),IF(Career_History!G46=TRUE,IF(A297&lt;Career_History!D46,0,MIN(A297,Career_History!E46)-Career_History!D46+1),0))/365.2425</f>
        <v>28.085450077688112</v>
      </c>
      <c r="AS297" s="9">
        <f>SUM(IF(Career_History!I43=TRUE,IF(A297&lt;Career_History!D43,0,MIN(A297,Career_History!E43)-Career_History!D43+1),0),IF(Career_History!I44=TRUE,IF(A297&lt;Career_History!D44,0,MIN(A297,Career_History!E44)-Career_History!D44+1),0),IF(Career_History!I45=TRUE,IF(A297&lt;Career_History!D45,0,MIN(A297,Career_History!E45)-Career_History!D45+1),0),IF(Career_History!I46=TRUE,IF(A297&lt;Career_History!D46,0,MIN(A297,Career_History!E46)-Career_History!D46+1),0))/365.2425</f>
        <v>4.0849572544268531</v>
      </c>
      <c r="AT297" s="9">
        <f>SUM(IF(Career_History!H43=TRUE,IF(A297&lt;Career_History!D43,0,MIN(A297,Career_History!E43)-Career_History!D43+1),0),IF(Career_History!H44=TRUE,IF(A297&lt;Career_History!D44,0,MIN(A297,Career_History!E44)-Career_History!D44+1),0),IF(Career_History!H45=TRUE,IF(A297&lt;Career_History!D45,0,MIN(A297,Career_History!E45)-Career_History!D45+1),0),IF(Career_History!H46=TRUE,IF(A297&lt;Career_History!D46,0,MIN(A297,Career_History!E46)-Career_History!D46+1),0))/365.2425</f>
        <v>22.998418858703463</v>
      </c>
      <c r="AU297" s="9">
        <f>SUM(IF(Career_History!G47=TRUE,IF(A297&lt;Career_History!D47,0,MIN(A297,Career_History!E47)-Career_History!D47+1),0),IF(Career_History!G48=TRUE,IF(A297&lt;Career_History!D48,0,MIN(A297,Career_History!E48)-Career_History!D48+1),0),IF(Career_History!G49=TRUE,IF(A297&lt;Career_History!D49,0,MIN(A297,Career_History!E49)-Career_History!D49+1),0))/365.2425</f>
        <v>31.083458250340527</v>
      </c>
      <c r="AV297" s="9">
        <f>SUM(IF(Career_History!I47=TRUE,IF(A297&lt;Career_History!D47,0,MIN(A297,Career_History!E47)-Career_History!D47+1),0),IF(Career_History!I48=TRUE,IF(A297&lt;Career_History!D48,0,MIN(A297,Career_History!E48)-Career_History!D48+1),0),IF(Career_History!I49=TRUE,IF(A297&lt;Career_History!D49,0,MIN(A297,Career_History!E49)-Career_History!D49+1),0))/365.2425</f>
        <v>16.999664606391644</v>
      </c>
      <c r="AW297" s="9">
        <f>SUM(IF(Career_History!H47=TRUE,IF(A297&lt;Career_History!D47,0,MIN(A297,Career_History!E47)-Career_History!D47+1),0),IF(Career_History!H48=TRUE,IF(A297&lt;Career_History!D48,0,MIN(A297,Career_History!E48)-Career_History!D48+1),0),IF(Career_History!H49=TRUE,IF(A297&lt;Career_History!D49,0,MIN(A297,Career_History!E49)-Career_History!D49+1),0))/365.2425</f>
        <v>14.083793643948884</v>
      </c>
      <c r="AX297" s="9">
        <f>SUM(IF(Career_History!G50=TRUE,IF(A297&lt;Career_History!D50,0,MIN(A297,Career_History!E50)-Career_History!D50+1),0),IF(Career_History!G51=TRUE,IF(A297&lt;Career_History!D51,0,MIN(A297,Career_History!E51)-Career_History!D51+1),0),IF(Career_History!G52=TRUE,IF(A297&lt;Career_History!D52,0,MIN(A297,Career_History!E52)-Career_History!D52+1),0))/365.2425</f>
        <v>24.085367940477902</v>
      </c>
      <c r="AY297" s="9">
        <f>SUM(IF(Career_History!I50=TRUE,IF(A297&lt;Career_History!D50,0,MIN(A297,Career_History!E50)-Career_History!D50+1),0),IF(Career_History!I51=TRUE,IF(A297&lt;Career_History!D51,0,MIN(A297,Career_History!E51)-Career_History!D51+1),0),IF(Career_History!I52=TRUE,IF(A297&lt;Career_History!D52,0,MIN(A297,Career_History!E52)-Career_History!D52+1),0))/365.2425</f>
        <v>8.4875117216643731E-2</v>
      </c>
      <c r="AZ297" s="9">
        <f>SUM(IF(Career_History!H50=TRUE,IF(A297&lt;Career_History!D50,0,MIN(A297,Career_History!E50)-Career_History!D50+1),0),IF(Career_History!H51=TRUE,IF(A297&lt;Career_History!D51,0,MIN(A297,Career_History!E51)-Career_History!D51+1),0),IF(Career_History!H52=TRUE,IF(A297&lt;Career_History!D52,0,MIN(A297,Career_History!E52)-Career_History!D52+1),0))/365.2425</f>
        <v>0.58043628548156356</v>
      </c>
      <c r="BA297" s="9">
        <f>SUM(IF(Career_History!G53=TRUE,IF(A297&lt;Career_History!D53,0,MIN(A297,Career_History!E53)-Career_History!D53+1),0),IF(Career_History!G54=TRUE,IF(A297&lt;Career_History!D54,0,MIN(A297,Career_History!E54)-Career_History!D54+1),0),IF(Career_History!G55=TRUE,IF(A297&lt;Career_History!D55,0,MIN(A297,Career_History!E55)-Career_History!D55+1),0),IF(Career_History!G56=TRUE,IF(A297&lt;Career_History!D56,0,MIN(A297,Career_History!E56)-Career_History!D56+1),0),IF(Career_History!G57=TRUE,IF(A297&lt;Career_History!D57,0,MIN(A297,Career_History!E57)-Career_History!D57+1),0))/365.2425</f>
        <v>43.083704661971154</v>
      </c>
      <c r="BB297" s="9">
        <f>SUM(IF(Career_History!I53=TRUE,IF(A297&lt;Career_History!D53,0,MIN(A297,Career_History!E53)-Career_History!D53+1),0),IF(Career_History!I54=TRUE,IF(A297&lt;Career_History!D54,0,MIN(A297,Career_History!E54)-Career_History!D54+1),0),IF(Career_History!I55=TRUE,IF(A297&lt;Career_History!D55,0,MIN(A297,Career_History!E55)-Career_History!D55+1),0),IF(Career_History!I56=TRUE,IF(A297&lt;Career_History!D56,0,MIN(A297,Career_History!E56)-Career_History!D56+1),0),IF(Career_History!I57=TRUE,IF(A297&lt;Career_History!D57,0,MIN(A297,Career_History!E57)-Career_History!D57+1),0))/365.2425</f>
        <v>0</v>
      </c>
      <c r="BC297" s="9">
        <f>SUM(IF(Career_History!H53=TRUE,IF(A297&lt;Career_History!D53,0,MIN(A297,Career_History!E53)-Career_History!D53+1),0),IF(Career_History!H54=TRUE,IF(A297&lt;Career_History!D54,0,MIN(A297,Career_History!E54)-Career_History!D54+1),0),IF(Career_History!H55=TRUE,IF(A297&lt;Career_History!D55,0,MIN(A297,Career_History!E55)-Career_History!D55+1),0),IF(Career_History!H56=TRUE,IF(A297&lt;Career_History!D56,0,MIN(A297,Career_History!E56)-Career_History!D56+1),0),IF(Career_History!H57=TRUE,IF(A297&lt;Career_History!D57,0,MIN(A297,Career_History!E57)-Career_History!D57+1),0))/365.2425</f>
        <v>43.083704661971154</v>
      </c>
      <c r="BD297" s="9"/>
      <c r="BE297" s="9"/>
      <c r="BF297" s="9"/>
      <c r="BG297" s="9"/>
      <c r="BH297" s="9"/>
      <c r="BI297" s="9"/>
      <c r="BJ297" s="9"/>
      <c r="BK297" s="9"/>
      <c r="BL297" s="9"/>
      <c r="BM297" s="9"/>
      <c r="BN297" s="9"/>
      <c r="BO297" s="9"/>
    </row>
    <row r="298" spans="1:67">
      <c r="A298" s="8">
        <v>43708</v>
      </c>
      <c r="B298" s="9">
        <f t="shared" si="12"/>
        <v>33.169195808264377</v>
      </c>
      <c r="C298" s="9">
        <f t="shared" si="13"/>
        <v>4.2338993956070281</v>
      </c>
      <c r="D298" s="9">
        <f t="shared" si="14"/>
        <v>24.050870312189847</v>
      </c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>
        <f>SUM(IF(Career_History!G41=TRUE,IF(A298&lt;Career_History!D41,0,MIN(A298,Career_History!E41)-Career_History!D41+1),0),IF(Career_History!G42=TRUE,IF(A298&lt;Career_History!D42,0,MIN(A298,Career_History!E42)-Career_History!D42+1),0))/365.2425</f>
        <v>39.168497641977588</v>
      </c>
      <c r="AP298" s="9">
        <f>SUM(IF(Career_History!I41=TRUE,IF(A298&lt;Career_History!D41,0,MIN(A298,Career_History!E41)-Career_History!D41+1),0),IF(Career_History!I42=TRUE,IF(A298&lt;Career_History!D42,0,MIN(A298,Career_History!E42)-Career_History!D42+1),0))/365.2425</f>
        <v>0</v>
      </c>
      <c r="AQ298" s="9">
        <f>SUM(IF(Career_History!H41=TRUE,IF(A298&lt;Career_History!D41,0,MIN(A298,Career_History!E41)-Career_History!D41+1),0),IF(Career_History!H42=TRUE,IF(A298&lt;Career_History!D42,0,MIN(A298,Career_History!E42)-Career_History!D42+1),0))/365.2425</f>
        <v>39.168497641977588</v>
      </c>
      <c r="AR298" s="9">
        <f>SUM(IF(Career_History!G43=TRUE,IF(A298&lt;Career_History!D43,0,MIN(A298,Career_History!E43)-Career_History!D43+1),0),IF(Career_History!G44=TRUE,IF(A298&lt;Career_History!D44,0,MIN(A298,Career_History!E44)-Career_History!D44+1),0),IF(Career_History!G45=TRUE,IF(A298&lt;Career_History!D45,0,MIN(A298,Career_History!E45)-Career_History!D45+1),0),IF(Career_History!G46=TRUE,IF(A298&lt;Career_History!D46,0,MIN(A298,Career_History!E46)-Career_History!D46+1),0))/365.2425</f>
        <v>28.170325194904756</v>
      </c>
      <c r="AS298" s="9">
        <f>SUM(IF(Career_History!I43=TRUE,IF(A298&lt;Career_History!D43,0,MIN(A298,Career_History!E43)-Career_History!D43+1),0),IF(Career_History!I44=TRUE,IF(A298&lt;Career_History!D44,0,MIN(A298,Career_History!E44)-Career_History!D44+1),0),IF(Career_History!I45=TRUE,IF(A298&lt;Career_History!D45,0,MIN(A298,Career_History!E45)-Career_History!D45+1),0),IF(Career_History!I46=TRUE,IF(A298&lt;Career_History!D46,0,MIN(A298,Career_History!E46)-Career_History!D46+1),0))/365.2425</f>
        <v>4.0849572544268531</v>
      </c>
      <c r="AT298" s="9">
        <f>SUM(IF(Career_History!H43=TRUE,IF(A298&lt;Career_History!D43,0,MIN(A298,Career_History!E43)-Career_History!D43+1),0),IF(Career_History!H44=TRUE,IF(A298&lt;Career_History!D44,0,MIN(A298,Career_History!E44)-Career_History!D44+1),0),IF(Career_History!H45=TRUE,IF(A298&lt;Career_History!D45,0,MIN(A298,Career_History!E45)-Career_History!D45+1),0),IF(Career_History!H46=TRUE,IF(A298&lt;Career_History!D46,0,MIN(A298,Career_History!E46)-Career_History!D46+1),0))/365.2425</f>
        <v>23.083293975920107</v>
      </c>
      <c r="AU298" s="9">
        <f>SUM(IF(Career_History!G47=TRUE,IF(A298&lt;Career_History!D47,0,MIN(A298,Career_History!E47)-Career_History!D47+1),0),IF(Career_History!G48=TRUE,IF(A298&lt;Career_History!D48,0,MIN(A298,Career_History!E48)-Career_History!D48+1),0),IF(Career_History!G49=TRUE,IF(A298&lt;Career_History!D49,0,MIN(A298,Career_History!E49)-Career_History!D49+1),0))/365.2425</f>
        <v>31.168333367557171</v>
      </c>
      <c r="AV298" s="9">
        <f>SUM(IF(Career_History!I47=TRUE,IF(A298&lt;Career_History!D47,0,MIN(A298,Career_History!E47)-Career_History!D47+1),0),IF(Career_History!I48=TRUE,IF(A298&lt;Career_History!D48,0,MIN(A298,Career_History!E48)-Career_History!D48+1),0),IF(Career_History!I49=TRUE,IF(A298&lt;Career_History!D49,0,MIN(A298,Career_History!E49)-Career_History!D49+1),0))/365.2425</f>
        <v>16.999664606391644</v>
      </c>
      <c r="AW298" s="9">
        <f>SUM(IF(Career_History!H47=TRUE,IF(A298&lt;Career_History!D47,0,MIN(A298,Career_History!E47)-Career_History!D47+1),0),IF(Career_History!H48=TRUE,IF(A298&lt;Career_History!D48,0,MIN(A298,Career_History!E48)-Career_History!D48+1),0),IF(Career_History!H49=TRUE,IF(A298&lt;Career_History!D49,0,MIN(A298,Career_History!E49)-Career_History!D49+1),0))/365.2425</f>
        <v>14.168668761165527</v>
      </c>
      <c r="AX298" s="9">
        <f>SUM(IF(Career_History!G50=TRUE,IF(A298&lt;Career_History!D50,0,MIN(A298,Career_History!E50)-Career_History!D50+1),0),IF(Career_History!G51=TRUE,IF(A298&lt;Career_History!D51,0,MIN(A298,Career_History!E51)-Career_History!D51+1),0),IF(Career_History!G52=TRUE,IF(A298&lt;Career_History!D52,0,MIN(A298,Career_History!E52)-Career_History!D52+1),0))/365.2425</f>
        <v>24.170243057694545</v>
      </c>
      <c r="AY298" s="9">
        <f>SUM(IF(Career_History!I50=TRUE,IF(A298&lt;Career_History!D50,0,MIN(A298,Career_History!E50)-Career_History!D50+1),0),IF(Career_History!I51=TRUE,IF(A298&lt;Career_History!D51,0,MIN(A298,Career_History!E51)-Career_History!D51+1),0),IF(Career_History!I52=TRUE,IF(A298&lt;Career_History!D52,0,MIN(A298,Career_History!E52)-Career_History!D52+1),0))/365.2425</f>
        <v>8.4875117216643731E-2</v>
      </c>
      <c r="AZ298" s="9">
        <f>SUM(IF(Career_History!H50=TRUE,IF(A298&lt;Career_History!D50,0,MIN(A298,Career_History!E50)-Career_History!D50+1),0),IF(Career_History!H51=TRUE,IF(A298&lt;Career_History!D51,0,MIN(A298,Career_History!E51)-Career_History!D51+1),0),IF(Career_History!H52=TRUE,IF(A298&lt;Career_History!D52,0,MIN(A298,Career_History!E52)-Career_History!D52+1),0))/365.2425</f>
        <v>0.66531140269820732</v>
      </c>
      <c r="BA298" s="9">
        <f>SUM(IF(Career_History!G53=TRUE,IF(A298&lt;Career_History!D53,0,MIN(A298,Career_History!E53)-Career_History!D53+1),0),IF(Career_History!G54=TRUE,IF(A298&lt;Career_History!D54,0,MIN(A298,Career_History!E54)-Career_History!D54+1),0),IF(Career_History!G55=TRUE,IF(A298&lt;Career_History!D55,0,MIN(A298,Career_History!E55)-Career_History!D55+1),0),IF(Career_History!G56=TRUE,IF(A298&lt;Career_History!D56,0,MIN(A298,Career_History!E56)-Career_History!D56+1),0),IF(Career_History!G57=TRUE,IF(A298&lt;Career_History!D57,0,MIN(A298,Career_History!E57)-Career_History!D57+1),0))/365.2425</f>
        <v>43.168579779187802</v>
      </c>
      <c r="BB298" s="9">
        <f>SUM(IF(Career_History!I53=TRUE,IF(A298&lt;Career_History!D53,0,MIN(A298,Career_History!E53)-Career_History!D53+1),0),IF(Career_History!I54=TRUE,IF(A298&lt;Career_History!D54,0,MIN(A298,Career_History!E54)-Career_History!D54+1),0),IF(Career_History!I55=TRUE,IF(A298&lt;Career_History!D55,0,MIN(A298,Career_History!E55)-Career_History!D55+1),0),IF(Career_History!I56=TRUE,IF(A298&lt;Career_History!D56,0,MIN(A298,Career_History!E56)-Career_History!D56+1),0),IF(Career_History!I57=TRUE,IF(A298&lt;Career_History!D57,0,MIN(A298,Career_History!E57)-Career_History!D57+1),0))/365.2425</f>
        <v>0</v>
      </c>
      <c r="BC298" s="9">
        <f>SUM(IF(Career_History!H53=TRUE,IF(A298&lt;Career_History!D53,0,MIN(A298,Career_History!E53)-Career_History!D53+1),0),IF(Career_History!H54=TRUE,IF(A298&lt;Career_History!D54,0,MIN(A298,Career_History!E54)-Career_History!D54+1),0),IF(Career_History!H55=TRUE,IF(A298&lt;Career_History!D55,0,MIN(A298,Career_History!E55)-Career_History!D55+1),0),IF(Career_History!H56=TRUE,IF(A298&lt;Career_History!D56,0,MIN(A298,Career_History!E56)-Career_History!D56+1),0),IF(Career_History!H57=TRUE,IF(A298&lt;Career_History!D57,0,MIN(A298,Career_History!E57)-Career_History!D57+1),0))/365.2425</f>
        <v>43.168579779187802</v>
      </c>
      <c r="BD298" s="9"/>
      <c r="BE298" s="9"/>
      <c r="BF298" s="9"/>
      <c r="BG298" s="9"/>
      <c r="BH298" s="9"/>
      <c r="BI298" s="9"/>
      <c r="BJ298" s="9"/>
      <c r="BK298" s="9"/>
      <c r="BL298" s="9"/>
      <c r="BM298" s="9"/>
      <c r="BN298" s="9"/>
      <c r="BO298" s="9"/>
    </row>
    <row r="299" spans="1:67">
      <c r="A299" s="8">
        <v>43738</v>
      </c>
      <c r="B299" s="9">
        <f t="shared" si="12"/>
        <v>33.251333018474028</v>
      </c>
      <c r="C299" s="9">
        <f t="shared" si="13"/>
        <v>4.2338993956070281</v>
      </c>
      <c r="D299" s="9">
        <f t="shared" si="14"/>
        <v>24.133007522399502</v>
      </c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>
        <f>SUM(IF(Career_History!G41=TRUE,IF(A299&lt;Career_History!D41,0,MIN(A299,Career_History!E41)-Career_History!D41+1),0),IF(Career_History!G42=TRUE,IF(A299&lt;Career_History!D42,0,MIN(A299,Career_History!E42)-Career_History!D42+1),0))/365.2425</f>
        <v>39.250634852187247</v>
      </c>
      <c r="AP299" s="9">
        <f>SUM(IF(Career_History!I41=TRUE,IF(A299&lt;Career_History!D41,0,MIN(A299,Career_History!E41)-Career_History!D41+1),0),IF(Career_History!I42=TRUE,IF(A299&lt;Career_History!D42,0,MIN(A299,Career_History!E42)-Career_History!D42+1),0))/365.2425</f>
        <v>0</v>
      </c>
      <c r="AQ299" s="9">
        <f>SUM(IF(Career_History!H41=TRUE,IF(A299&lt;Career_History!D41,0,MIN(A299,Career_History!E41)-Career_History!D41+1),0),IF(Career_History!H42=TRUE,IF(A299&lt;Career_History!D42,0,MIN(A299,Career_History!E42)-Career_History!D42+1),0))/365.2425</f>
        <v>39.250634852187247</v>
      </c>
      <c r="AR299" s="9">
        <f>SUM(IF(Career_History!G43=TRUE,IF(A299&lt;Career_History!D43,0,MIN(A299,Career_History!E43)-Career_History!D43+1),0),IF(Career_History!G44=TRUE,IF(A299&lt;Career_History!D44,0,MIN(A299,Career_History!E44)-Career_History!D44+1),0),IF(Career_History!G45=TRUE,IF(A299&lt;Career_History!D45,0,MIN(A299,Career_History!E45)-Career_History!D45+1),0),IF(Career_History!G46=TRUE,IF(A299&lt;Career_History!D46,0,MIN(A299,Career_History!E46)-Career_History!D46+1),0))/365.2425</f>
        <v>28.252462405114411</v>
      </c>
      <c r="AS299" s="9">
        <f>SUM(IF(Career_History!I43=TRUE,IF(A299&lt;Career_History!D43,0,MIN(A299,Career_History!E43)-Career_History!D43+1),0),IF(Career_History!I44=TRUE,IF(A299&lt;Career_History!D44,0,MIN(A299,Career_History!E44)-Career_History!D44+1),0),IF(Career_History!I45=TRUE,IF(A299&lt;Career_History!D45,0,MIN(A299,Career_History!E45)-Career_History!D45+1),0),IF(Career_History!I46=TRUE,IF(A299&lt;Career_History!D46,0,MIN(A299,Career_History!E46)-Career_History!D46+1),0))/365.2425</f>
        <v>4.0849572544268531</v>
      </c>
      <c r="AT299" s="9">
        <f>SUM(IF(Career_History!H43=TRUE,IF(A299&lt;Career_History!D43,0,MIN(A299,Career_History!E43)-Career_History!D43+1),0),IF(Career_History!H44=TRUE,IF(A299&lt;Career_History!D44,0,MIN(A299,Career_History!E44)-Career_History!D44+1),0),IF(Career_History!H45=TRUE,IF(A299&lt;Career_History!D45,0,MIN(A299,Career_History!E45)-Career_History!D45+1),0),IF(Career_History!H46=TRUE,IF(A299&lt;Career_History!D46,0,MIN(A299,Career_History!E46)-Career_History!D46+1),0))/365.2425</f>
        <v>23.165431186129762</v>
      </c>
      <c r="AU299" s="9">
        <f>SUM(IF(Career_History!G47=TRUE,IF(A299&lt;Career_History!D47,0,MIN(A299,Career_History!E47)-Career_History!D47+1),0),IF(Career_History!G48=TRUE,IF(A299&lt;Career_History!D48,0,MIN(A299,Career_History!E48)-Career_History!D48+1),0),IF(Career_History!G49=TRUE,IF(A299&lt;Career_History!D49,0,MIN(A299,Career_History!E49)-Career_History!D49+1),0))/365.2425</f>
        <v>31.250470577766826</v>
      </c>
      <c r="AV299" s="9">
        <f>SUM(IF(Career_History!I47=TRUE,IF(A299&lt;Career_History!D47,0,MIN(A299,Career_History!E47)-Career_History!D47+1),0),IF(Career_History!I48=TRUE,IF(A299&lt;Career_History!D48,0,MIN(A299,Career_History!E48)-Career_History!D48+1),0),IF(Career_History!I49=TRUE,IF(A299&lt;Career_History!D49,0,MIN(A299,Career_History!E49)-Career_History!D49+1),0))/365.2425</f>
        <v>16.999664606391644</v>
      </c>
      <c r="AW299" s="9">
        <f>SUM(IF(Career_History!H47=TRUE,IF(A299&lt;Career_History!D47,0,MIN(A299,Career_History!E47)-Career_History!D47+1),0),IF(Career_History!H48=TRUE,IF(A299&lt;Career_History!D48,0,MIN(A299,Career_History!E48)-Career_History!D48+1),0),IF(Career_History!H49=TRUE,IF(A299&lt;Career_History!D49,0,MIN(A299,Career_History!E49)-Career_History!D49+1),0))/365.2425</f>
        <v>14.250805971375183</v>
      </c>
      <c r="AX299" s="9">
        <f>SUM(IF(Career_History!G50=TRUE,IF(A299&lt;Career_History!D50,0,MIN(A299,Career_History!E50)-Career_History!D50+1),0),IF(Career_History!G51=TRUE,IF(A299&lt;Career_History!D51,0,MIN(A299,Career_History!E51)-Career_History!D51+1),0),IF(Career_History!G52=TRUE,IF(A299&lt;Career_History!D52,0,MIN(A299,Career_History!E52)-Career_History!D52+1),0))/365.2425</f>
        <v>24.252380267904201</v>
      </c>
      <c r="AY299" s="9">
        <f>SUM(IF(Career_History!I50=TRUE,IF(A299&lt;Career_History!D50,0,MIN(A299,Career_History!E50)-Career_History!D50+1),0),IF(Career_History!I51=TRUE,IF(A299&lt;Career_History!D51,0,MIN(A299,Career_History!E51)-Career_History!D51+1),0),IF(Career_History!I52=TRUE,IF(A299&lt;Career_History!D52,0,MIN(A299,Career_History!E52)-Career_History!D52+1),0))/365.2425</f>
        <v>8.4875117216643731E-2</v>
      </c>
      <c r="AZ299" s="9">
        <f>SUM(IF(Career_History!H50=TRUE,IF(A299&lt;Career_History!D50,0,MIN(A299,Career_History!E50)-Career_History!D50+1),0),IF(Career_History!H51=TRUE,IF(A299&lt;Career_History!D51,0,MIN(A299,Career_History!E51)-Career_History!D51+1),0),IF(Career_History!H52=TRUE,IF(A299&lt;Career_History!D52,0,MIN(A299,Career_History!E52)-Career_History!D52+1),0))/365.2425</f>
        <v>0.74744861290786258</v>
      </c>
      <c r="BA299" s="9">
        <f>SUM(IF(Career_History!G53=TRUE,IF(A299&lt;Career_History!D53,0,MIN(A299,Career_History!E53)-Career_History!D53+1),0),IF(Career_History!G54=TRUE,IF(A299&lt;Career_History!D54,0,MIN(A299,Career_History!E54)-Career_History!D54+1),0),IF(Career_History!G55=TRUE,IF(A299&lt;Career_History!D55,0,MIN(A299,Career_History!E55)-Career_History!D55+1),0),IF(Career_History!G56=TRUE,IF(A299&lt;Career_History!D56,0,MIN(A299,Career_History!E56)-Career_History!D56+1),0),IF(Career_History!G57=TRUE,IF(A299&lt;Career_History!D57,0,MIN(A299,Career_History!E57)-Career_History!D57+1),0))/365.2425</f>
        <v>43.250716989397453</v>
      </c>
      <c r="BB299" s="9">
        <f>SUM(IF(Career_History!I53=TRUE,IF(A299&lt;Career_History!D53,0,MIN(A299,Career_History!E53)-Career_History!D53+1),0),IF(Career_History!I54=TRUE,IF(A299&lt;Career_History!D54,0,MIN(A299,Career_History!E54)-Career_History!D54+1),0),IF(Career_History!I55=TRUE,IF(A299&lt;Career_History!D55,0,MIN(A299,Career_History!E55)-Career_History!D55+1),0),IF(Career_History!I56=TRUE,IF(A299&lt;Career_History!D56,0,MIN(A299,Career_History!E56)-Career_History!D56+1),0),IF(Career_History!I57=TRUE,IF(A299&lt;Career_History!D57,0,MIN(A299,Career_History!E57)-Career_History!D57+1),0))/365.2425</f>
        <v>0</v>
      </c>
      <c r="BC299" s="9">
        <f>SUM(IF(Career_History!H53=TRUE,IF(A299&lt;Career_History!D53,0,MIN(A299,Career_History!E53)-Career_History!D53+1),0),IF(Career_History!H54=TRUE,IF(A299&lt;Career_History!D54,0,MIN(A299,Career_History!E54)-Career_History!D54+1),0),IF(Career_History!H55=TRUE,IF(A299&lt;Career_History!D55,0,MIN(A299,Career_History!E55)-Career_History!D55+1),0),IF(Career_History!H56=TRUE,IF(A299&lt;Career_History!D56,0,MIN(A299,Career_History!E56)-Career_History!D56+1),0),IF(Career_History!H57=TRUE,IF(A299&lt;Career_History!D57,0,MIN(A299,Career_History!E57)-Career_History!D57+1),0))/365.2425</f>
        <v>43.250716989397453</v>
      </c>
      <c r="BD299" s="9"/>
      <c r="BE299" s="9"/>
      <c r="BF299" s="9"/>
      <c r="BG299" s="9"/>
      <c r="BH299" s="9"/>
      <c r="BI299" s="9"/>
      <c r="BJ299" s="9"/>
      <c r="BK299" s="9"/>
      <c r="BL299" s="9"/>
      <c r="BM299" s="9"/>
      <c r="BN299" s="9"/>
      <c r="BO299" s="9"/>
    </row>
    <row r="300" spans="1:67">
      <c r="A300" s="8">
        <v>43769</v>
      </c>
      <c r="B300" s="9">
        <f t="shared" si="12"/>
        <v>33.336208135690676</v>
      </c>
      <c r="C300" s="9">
        <f t="shared" si="13"/>
        <v>4.2338993956070281</v>
      </c>
      <c r="D300" s="9">
        <f t="shared" si="14"/>
        <v>24.217882639616143</v>
      </c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>
        <f>SUM(IF(Career_History!G41=TRUE,IF(A300&lt;Career_History!D41,0,MIN(A300,Career_History!E41)-Career_History!D41+1),0),IF(Career_History!G42=TRUE,IF(A300&lt;Career_History!D42,0,MIN(A300,Career_History!E42)-Career_History!D42+1),0))/365.2425</f>
        <v>39.335509969403887</v>
      </c>
      <c r="AP300" s="9">
        <f>SUM(IF(Career_History!I41=TRUE,IF(A300&lt;Career_History!D41,0,MIN(A300,Career_History!E41)-Career_History!D41+1),0),IF(Career_History!I42=TRUE,IF(A300&lt;Career_History!D42,0,MIN(A300,Career_History!E42)-Career_History!D42+1),0))/365.2425</f>
        <v>0</v>
      </c>
      <c r="AQ300" s="9">
        <f>SUM(IF(Career_History!H41=TRUE,IF(A300&lt;Career_History!D41,0,MIN(A300,Career_History!E41)-Career_History!D41+1),0),IF(Career_History!H42=TRUE,IF(A300&lt;Career_History!D42,0,MIN(A300,Career_History!E42)-Career_History!D42+1),0))/365.2425</f>
        <v>39.335509969403887</v>
      </c>
      <c r="AR300" s="9">
        <f>SUM(IF(Career_History!G43=TRUE,IF(A300&lt;Career_History!D43,0,MIN(A300,Career_History!E43)-Career_History!D43+1),0),IF(Career_History!G44=TRUE,IF(A300&lt;Career_History!D44,0,MIN(A300,Career_History!E44)-Career_History!D44+1),0),IF(Career_History!G45=TRUE,IF(A300&lt;Career_History!D45,0,MIN(A300,Career_History!E45)-Career_History!D45+1),0),IF(Career_History!G46=TRUE,IF(A300&lt;Career_History!D46,0,MIN(A300,Career_History!E46)-Career_History!D46+1),0))/365.2425</f>
        <v>28.337337522331055</v>
      </c>
      <c r="AS300" s="9">
        <f>SUM(IF(Career_History!I43=TRUE,IF(A300&lt;Career_History!D43,0,MIN(A300,Career_History!E43)-Career_History!D43+1),0),IF(Career_History!I44=TRUE,IF(A300&lt;Career_History!D44,0,MIN(A300,Career_History!E44)-Career_History!D44+1),0),IF(Career_History!I45=TRUE,IF(A300&lt;Career_History!D45,0,MIN(A300,Career_History!E45)-Career_History!D45+1),0),IF(Career_History!I46=TRUE,IF(A300&lt;Career_History!D46,0,MIN(A300,Career_History!E46)-Career_History!D46+1),0))/365.2425</f>
        <v>4.0849572544268531</v>
      </c>
      <c r="AT300" s="9">
        <f>SUM(IF(Career_History!H43=TRUE,IF(A300&lt;Career_History!D43,0,MIN(A300,Career_History!E43)-Career_History!D43+1),0),IF(Career_History!H44=TRUE,IF(A300&lt;Career_History!D44,0,MIN(A300,Career_History!E44)-Career_History!D44+1),0),IF(Career_History!H45=TRUE,IF(A300&lt;Career_History!D45,0,MIN(A300,Career_History!E45)-Career_History!D45+1),0),IF(Career_History!H46=TRUE,IF(A300&lt;Career_History!D46,0,MIN(A300,Career_History!E46)-Career_History!D46+1),0))/365.2425</f>
        <v>23.250306303346406</v>
      </c>
      <c r="AU300" s="9">
        <f>SUM(IF(Career_History!G47=TRUE,IF(A300&lt;Career_History!D47,0,MIN(A300,Career_History!E47)-Career_History!D47+1),0),IF(Career_History!G48=TRUE,IF(A300&lt;Career_History!D48,0,MIN(A300,Career_History!E48)-Career_History!D48+1),0),IF(Career_History!G49=TRUE,IF(A300&lt;Career_History!D49,0,MIN(A300,Career_History!E49)-Career_History!D49+1),0))/365.2425</f>
        <v>31.33534569498347</v>
      </c>
      <c r="AV300" s="9">
        <f>SUM(IF(Career_History!I47=TRUE,IF(A300&lt;Career_History!D47,0,MIN(A300,Career_History!E47)-Career_History!D47+1),0),IF(Career_History!I48=TRUE,IF(A300&lt;Career_History!D48,0,MIN(A300,Career_History!E48)-Career_History!D48+1),0),IF(Career_History!I49=TRUE,IF(A300&lt;Career_History!D49,0,MIN(A300,Career_History!E49)-Career_History!D49+1),0))/365.2425</f>
        <v>16.999664606391644</v>
      </c>
      <c r="AW300" s="9">
        <f>SUM(IF(Career_History!H47=TRUE,IF(A300&lt;Career_History!D47,0,MIN(A300,Career_History!E47)-Career_History!D47+1),0),IF(Career_History!H48=TRUE,IF(A300&lt;Career_History!D48,0,MIN(A300,Career_History!E48)-Career_History!D48+1),0),IF(Career_History!H49=TRUE,IF(A300&lt;Career_History!D49,0,MIN(A300,Career_History!E49)-Career_History!D49+1),0))/365.2425</f>
        <v>14.335681088591826</v>
      </c>
      <c r="AX300" s="9">
        <f>SUM(IF(Career_History!G50=TRUE,IF(A300&lt;Career_History!D50,0,MIN(A300,Career_History!E50)-Career_History!D50+1),0),IF(Career_History!G51=TRUE,IF(A300&lt;Career_History!D51,0,MIN(A300,Career_History!E51)-Career_History!D51+1),0),IF(Career_History!G52=TRUE,IF(A300&lt;Career_History!D52,0,MIN(A300,Career_History!E52)-Career_History!D52+1),0))/365.2425</f>
        <v>24.337255385120844</v>
      </c>
      <c r="AY300" s="9">
        <f>SUM(IF(Career_History!I50=TRUE,IF(A300&lt;Career_History!D50,0,MIN(A300,Career_History!E50)-Career_History!D50+1),0),IF(Career_History!I51=TRUE,IF(A300&lt;Career_History!D51,0,MIN(A300,Career_History!E51)-Career_History!D51+1),0),IF(Career_History!I52=TRUE,IF(A300&lt;Career_History!D52,0,MIN(A300,Career_History!E52)-Career_History!D52+1),0))/365.2425</f>
        <v>8.4875117216643731E-2</v>
      </c>
      <c r="AZ300" s="9">
        <f>SUM(IF(Career_History!H50=TRUE,IF(A300&lt;Career_History!D50,0,MIN(A300,Career_History!E50)-Career_History!D50+1),0),IF(Career_History!H51=TRUE,IF(A300&lt;Career_History!D51,0,MIN(A300,Career_History!E51)-Career_History!D51+1),0),IF(Career_History!H52=TRUE,IF(A300&lt;Career_History!D52,0,MIN(A300,Career_History!E52)-Career_History!D52+1),0))/365.2425</f>
        <v>0.83232373012450633</v>
      </c>
      <c r="BA300" s="9">
        <f>SUM(IF(Career_History!G53=TRUE,IF(A300&lt;Career_History!D53,0,MIN(A300,Career_History!E53)-Career_History!D53+1),0),IF(Career_History!G54=TRUE,IF(A300&lt;Career_History!D54,0,MIN(A300,Career_History!E54)-Career_History!D54+1),0),IF(Career_History!G55=TRUE,IF(A300&lt;Career_History!D55,0,MIN(A300,Career_History!E55)-Career_History!D55+1),0),IF(Career_History!G56=TRUE,IF(A300&lt;Career_History!D56,0,MIN(A300,Career_History!E56)-Career_History!D56+1),0),IF(Career_History!G57=TRUE,IF(A300&lt;Career_History!D57,0,MIN(A300,Career_History!E57)-Career_History!D57+1),0))/365.2425</f>
        <v>43.335592106614101</v>
      </c>
      <c r="BB300" s="9">
        <f>SUM(IF(Career_History!I53=TRUE,IF(A300&lt;Career_History!D53,0,MIN(A300,Career_History!E53)-Career_History!D53+1),0),IF(Career_History!I54=TRUE,IF(A300&lt;Career_History!D54,0,MIN(A300,Career_History!E54)-Career_History!D54+1),0),IF(Career_History!I55=TRUE,IF(A300&lt;Career_History!D55,0,MIN(A300,Career_History!E55)-Career_History!D55+1),0),IF(Career_History!I56=TRUE,IF(A300&lt;Career_History!D56,0,MIN(A300,Career_History!E56)-Career_History!D56+1),0),IF(Career_History!I57=TRUE,IF(A300&lt;Career_History!D57,0,MIN(A300,Career_History!E57)-Career_History!D57+1),0))/365.2425</f>
        <v>0</v>
      </c>
      <c r="BC300" s="9">
        <f>SUM(IF(Career_History!H53=TRUE,IF(A300&lt;Career_History!D53,0,MIN(A300,Career_History!E53)-Career_History!D53+1),0),IF(Career_History!H54=TRUE,IF(A300&lt;Career_History!D54,0,MIN(A300,Career_History!E54)-Career_History!D54+1),0),IF(Career_History!H55=TRUE,IF(A300&lt;Career_History!D55,0,MIN(A300,Career_History!E55)-Career_History!D55+1),0),IF(Career_History!H56=TRUE,IF(A300&lt;Career_History!D56,0,MIN(A300,Career_History!E56)-Career_History!D56+1),0),IF(Career_History!H57=TRUE,IF(A300&lt;Career_History!D57,0,MIN(A300,Career_History!E57)-Career_History!D57+1),0))/365.2425</f>
        <v>43.335592106614101</v>
      </c>
      <c r="BD300" s="9"/>
      <c r="BE300" s="9"/>
      <c r="BF300" s="9"/>
      <c r="BG300" s="9"/>
      <c r="BH300" s="9"/>
      <c r="BI300" s="9"/>
      <c r="BJ300" s="9"/>
      <c r="BK300" s="9"/>
      <c r="BL300" s="9"/>
      <c r="BM300" s="9"/>
      <c r="BN300" s="9"/>
      <c r="BO300" s="9"/>
    </row>
    <row r="301" spans="1:67">
      <c r="A301" s="8">
        <v>43799</v>
      </c>
      <c r="B301" s="9">
        <f t="shared" si="12"/>
        <v>33.418345345900335</v>
      </c>
      <c r="C301" s="9">
        <f t="shared" si="13"/>
        <v>4.2338993956070281</v>
      </c>
      <c r="D301" s="9">
        <f t="shared" si="14"/>
        <v>24.300019849825802</v>
      </c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>
        <f>SUM(IF(Career_History!G41=TRUE,IF(A301&lt;Career_History!D41,0,MIN(A301,Career_History!E41)-Career_History!D41+1),0),IF(Career_History!G42=TRUE,IF(A301&lt;Career_History!D42,0,MIN(A301,Career_History!E42)-Career_History!D42+1),0))/365.2425</f>
        <v>39.417647179613546</v>
      </c>
      <c r="AP301" s="9">
        <f>SUM(IF(Career_History!I41=TRUE,IF(A301&lt;Career_History!D41,0,MIN(A301,Career_History!E41)-Career_History!D41+1),0),IF(Career_History!I42=TRUE,IF(A301&lt;Career_History!D42,0,MIN(A301,Career_History!E42)-Career_History!D42+1),0))/365.2425</f>
        <v>0</v>
      </c>
      <c r="AQ301" s="9">
        <f>SUM(IF(Career_History!H41=TRUE,IF(A301&lt;Career_History!D41,0,MIN(A301,Career_History!E41)-Career_History!D41+1),0),IF(Career_History!H42=TRUE,IF(A301&lt;Career_History!D42,0,MIN(A301,Career_History!E42)-Career_History!D42+1),0))/365.2425</f>
        <v>39.417647179613546</v>
      </c>
      <c r="AR301" s="9">
        <f>SUM(IF(Career_History!G43=TRUE,IF(A301&lt;Career_History!D43,0,MIN(A301,Career_History!E43)-Career_History!D43+1),0),IF(Career_History!G44=TRUE,IF(A301&lt;Career_History!D44,0,MIN(A301,Career_History!E44)-Career_History!D44+1),0),IF(Career_History!G45=TRUE,IF(A301&lt;Career_History!D45,0,MIN(A301,Career_History!E45)-Career_History!D45+1),0),IF(Career_History!G46=TRUE,IF(A301&lt;Career_History!D46,0,MIN(A301,Career_History!E46)-Career_History!D46+1),0))/365.2425</f>
        <v>28.41947473254071</v>
      </c>
      <c r="AS301" s="9">
        <f>SUM(IF(Career_History!I43=TRUE,IF(A301&lt;Career_History!D43,0,MIN(A301,Career_History!E43)-Career_History!D43+1),0),IF(Career_History!I44=TRUE,IF(A301&lt;Career_History!D44,0,MIN(A301,Career_History!E44)-Career_History!D44+1),0),IF(Career_History!I45=TRUE,IF(A301&lt;Career_History!D45,0,MIN(A301,Career_History!E45)-Career_History!D45+1),0),IF(Career_History!I46=TRUE,IF(A301&lt;Career_History!D46,0,MIN(A301,Career_History!E46)-Career_History!D46+1),0))/365.2425</f>
        <v>4.0849572544268531</v>
      </c>
      <c r="AT301" s="9">
        <f>SUM(IF(Career_History!H43=TRUE,IF(A301&lt;Career_History!D43,0,MIN(A301,Career_History!E43)-Career_History!D43+1),0),IF(Career_History!H44=TRUE,IF(A301&lt;Career_History!D44,0,MIN(A301,Career_History!E44)-Career_History!D44+1),0),IF(Career_History!H45=TRUE,IF(A301&lt;Career_History!D45,0,MIN(A301,Career_History!E45)-Career_History!D45+1),0),IF(Career_History!H46=TRUE,IF(A301&lt;Career_History!D46,0,MIN(A301,Career_History!E46)-Career_History!D46+1),0))/365.2425</f>
        <v>23.332443513556061</v>
      </c>
      <c r="AU301" s="9">
        <f>SUM(IF(Career_History!G47=TRUE,IF(A301&lt;Career_History!D47,0,MIN(A301,Career_History!E47)-Career_History!D47+1),0),IF(Career_History!G48=TRUE,IF(A301&lt;Career_History!D48,0,MIN(A301,Career_History!E48)-Career_History!D48+1),0),IF(Career_History!G49=TRUE,IF(A301&lt;Career_History!D49,0,MIN(A301,Career_History!E49)-Career_History!D49+1),0))/365.2425</f>
        <v>31.417482905193125</v>
      </c>
      <c r="AV301" s="9">
        <f>SUM(IF(Career_History!I47=TRUE,IF(A301&lt;Career_History!D47,0,MIN(A301,Career_History!E47)-Career_History!D47+1),0),IF(Career_History!I48=TRUE,IF(A301&lt;Career_History!D48,0,MIN(A301,Career_History!E48)-Career_History!D48+1),0),IF(Career_History!I49=TRUE,IF(A301&lt;Career_History!D49,0,MIN(A301,Career_History!E49)-Career_History!D49+1),0))/365.2425</f>
        <v>16.999664606391644</v>
      </c>
      <c r="AW301" s="9">
        <f>SUM(IF(Career_History!H47=TRUE,IF(A301&lt;Career_History!D47,0,MIN(A301,Career_History!E47)-Career_History!D47+1),0),IF(Career_History!H48=TRUE,IF(A301&lt;Career_History!D48,0,MIN(A301,Career_History!E48)-Career_History!D48+1),0),IF(Career_History!H49=TRUE,IF(A301&lt;Career_History!D49,0,MIN(A301,Career_History!E49)-Career_History!D49+1),0))/365.2425</f>
        <v>14.417818298801482</v>
      </c>
      <c r="AX301" s="9">
        <f>SUM(IF(Career_History!G50=TRUE,IF(A301&lt;Career_History!D50,0,MIN(A301,Career_History!E50)-Career_History!D50+1),0),IF(Career_History!G51=TRUE,IF(A301&lt;Career_History!D51,0,MIN(A301,Career_History!E51)-Career_History!D51+1),0),IF(Career_History!G52=TRUE,IF(A301&lt;Career_History!D52,0,MIN(A301,Career_History!E52)-Career_History!D52+1),0))/365.2425</f>
        <v>24.4193925953305</v>
      </c>
      <c r="AY301" s="9">
        <f>SUM(IF(Career_History!I50=TRUE,IF(A301&lt;Career_History!D50,0,MIN(A301,Career_History!E50)-Career_History!D50+1),0),IF(Career_History!I51=TRUE,IF(A301&lt;Career_History!D51,0,MIN(A301,Career_History!E51)-Career_History!D51+1),0),IF(Career_History!I52=TRUE,IF(A301&lt;Career_History!D52,0,MIN(A301,Career_History!E52)-Career_History!D52+1),0))/365.2425</f>
        <v>8.4875117216643731E-2</v>
      </c>
      <c r="AZ301" s="9">
        <f>SUM(IF(Career_History!H50=TRUE,IF(A301&lt;Career_History!D50,0,MIN(A301,Career_History!E50)-Career_History!D50+1),0),IF(Career_History!H51=TRUE,IF(A301&lt;Career_History!D51,0,MIN(A301,Career_History!E51)-Career_History!D51+1),0),IF(Career_History!H52=TRUE,IF(A301&lt;Career_History!D52,0,MIN(A301,Career_History!E52)-Career_History!D52+1),0))/365.2425</f>
        <v>0.91446094033416159</v>
      </c>
      <c r="BA301" s="9">
        <f>SUM(IF(Career_History!G53=TRUE,IF(A301&lt;Career_History!D53,0,MIN(A301,Career_History!E53)-Career_History!D53+1),0),IF(Career_History!G54=TRUE,IF(A301&lt;Career_History!D54,0,MIN(A301,Career_History!E54)-Career_History!D54+1),0),IF(Career_History!G55=TRUE,IF(A301&lt;Career_History!D55,0,MIN(A301,Career_History!E55)-Career_History!D55+1),0),IF(Career_History!G56=TRUE,IF(A301&lt;Career_History!D56,0,MIN(A301,Career_History!E56)-Career_History!D56+1),0),IF(Career_History!G57=TRUE,IF(A301&lt;Career_History!D57,0,MIN(A301,Career_History!E57)-Career_History!D57+1),0))/365.2425</f>
        <v>43.417729316823753</v>
      </c>
      <c r="BB301" s="9">
        <f>SUM(IF(Career_History!I53=TRUE,IF(A301&lt;Career_History!D53,0,MIN(A301,Career_History!E53)-Career_History!D53+1),0),IF(Career_History!I54=TRUE,IF(A301&lt;Career_History!D54,0,MIN(A301,Career_History!E54)-Career_History!D54+1),0),IF(Career_History!I55=TRUE,IF(A301&lt;Career_History!D55,0,MIN(A301,Career_History!E55)-Career_History!D55+1),0),IF(Career_History!I56=TRUE,IF(A301&lt;Career_History!D56,0,MIN(A301,Career_History!E56)-Career_History!D56+1),0),IF(Career_History!I57=TRUE,IF(A301&lt;Career_History!D57,0,MIN(A301,Career_History!E57)-Career_History!D57+1),0))/365.2425</f>
        <v>0</v>
      </c>
      <c r="BC301" s="9">
        <f>SUM(IF(Career_History!H53=TRUE,IF(A301&lt;Career_History!D53,0,MIN(A301,Career_History!E53)-Career_History!D53+1),0),IF(Career_History!H54=TRUE,IF(A301&lt;Career_History!D54,0,MIN(A301,Career_History!E54)-Career_History!D54+1),0),IF(Career_History!H55=TRUE,IF(A301&lt;Career_History!D55,0,MIN(A301,Career_History!E55)-Career_History!D55+1),0),IF(Career_History!H56=TRUE,IF(A301&lt;Career_History!D56,0,MIN(A301,Career_History!E56)-Career_History!D56+1),0),IF(Career_History!H57=TRUE,IF(A301&lt;Career_History!D57,0,MIN(A301,Career_History!E57)-Career_History!D57+1),0))/365.2425</f>
        <v>43.417729316823753</v>
      </c>
      <c r="BD301" s="9"/>
      <c r="BE301" s="9"/>
      <c r="BF301" s="9"/>
      <c r="BG301" s="9"/>
      <c r="BH301" s="9"/>
      <c r="BI301" s="9"/>
      <c r="BJ301" s="9"/>
      <c r="BK301" s="9"/>
      <c r="BL301" s="9"/>
      <c r="BM301" s="9"/>
      <c r="BN301" s="9"/>
      <c r="BO301" s="9"/>
    </row>
    <row r="302" spans="1:67">
      <c r="A302" s="8">
        <v>43830</v>
      </c>
      <c r="B302" s="9">
        <f t="shared" si="12"/>
        <v>33.503220463116968</v>
      </c>
      <c r="C302" s="9">
        <f t="shared" si="13"/>
        <v>4.2338993956070281</v>
      </c>
      <c r="D302" s="9">
        <f t="shared" si="14"/>
        <v>24.384894967042442</v>
      </c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>
        <f>SUM(IF(Career_History!G41=TRUE,IF(A302&lt;Career_History!D41,0,MIN(A302,Career_History!E41)-Career_History!D41+1),0),IF(Career_History!G42=TRUE,IF(A302&lt;Career_History!D42,0,MIN(A302,Career_History!E42)-Career_History!D42+1),0))/365.2425</f>
        <v>39.502522296830186</v>
      </c>
      <c r="AP302" s="9">
        <f>SUM(IF(Career_History!I41=TRUE,IF(A302&lt;Career_History!D41,0,MIN(A302,Career_History!E41)-Career_History!D41+1),0),IF(Career_History!I42=TRUE,IF(A302&lt;Career_History!D42,0,MIN(A302,Career_History!E42)-Career_History!D42+1),0))/365.2425</f>
        <v>0</v>
      </c>
      <c r="AQ302" s="9">
        <f>SUM(IF(Career_History!H41=TRUE,IF(A302&lt;Career_History!D41,0,MIN(A302,Career_History!E41)-Career_History!D41+1),0),IF(Career_History!H42=TRUE,IF(A302&lt;Career_History!D42,0,MIN(A302,Career_History!E42)-Career_History!D42+1),0))/365.2425</f>
        <v>39.502522296830186</v>
      </c>
      <c r="AR302" s="9">
        <f>SUM(IF(Career_History!G43=TRUE,IF(A302&lt;Career_History!D43,0,MIN(A302,Career_History!E43)-Career_History!D43+1),0),IF(Career_History!G44=TRUE,IF(A302&lt;Career_History!D44,0,MIN(A302,Career_History!E44)-Career_History!D44+1),0),IF(Career_History!G45=TRUE,IF(A302&lt;Career_History!D45,0,MIN(A302,Career_History!E45)-Career_History!D45+1),0),IF(Career_History!G46=TRUE,IF(A302&lt;Career_History!D46,0,MIN(A302,Career_History!E46)-Career_History!D46+1),0))/365.2425</f>
        <v>28.504349849757354</v>
      </c>
      <c r="AS302" s="9">
        <f>SUM(IF(Career_History!I43=TRUE,IF(A302&lt;Career_History!D43,0,MIN(A302,Career_History!E43)-Career_History!D43+1),0),IF(Career_History!I44=TRUE,IF(A302&lt;Career_History!D44,0,MIN(A302,Career_History!E44)-Career_History!D44+1),0),IF(Career_History!I45=TRUE,IF(A302&lt;Career_History!D45,0,MIN(A302,Career_History!E45)-Career_History!D45+1),0),IF(Career_History!I46=TRUE,IF(A302&lt;Career_History!D46,0,MIN(A302,Career_History!E46)-Career_History!D46+1),0))/365.2425</f>
        <v>4.0849572544268531</v>
      </c>
      <c r="AT302" s="9">
        <f>SUM(IF(Career_History!H43=TRUE,IF(A302&lt;Career_History!D43,0,MIN(A302,Career_History!E43)-Career_History!D43+1),0),IF(Career_History!H44=TRUE,IF(A302&lt;Career_History!D44,0,MIN(A302,Career_History!E44)-Career_History!D44+1),0),IF(Career_History!H45=TRUE,IF(A302&lt;Career_History!D45,0,MIN(A302,Career_History!E45)-Career_History!D45+1),0),IF(Career_History!H46=TRUE,IF(A302&lt;Career_History!D46,0,MIN(A302,Career_History!E46)-Career_History!D46+1),0))/365.2425</f>
        <v>23.417318630772705</v>
      </c>
      <c r="AU302" s="9">
        <f>SUM(IF(Career_History!G47=TRUE,IF(A302&lt;Career_History!D47,0,MIN(A302,Career_History!E47)-Career_History!D47+1),0),IF(Career_History!G48=TRUE,IF(A302&lt;Career_History!D48,0,MIN(A302,Career_History!E48)-Career_History!D48+1),0),IF(Career_History!G49=TRUE,IF(A302&lt;Career_History!D49,0,MIN(A302,Career_History!E49)-Career_History!D49+1),0))/365.2425</f>
        <v>31.502358022409769</v>
      </c>
      <c r="AV302" s="9">
        <f>SUM(IF(Career_History!I47=TRUE,IF(A302&lt;Career_History!D47,0,MIN(A302,Career_History!E47)-Career_History!D47+1),0),IF(Career_History!I48=TRUE,IF(A302&lt;Career_History!D48,0,MIN(A302,Career_History!E48)-Career_History!D48+1),0),IF(Career_History!I49=TRUE,IF(A302&lt;Career_History!D49,0,MIN(A302,Career_History!E49)-Career_History!D49+1),0))/365.2425</f>
        <v>16.999664606391644</v>
      </c>
      <c r="AW302" s="9">
        <f>SUM(IF(Career_History!H47=TRUE,IF(A302&lt;Career_History!D47,0,MIN(A302,Career_History!E47)-Career_History!D47+1),0),IF(Career_History!H48=TRUE,IF(A302&lt;Career_History!D48,0,MIN(A302,Career_History!E48)-Career_History!D48+1),0),IF(Career_History!H49=TRUE,IF(A302&lt;Career_History!D49,0,MIN(A302,Career_History!E49)-Career_History!D49+1),0))/365.2425</f>
        <v>14.502693416018126</v>
      </c>
      <c r="AX302" s="9">
        <f>SUM(IF(Career_History!G50=TRUE,IF(A302&lt;Career_History!D50,0,MIN(A302,Career_History!E50)-Career_History!D50+1),0),IF(Career_History!G51=TRUE,IF(A302&lt;Career_History!D51,0,MIN(A302,Career_History!E51)-Career_History!D51+1),0),IF(Career_History!G52=TRUE,IF(A302&lt;Career_History!D52,0,MIN(A302,Career_History!E52)-Career_History!D52+1),0))/365.2425</f>
        <v>24.504267712547144</v>
      </c>
      <c r="AY302" s="9">
        <f>SUM(IF(Career_History!I50=TRUE,IF(A302&lt;Career_History!D50,0,MIN(A302,Career_History!E50)-Career_History!D50+1),0),IF(Career_History!I51=TRUE,IF(A302&lt;Career_History!D51,0,MIN(A302,Career_History!E51)-Career_History!D51+1),0),IF(Career_History!I52=TRUE,IF(A302&lt;Career_History!D52,0,MIN(A302,Career_History!E52)-Career_History!D52+1),0))/365.2425</f>
        <v>8.4875117216643731E-2</v>
      </c>
      <c r="AZ302" s="9">
        <f>SUM(IF(Career_History!H50=TRUE,IF(A302&lt;Career_History!D50,0,MIN(A302,Career_History!E50)-Career_History!D50+1),0),IF(Career_History!H51=TRUE,IF(A302&lt;Career_History!D51,0,MIN(A302,Career_History!E51)-Career_History!D51+1),0),IF(Career_History!H52=TRUE,IF(A302&lt;Career_History!D52,0,MIN(A302,Career_History!E52)-Career_History!D52+1),0))/365.2425</f>
        <v>0.99933605755080523</v>
      </c>
      <c r="BA302" s="9">
        <f>SUM(IF(Career_History!G53=TRUE,IF(A302&lt;Career_History!D53,0,MIN(A302,Career_History!E53)-Career_History!D53+1),0),IF(Career_History!G54=TRUE,IF(A302&lt;Career_History!D54,0,MIN(A302,Career_History!E54)-Career_History!D54+1),0),IF(Career_History!G55=TRUE,IF(A302&lt;Career_History!D55,0,MIN(A302,Career_History!E55)-Career_History!D55+1),0),IF(Career_History!G56=TRUE,IF(A302&lt;Career_History!D56,0,MIN(A302,Career_History!E56)-Career_History!D56+1),0),IF(Career_History!G57=TRUE,IF(A302&lt;Career_History!D57,0,MIN(A302,Career_History!E57)-Career_History!D57+1),0))/365.2425</f>
        <v>43.5026044340404</v>
      </c>
      <c r="BB302" s="9">
        <f>SUM(IF(Career_History!I53=TRUE,IF(A302&lt;Career_History!D53,0,MIN(A302,Career_History!E53)-Career_History!D53+1),0),IF(Career_History!I54=TRUE,IF(A302&lt;Career_History!D54,0,MIN(A302,Career_History!E54)-Career_History!D54+1),0),IF(Career_History!I55=TRUE,IF(A302&lt;Career_History!D55,0,MIN(A302,Career_History!E55)-Career_History!D55+1),0),IF(Career_History!I56=TRUE,IF(A302&lt;Career_History!D56,0,MIN(A302,Career_History!E56)-Career_History!D56+1),0),IF(Career_History!I57=TRUE,IF(A302&lt;Career_History!D57,0,MIN(A302,Career_History!E57)-Career_History!D57+1),0))/365.2425</f>
        <v>0</v>
      </c>
      <c r="BC302" s="9">
        <f>SUM(IF(Career_History!H53=TRUE,IF(A302&lt;Career_History!D53,0,MIN(A302,Career_History!E53)-Career_History!D53+1),0),IF(Career_History!H54=TRUE,IF(A302&lt;Career_History!D54,0,MIN(A302,Career_History!E54)-Career_History!D54+1),0),IF(Career_History!H55=TRUE,IF(A302&lt;Career_History!D55,0,MIN(A302,Career_History!E55)-Career_History!D55+1),0),IF(Career_History!H56=TRUE,IF(A302&lt;Career_History!D56,0,MIN(A302,Career_History!E56)-Career_History!D56+1),0),IF(Career_History!H57=TRUE,IF(A302&lt;Career_History!D57,0,MIN(A302,Career_History!E57)-Career_History!D57+1),0))/365.2425</f>
        <v>43.5026044340404</v>
      </c>
      <c r="BD302" s="9"/>
      <c r="BE302" s="9"/>
      <c r="BF302" s="9"/>
      <c r="BG302" s="9"/>
      <c r="BH302" s="9"/>
      <c r="BI302" s="9"/>
      <c r="BJ302" s="9"/>
      <c r="BK302" s="9"/>
      <c r="BL302" s="9"/>
      <c r="BM302" s="9"/>
      <c r="BN302" s="9"/>
      <c r="BO302" s="9"/>
    </row>
    <row r="303" spans="1:67">
      <c r="A303" s="8">
        <v>43861</v>
      </c>
      <c r="B303" s="9">
        <f t="shared" si="12"/>
        <v>33.588095580333615</v>
      </c>
      <c r="C303" s="9">
        <f t="shared" si="13"/>
        <v>4.2338993956070281</v>
      </c>
      <c r="D303" s="9">
        <f t="shared" si="14"/>
        <v>24.469770084259089</v>
      </c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>
        <f>SUM(IF(Career_History!G41=TRUE,IF(A303&lt;Career_History!D41,0,MIN(A303,Career_History!E41)-Career_History!D41+1),0),IF(Career_History!G42=TRUE,IF(A303&lt;Career_History!D42,0,MIN(A303,Career_History!E42)-Career_History!D42+1),0))/365.2425</f>
        <v>39.587397414046833</v>
      </c>
      <c r="AP303" s="9">
        <f>SUM(IF(Career_History!I41=TRUE,IF(A303&lt;Career_History!D41,0,MIN(A303,Career_History!E41)-Career_History!D41+1),0),IF(Career_History!I42=TRUE,IF(A303&lt;Career_History!D42,0,MIN(A303,Career_History!E42)-Career_History!D42+1),0))/365.2425</f>
        <v>0</v>
      </c>
      <c r="AQ303" s="9">
        <f>SUM(IF(Career_History!H41=TRUE,IF(A303&lt;Career_History!D41,0,MIN(A303,Career_History!E41)-Career_History!D41+1),0),IF(Career_History!H42=TRUE,IF(A303&lt;Career_History!D42,0,MIN(A303,Career_History!E42)-Career_History!D42+1),0))/365.2425</f>
        <v>39.587397414046833</v>
      </c>
      <c r="AR303" s="9">
        <f>SUM(IF(Career_History!G43=TRUE,IF(A303&lt;Career_History!D43,0,MIN(A303,Career_History!E43)-Career_History!D43+1),0),IF(Career_History!G44=TRUE,IF(A303&lt;Career_History!D44,0,MIN(A303,Career_History!E44)-Career_History!D44+1),0),IF(Career_History!G45=TRUE,IF(A303&lt;Career_History!D45,0,MIN(A303,Career_History!E45)-Career_History!D45+1),0),IF(Career_History!G46=TRUE,IF(A303&lt;Career_History!D46,0,MIN(A303,Career_History!E46)-Career_History!D46+1),0))/365.2425</f>
        <v>28.589224966973998</v>
      </c>
      <c r="AS303" s="9">
        <f>SUM(IF(Career_History!I43=TRUE,IF(A303&lt;Career_History!D43,0,MIN(A303,Career_History!E43)-Career_History!D43+1),0),IF(Career_History!I44=TRUE,IF(A303&lt;Career_History!D44,0,MIN(A303,Career_History!E44)-Career_History!D44+1),0),IF(Career_History!I45=TRUE,IF(A303&lt;Career_History!D45,0,MIN(A303,Career_History!E45)-Career_History!D45+1),0),IF(Career_History!I46=TRUE,IF(A303&lt;Career_History!D46,0,MIN(A303,Career_History!E46)-Career_History!D46+1),0))/365.2425</f>
        <v>4.0849572544268531</v>
      </c>
      <c r="AT303" s="9">
        <f>SUM(IF(Career_History!H43=TRUE,IF(A303&lt;Career_History!D43,0,MIN(A303,Career_History!E43)-Career_History!D43+1),0),IF(Career_History!H44=TRUE,IF(A303&lt;Career_History!D44,0,MIN(A303,Career_History!E44)-Career_History!D44+1),0),IF(Career_History!H45=TRUE,IF(A303&lt;Career_History!D45,0,MIN(A303,Career_History!E45)-Career_History!D45+1),0),IF(Career_History!H46=TRUE,IF(A303&lt;Career_History!D46,0,MIN(A303,Career_History!E46)-Career_History!D46+1),0))/365.2425</f>
        <v>23.502193747989349</v>
      </c>
      <c r="AU303" s="9">
        <f>SUM(IF(Career_History!G47=TRUE,IF(A303&lt;Career_History!D47,0,MIN(A303,Career_History!E47)-Career_History!D47+1),0),IF(Career_History!G48=TRUE,IF(A303&lt;Career_History!D48,0,MIN(A303,Career_History!E48)-Career_History!D48+1),0),IF(Career_History!G49=TRUE,IF(A303&lt;Career_History!D49,0,MIN(A303,Career_History!E49)-Career_History!D49+1),0))/365.2425</f>
        <v>31.587233139626413</v>
      </c>
      <c r="AV303" s="9">
        <f>SUM(IF(Career_History!I47=TRUE,IF(A303&lt;Career_History!D47,0,MIN(A303,Career_History!E47)-Career_History!D47+1),0),IF(Career_History!I48=TRUE,IF(A303&lt;Career_History!D48,0,MIN(A303,Career_History!E48)-Career_History!D48+1),0),IF(Career_History!I49=TRUE,IF(A303&lt;Career_History!D49,0,MIN(A303,Career_History!E49)-Career_History!D49+1),0))/365.2425</f>
        <v>16.999664606391644</v>
      </c>
      <c r="AW303" s="9">
        <f>SUM(IF(Career_History!H47=TRUE,IF(A303&lt;Career_History!D47,0,MIN(A303,Career_History!E47)-Career_History!D47+1),0),IF(Career_History!H48=TRUE,IF(A303&lt;Career_History!D48,0,MIN(A303,Career_History!E48)-Career_History!D48+1),0),IF(Career_History!H49=TRUE,IF(A303&lt;Career_History!D49,0,MIN(A303,Career_History!E49)-Career_History!D49+1),0))/365.2425</f>
        <v>14.587568533234768</v>
      </c>
      <c r="AX303" s="9">
        <f>SUM(IF(Career_History!G50=TRUE,IF(A303&lt;Career_History!D50,0,MIN(A303,Career_History!E50)-Career_History!D50+1),0),IF(Career_History!G51=TRUE,IF(A303&lt;Career_History!D51,0,MIN(A303,Career_History!E51)-Career_History!D51+1),0),IF(Career_History!G52=TRUE,IF(A303&lt;Career_History!D52,0,MIN(A303,Career_History!E52)-Career_History!D52+1),0))/365.2425</f>
        <v>24.589142829763787</v>
      </c>
      <c r="AY303" s="9">
        <f>SUM(IF(Career_History!I50=TRUE,IF(A303&lt;Career_History!D50,0,MIN(A303,Career_History!E50)-Career_History!D50+1),0),IF(Career_History!I51=TRUE,IF(A303&lt;Career_History!D51,0,MIN(A303,Career_History!E51)-Career_History!D51+1),0),IF(Career_History!I52=TRUE,IF(A303&lt;Career_History!D52,0,MIN(A303,Career_History!E52)-Career_History!D52+1),0))/365.2425</f>
        <v>8.4875117216643731E-2</v>
      </c>
      <c r="AZ303" s="9">
        <f>SUM(IF(Career_History!H50=TRUE,IF(A303&lt;Career_History!D50,0,MIN(A303,Career_History!E50)-Career_History!D50+1),0),IF(Career_History!H51=TRUE,IF(A303&lt;Career_History!D51,0,MIN(A303,Career_History!E51)-Career_History!D51+1),0),IF(Career_History!H52=TRUE,IF(A303&lt;Career_History!D52,0,MIN(A303,Career_History!E52)-Career_History!D52+1),0))/365.2425</f>
        <v>1.084211174767449</v>
      </c>
      <c r="BA303" s="9">
        <f>SUM(IF(Career_History!G53=TRUE,IF(A303&lt;Career_History!D53,0,MIN(A303,Career_History!E53)-Career_History!D53+1),0),IF(Career_History!G54=TRUE,IF(A303&lt;Career_History!D54,0,MIN(A303,Career_History!E54)-Career_History!D54+1),0),IF(Career_History!G55=TRUE,IF(A303&lt;Career_History!D55,0,MIN(A303,Career_History!E55)-Career_History!D55+1),0),IF(Career_History!G56=TRUE,IF(A303&lt;Career_History!D56,0,MIN(A303,Career_History!E56)-Career_History!D56+1),0),IF(Career_History!G57=TRUE,IF(A303&lt;Career_History!D57,0,MIN(A303,Career_History!E57)-Career_History!D57+1),0))/365.2425</f>
        <v>43.58747955125704</v>
      </c>
      <c r="BB303" s="9">
        <f>SUM(IF(Career_History!I53=TRUE,IF(A303&lt;Career_History!D53,0,MIN(A303,Career_History!E53)-Career_History!D53+1),0),IF(Career_History!I54=TRUE,IF(A303&lt;Career_History!D54,0,MIN(A303,Career_History!E54)-Career_History!D54+1),0),IF(Career_History!I55=TRUE,IF(A303&lt;Career_History!D55,0,MIN(A303,Career_History!E55)-Career_History!D55+1),0),IF(Career_History!I56=TRUE,IF(A303&lt;Career_History!D56,0,MIN(A303,Career_History!E56)-Career_History!D56+1),0),IF(Career_History!I57=TRUE,IF(A303&lt;Career_History!D57,0,MIN(A303,Career_History!E57)-Career_History!D57+1),0))/365.2425</f>
        <v>0</v>
      </c>
      <c r="BC303" s="9">
        <f>SUM(IF(Career_History!H53=TRUE,IF(A303&lt;Career_History!D53,0,MIN(A303,Career_History!E53)-Career_History!D53+1),0),IF(Career_History!H54=TRUE,IF(A303&lt;Career_History!D54,0,MIN(A303,Career_History!E54)-Career_History!D54+1),0),IF(Career_History!H55=TRUE,IF(A303&lt;Career_History!D55,0,MIN(A303,Career_History!E55)-Career_History!D55+1),0),IF(Career_History!H56=TRUE,IF(A303&lt;Career_History!D56,0,MIN(A303,Career_History!E56)-Career_History!D56+1),0),IF(Career_History!H57=TRUE,IF(A303&lt;Career_History!D57,0,MIN(A303,Career_History!E57)-Career_History!D57+1),0))/365.2425</f>
        <v>43.58747955125704</v>
      </c>
      <c r="BD303" s="9"/>
      <c r="BE303" s="9"/>
      <c r="BF303" s="9"/>
      <c r="BG303" s="9"/>
      <c r="BH303" s="9"/>
      <c r="BI303" s="9"/>
      <c r="BJ303" s="9"/>
      <c r="BK303" s="9"/>
      <c r="BL303" s="9"/>
      <c r="BM303" s="9"/>
      <c r="BN303" s="9"/>
      <c r="BO303" s="9"/>
    </row>
    <row r="304" spans="1:67">
      <c r="A304" s="8">
        <v>43890</v>
      </c>
      <c r="B304" s="9">
        <f t="shared" si="12"/>
        <v>33.667494883536278</v>
      </c>
      <c r="C304" s="9">
        <f t="shared" si="13"/>
        <v>4.2338993956070281</v>
      </c>
      <c r="D304" s="9">
        <f t="shared" si="14"/>
        <v>24.549169387461752</v>
      </c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>
        <f>SUM(IF(Career_History!G41=TRUE,IF(A304&lt;Career_History!D41,0,MIN(A304,Career_History!E41)-Career_History!D41+1),0),IF(Career_History!G42=TRUE,IF(A304&lt;Career_History!D42,0,MIN(A304,Career_History!E42)-Career_History!D42+1),0))/365.2425</f>
        <v>39.666796717249497</v>
      </c>
      <c r="AP304" s="9">
        <f>SUM(IF(Career_History!I41=TRUE,IF(A304&lt;Career_History!D41,0,MIN(A304,Career_History!E41)-Career_History!D41+1),0),IF(Career_History!I42=TRUE,IF(A304&lt;Career_History!D42,0,MIN(A304,Career_History!E42)-Career_History!D42+1),0))/365.2425</f>
        <v>0</v>
      </c>
      <c r="AQ304" s="9">
        <f>SUM(IF(Career_History!H41=TRUE,IF(A304&lt;Career_History!D41,0,MIN(A304,Career_History!E41)-Career_History!D41+1),0),IF(Career_History!H42=TRUE,IF(A304&lt;Career_History!D42,0,MIN(A304,Career_History!E42)-Career_History!D42+1),0))/365.2425</f>
        <v>39.666796717249497</v>
      </c>
      <c r="AR304" s="9">
        <f>SUM(IF(Career_History!G43=TRUE,IF(A304&lt;Career_History!D43,0,MIN(A304,Career_History!E43)-Career_History!D43+1),0),IF(Career_History!G44=TRUE,IF(A304&lt;Career_History!D44,0,MIN(A304,Career_History!E44)-Career_History!D44+1),0),IF(Career_History!G45=TRUE,IF(A304&lt;Career_History!D45,0,MIN(A304,Career_History!E45)-Career_History!D45+1),0),IF(Career_History!G46=TRUE,IF(A304&lt;Career_History!D46,0,MIN(A304,Career_History!E46)-Career_History!D46+1),0))/365.2425</f>
        <v>28.668624270176664</v>
      </c>
      <c r="AS304" s="9">
        <f>SUM(IF(Career_History!I43=TRUE,IF(A304&lt;Career_History!D43,0,MIN(A304,Career_History!E43)-Career_History!D43+1),0),IF(Career_History!I44=TRUE,IF(A304&lt;Career_History!D44,0,MIN(A304,Career_History!E44)-Career_History!D44+1),0),IF(Career_History!I45=TRUE,IF(A304&lt;Career_History!D45,0,MIN(A304,Career_History!E45)-Career_History!D45+1),0),IF(Career_History!I46=TRUE,IF(A304&lt;Career_History!D46,0,MIN(A304,Career_History!E46)-Career_History!D46+1),0))/365.2425</f>
        <v>4.0849572544268531</v>
      </c>
      <c r="AT304" s="9">
        <f>SUM(IF(Career_History!H43=TRUE,IF(A304&lt;Career_History!D43,0,MIN(A304,Career_History!E43)-Career_History!D43+1),0),IF(Career_History!H44=TRUE,IF(A304&lt;Career_History!D44,0,MIN(A304,Career_History!E44)-Career_History!D44+1),0),IF(Career_History!H45=TRUE,IF(A304&lt;Career_History!D45,0,MIN(A304,Career_History!E45)-Career_History!D45+1),0),IF(Career_History!H46=TRUE,IF(A304&lt;Career_History!D46,0,MIN(A304,Career_History!E46)-Career_History!D46+1),0))/365.2425</f>
        <v>23.581593051192016</v>
      </c>
      <c r="AU304" s="9">
        <f>SUM(IF(Career_History!G47=TRUE,IF(A304&lt;Career_History!D47,0,MIN(A304,Career_History!E47)-Career_History!D47+1),0),IF(Career_History!G48=TRUE,IF(A304&lt;Career_History!D48,0,MIN(A304,Career_History!E48)-Career_History!D48+1),0),IF(Career_History!G49=TRUE,IF(A304&lt;Career_History!D49,0,MIN(A304,Career_History!E49)-Career_History!D49+1),0))/365.2425</f>
        <v>31.66663244282908</v>
      </c>
      <c r="AV304" s="9">
        <f>SUM(IF(Career_History!I47=TRUE,IF(A304&lt;Career_History!D47,0,MIN(A304,Career_History!E47)-Career_History!D47+1),0),IF(Career_History!I48=TRUE,IF(A304&lt;Career_History!D48,0,MIN(A304,Career_History!E48)-Career_History!D48+1),0),IF(Career_History!I49=TRUE,IF(A304&lt;Career_History!D49,0,MIN(A304,Career_History!E49)-Career_History!D49+1),0))/365.2425</f>
        <v>16.999664606391644</v>
      </c>
      <c r="AW304" s="9">
        <f>SUM(IF(Career_History!H47=TRUE,IF(A304&lt;Career_History!D47,0,MIN(A304,Career_History!E47)-Career_History!D47+1),0),IF(Career_History!H48=TRUE,IF(A304&lt;Career_History!D48,0,MIN(A304,Career_History!E48)-Career_History!D48+1),0),IF(Career_History!H49=TRUE,IF(A304&lt;Career_History!D49,0,MIN(A304,Career_History!E49)-Career_History!D49+1),0))/365.2425</f>
        <v>14.666967836437435</v>
      </c>
      <c r="AX304" s="9">
        <f>SUM(IF(Career_History!G50=TRUE,IF(A304&lt;Career_History!D50,0,MIN(A304,Career_History!E50)-Career_History!D50+1),0),IF(Career_History!G51=TRUE,IF(A304&lt;Career_History!D51,0,MIN(A304,Career_History!E51)-Career_History!D51+1),0),IF(Career_History!G52=TRUE,IF(A304&lt;Career_History!D52,0,MIN(A304,Career_History!E52)-Career_History!D52+1),0))/365.2425</f>
        <v>24.668542132966454</v>
      </c>
      <c r="AY304" s="9">
        <f>SUM(IF(Career_History!I50=TRUE,IF(A304&lt;Career_History!D50,0,MIN(A304,Career_History!E50)-Career_History!D50+1),0),IF(Career_History!I51=TRUE,IF(A304&lt;Career_History!D51,0,MIN(A304,Career_History!E51)-Career_History!D51+1),0),IF(Career_History!I52=TRUE,IF(A304&lt;Career_History!D52,0,MIN(A304,Career_History!E52)-Career_History!D52+1),0))/365.2425</f>
        <v>8.4875117216643731E-2</v>
      </c>
      <c r="AZ304" s="9">
        <f>SUM(IF(Career_History!H50=TRUE,IF(A304&lt;Career_History!D50,0,MIN(A304,Career_History!E50)-Career_History!D50+1),0),IF(Career_History!H51=TRUE,IF(A304&lt;Career_History!D51,0,MIN(A304,Career_History!E51)-Career_History!D51+1),0),IF(Career_History!H52=TRUE,IF(A304&lt;Career_History!D52,0,MIN(A304,Career_History!E52)-Career_History!D52+1),0))/365.2425</f>
        <v>1.1636104779701157</v>
      </c>
      <c r="BA304" s="9">
        <f>SUM(IF(Career_History!G53=TRUE,IF(A304&lt;Career_History!D53,0,MIN(A304,Career_History!E53)-Career_History!D53+1),0),IF(Career_History!G54=TRUE,IF(A304&lt;Career_History!D54,0,MIN(A304,Career_History!E54)-Career_History!D54+1),0),IF(Career_History!G55=TRUE,IF(A304&lt;Career_History!D55,0,MIN(A304,Career_History!E55)-Career_History!D55+1),0),IF(Career_History!G56=TRUE,IF(A304&lt;Career_History!D56,0,MIN(A304,Career_History!E56)-Career_History!D56+1),0),IF(Career_History!G57=TRUE,IF(A304&lt;Career_History!D57,0,MIN(A304,Career_History!E57)-Career_History!D57+1),0))/365.2425</f>
        <v>43.666878854459711</v>
      </c>
      <c r="BB304" s="9">
        <f>SUM(IF(Career_History!I53=TRUE,IF(A304&lt;Career_History!D53,0,MIN(A304,Career_History!E53)-Career_History!D53+1),0),IF(Career_History!I54=TRUE,IF(A304&lt;Career_History!D54,0,MIN(A304,Career_History!E54)-Career_History!D54+1),0),IF(Career_History!I55=TRUE,IF(A304&lt;Career_History!D55,0,MIN(A304,Career_History!E55)-Career_History!D55+1),0),IF(Career_History!I56=TRUE,IF(A304&lt;Career_History!D56,0,MIN(A304,Career_History!E56)-Career_History!D56+1),0),IF(Career_History!I57=TRUE,IF(A304&lt;Career_History!D57,0,MIN(A304,Career_History!E57)-Career_History!D57+1),0))/365.2425</f>
        <v>0</v>
      </c>
      <c r="BC304" s="9">
        <f>SUM(IF(Career_History!H53=TRUE,IF(A304&lt;Career_History!D53,0,MIN(A304,Career_History!E53)-Career_History!D53+1),0),IF(Career_History!H54=TRUE,IF(A304&lt;Career_History!D54,0,MIN(A304,Career_History!E54)-Career_History!D54+1),0),IF(Career_History!H55=TRUE,IF(A304&lt;Career_History!D55,0,MIN(A304,Career_History!E55)-Career_History!D55+1),0),IF(Career_History!H56=TRUE,IF(A304&lt;Career_History!D56,0,MIN(A304,Career_History!E56)-Career_History!D56+1),0),IF(Career_History!H57=TRUE,IF(A304&lt;Career_History!D57,0,MIN(A304,Career_History!E57)-Career_History!D57+1),0))/365.2425</f>
        <v>43.666878854459711</v>
      </c>
      <c r="BD304" s="9"/>
      <c r="BE304" s="9"/>
      <c r="BF304" s="9"/>
      <c r="BG304" s="9"/>
      <c r="BH304" s="9"/>
      <c r="BI304" s="9"/>
      <c r="BJ304" s="9"/>
      <c r="BK304" s="9"/>
      <c r="BL304" s="9"/>
      <c r="BM304" s="9"/>
      <c r="BN304" s="9"/>
      <c r="BO304" s="9"/>
    </row>
    <row r="305" spans="1:67">
      <c r="A305" s="8">
        <v>43921</v>
      </c>
      <c r="B305" s="9">
        <f t="shared" si="12"/>
        <v>33.752370000752926</v>
      </c>
      <c r="C305" s="9">
        <f t="shared" si="13"/>
        <v>4.2338993956070281</v>
      </c>
      <c r="D305" s="9">
        <f t="shared" si="14"/>
        <v>24.6340445046784</v>
      </c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>
        <f>SUM(IF(Career_History!G41=TRUE,IF(A305&lt;Career_History!D41,0,MIN(A305,Career_History!E41)-Career_History!D41+1),0),IF(Career_History!G42=TRUE,IF(A305&lt;Career_History!D42,0,MIN(A305,Career_History!E42)-Career_History!D42+1),0))/365.2425</f>
        <v>39.751671834466144</v>
      </c>
      <c r="AP305" s="9">
        <f>SUM(IF(Career_History!I41=TRUE,IF(A305&lt;Career_History!D41,0,MIN(A305,Career_History!E41)-Career_History!D41+1),0),IF(Career_History!I42=TRUE,IF(A305&lt;Career_History!D42,0,MIN(A305,Career_History!E42)-Career_History!D42+1),0))/365.2425</f>
        <v>0</v>
      </c>
      <c r="AQ305" s="9">
        <f>SUM(IF(Career_History!H41=TRUE,IF(A305&lt;Career_History!D41,0,MIN(A305,Career_History!E41)-Career_History!D41+1),0),IF(Career_History!H42=TRUE,IF(A305&lt;Career_History!D42,0,MIN(A305,Career_History!E42)-Career_History!D42+1),0))/365.2425</f>
        <v>39.751671834466144</v>
      </c>
      <c r="AR305" s="9">
        <f>SUM(IF(Career_History!G43=TRUE,IF(A305&lt;Career_History!D43,0,MIN(A305,Career_History!E43)-Career_History!D43+1),0),IF(Career_History!G44=TRUE,IF(A305&lt;Career_History!D44,0,MIN(A305,Career_History!E44)-Career_History!D44+1),0),IF(Career_History!G45=TRUE,IF(A305&lt;Career_History!D45,0,MIN(A305,Career_History!E45)-Career_History!D45+1),0),IF(Career_History!G46=TRUE,IF(A305&lt;Career_History!D46,0,MIN(A305,Career_History!E46)-Career_History!D46+1),0))/365.2425</f>
        <v>28.753499387393308</v>
      </c>
      <c r="AS305" s="9">
        <f>SUM(IF(Career_History!I43=TRUE,IF(A305&lt;Career_History!D43,0,MIN(A305,Career_History!E43)-Career_History!D43+1),0),IF(Career_History!I44=TRUE,IF(A305&lt;Career_History!D44,0,MIN(A305,Career_History!E44)-Career_History!D44+1),0),IF(Career_History!I45=TRUE,IF(A305&lt;Career_History!D45,0,MIN(A305,Career_History!E45)-Career_History!D45+1),0),IF(Career_History!I46=TRUE,IF(A305&lt;Career_History!D46,0,MIN(A305,Career_History!E46)-Career_History!D46+1),0))/365.2425</f>
        <v>4.0849572544268531</v>
      </c>
      <c r="AT305" s="9">
        <f>SUM(IF(Career_History!H43=TRUE,IF(A305&lt;Career_History!D43,0,MIN(A305,Career_History!E43)-Career_History!D43+1),0),IF(Career_History!H44=TRUE,IF(A305&lt;Career_History!D44,0,MIN(A305,Career_History!E44)-Career_History!D44+1),0),IF(Career_History!H45=TRUE,IF(A305&lt;Career_History!D45,0,MIN(A305,Career_History!E45)-Career_History!D45+1),0),IF(Career_History!H46=TRUE,IF(A305&lt;Career_History!D46,0,MIN(A305,Career_History!E46)-Career_History!D46+1),0))/365.2425</f>
        <v>23.66646816840866</v>
      </c>
      <c r="AU305" s="9">
        <f>SUM(IF(Career_History!G47=TRUE,IF(A305&lt;Career_History!D47,0,MIN(A305,Career_History!E47)-Career_History!D47+1),0),IF(Career_History!G48=TRUE,IF(A305&lt;Career_History!D48,0,MIN(A305,Career_History!E48)-Career_History!D48+1),0),IF(Career_History!G49=TRUE,IF(A305&lt;Career_History!D49,0,MIN(A305,Career_History!E49)-Career_History!D49+1),0))/365.2425</f>
        <v>31.751507560045724</v>
      </c>
      <c r="AV305" s="9">
        <f>SUM(IF(Career_History!I47=TRUE,IF(A305&lt;Career_History!D47,0,MIN(A305,Career_History!E47)-Career_History!D47+1),0),IF(Career_History!I48=TRUE,IF(A305&lt;Career_History!D48,0,MIN(A305,Career_History!E48)-Career_History!D48+1),0),IF(Career_History!I49=TRUE,IF(A305&lt;Career_History!D49,0,MIN(A305,Career_History!E49)-Career_History!D49+1),0))/365.2425</f>
        <v>16.999664606391644</v>
      </c>
      <c r="AW305" s="9">
        <f>SUM(IF(Career_History!H47=TRUE,IF(A305&lt;Career_History!D47,0,MIN(A305,Career_History!E47)-Career_History!D47+1),0),IF(Career_History!H48=TRUE,IF(A305&lt;Career_History!D48,0,MIN(A305,Career_History!E48)-Career_History!D48+1),0),IF(Career_History!H49=TRUE,IF(A305&lt;Career_History!D49,0,MIN(A305,Career_History!E49)-Career_History!D49+1),0))/365.2425</f>
        <v>14.751842953654078</v>
      </c>
      <c r="AX305" s="9">
        <f>SUM(IF(Career_History!G50=TRUE,IF(A305&lt;Career_History!D50,0,MIN(A305,Career_History!E50)-Career_History!D50+1),0),IF(Career_History!G51=TRUE,IF(A305&lt;Career_History!D51,0,MIN(A305,Career_History!E51)-Career_History!D51+1),0),IF(Career_History!G52=TRUE,IF(A305&lt;Career_History!D52,0,MIN(A305,Career_History!E52)-Career_History!D52+1),0))/365.2425</f>
        <v>24.753417250183098</v>
      </c>
      <c r="AY305" s="9">
        <f>SUM(IF(Career_History!I50=TRUE,IF(A305&lt;Career_History!D50,0,MIN(A305,Career_History!E50)-Career_History!D50+1),0),IF(Career_History!I51=TRUE,IF(A305&lt;Career_History!D51,0,MIN(A305,Career_History!E51)-Career_History!D51+1),0),IF(Career_History!I52=TRUE,IF(A305&lt;Career_History!D52,0,MIN(A305,Career_History!E52)-Career_History!D52+1),0))/365.2425</f>
        <v>8.4875117216643731E-2</v>
      </c>
      <c r="AZ305" s="9">
        <f>SUM(IF(Career_History!H50=TRUE,IF(A305&lt;Career_History!D50,0,MIN(A305,Career_History!E50)-Career_History!D50+1),0),IF(Career_History!H51=TRUE,IF(A305&lt;Career_History!D51,0,MIN(A305,Career_History!E51)-Career_History!D51+1),0),IF(Career_History!H52=TRUE,IF(A305&lt;Career_History!D52,0,MIN(A305,Career_History!E52)-Career_History!D52+1),0))/365.2425</f>
        <v>1.2484855951867595</v>
      </c>
      <c r="BA305" s="9">
        <f>SUM(IF(Career_History!G53=TRUE,IF(A305&lt;Career_History!D53,0,MIN(A305,Career_History!E53)-Career_History!D53+1),0),IF(Career_History!G54=TRUE,IF(A305&lt;Career_History!D54,0,MIN(A305,Career_History!E54)-Career_History!D54+1),0),IF(Career_History!G55=TRUE,IF(A305&lt;Career_History!D55,0,MIN(A305,Career_History!E55)-Career_History!D55+1),0),IF(Career_History!G56=TRUE,IF(A305&lt;Career_History!D56,0,MIN(A305,Career_History!E56)-Career_History!D56+1),0),IF(Career_History!G57=TRUE,IF(A305&lt;Career_History!D57,0,MIN(A305,Career_History!E57)-Career_History!D57+1),0))/365.2425</f>
        <v>43.751753971676351</v>
      </c>
      <c r="BB305" s="9">
        <f>SUM(IF(Career_History!I53=TRUE,IF(A305&lt;Career_History!D53,0,MIN(A305,Career_History!E53)-Career_History!D53+1),0),IF(Career_History!I54=TRUE,IF(A305&lt;Career_History!D54,0,MIN(A305,Career_History!E54)-Career_History!D54+1),0),IF(Career_History!I55=TRUE,IF(A305&lt;Career_History!D55,0,MIN(A305,Career_History!E55)-Career_History!D55+1),0),IF(Career_History!I56=TRUE,IF(A305&lt;Career_History!D56,0,MIN(A305,Career_History!E56)-Career_History!D56+1),0),IF(Career_History!I57=TRUE,IF(A305&lt;Career_History!D57,0,MIN(A305,Career_History!E57)-Career_History!D57+1),0))/365.2425</f>
        <v>0</v>
      </c>
      <c r="BC305" s="9">
        <f>SUM(IF(Career_History!H53=TRUE,IF(A305&lt;Career_History!D53,0,MIN(A305,Career_History!E53)-Career_History!D53+1),0),IF(Career_History!H54=TRUE,IF(A305&lt;Career_History!D54,0,MIN(A305,Career_History!E54)-Career_History!D54+1),0),IF(Career_History!H55=TRUE,IF(A305&lt;Career_History!D55,0,MIN(A305,Career_History!E55)-Career_History!D55+1),0),IF(Career_History!H56=TRUE,IF(A305&lt;Career_History!D56,0,MIN(A305,Career_History!E56)-Career_History!D56+1),0),IF(Career_History!H57=TRUE,IF(A305&lt;Career_History!D57,0,MIN(A305,Career_History!E57)-Career_History!D57+1),0))/365.2425</f>
        <v>43.751753971676351</v>
      </c>
      <c r="BD305" s="9"/>
      <c r="BE305" s="9"/>
      <c r="BF305" s="9"/>
      <c r="BG305" s="9"/>
      <c r="BH305" s="9"/>
      <c r="BI305" s="9"/>
      <c r="BJ305" s="9"/>
      <c r="BK305" s="9"/>
      <c r="BL305" s="9"/>
      <c r="BM305" s="9"/>
      <c r="BN305" s="9"/>
      <c r="BO305" s="9"/>
    </row>
    <row r="306" spans="1:67">
      <c r="A306" s="8">
        <v>43951</v>
      </c>
      <c r="B306" s="9">
        <f t="shared" si="12"/>
        <v>33.834507210962578</v>
      </c>
      <c r="C306" s="9">
        <f t="shared" si="13"/>
        <v>4.2338993956070281</v>
      </c>
      <c r="D306" s="9">
        <f t="shared" si="14"/>
        <v>24.716181714888052</v>
      </c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>
        <f>SUM(IF(Career_History!G41=TRUE,IF(A306&lt;Career_History!D41,0,MIN(A306,Career_History!E41)-Career_History!D41+1),0),IF(Career_History!G42=TRUE,IF(A306&lt;Career_History!D42,0,MIN(A306,Career_History!E42)-Career_History!D42+1),0))/365.2425</f>
        <v>39.833809044675796</v>
      </c>
      <c r="AP306" s="9">
        <f>SUM(IF(Career_History!I41=TRUE,IF(A306&lt;Career_History!D41,0,MIN(A306,Career_History!E41)-Career_History!D41+1),0),IF(Career_History!I42=TRUE,IF(A306&lt;Career_History!D42,0,MIN(A306,Career_History!E42)-Career_History!D42+1),0))/365.2425</f>
        <v>0</v>
      </c>
      <c r="AQ306" s="9">
        <f>SUM(IF(Career_History!H41=TRUE,IF(A306&lt;Career_History!D41,0,MIN(A306,Career_History!E41)-Career_History!D41+1),0),IF(Career_History!H42=TRUE,IF(A306&lt;Career_History!D42,0,MIN(A306,Career_History!E42)-Career_History!D42+1),0))/365.2425</f>
        <v>39.833809044675796</v>
      </c>
      <c r="AR306" s="9">
        <f>SUM(IF(Career_History!G43=TRUE,IF(A306&lt;Career_History!D43,0,MIN(A306,Career_History!E43)-Career_History!D43+1),0),IF(Career_History!G44=TRUE,IF(A306&lt;Career_History!D44,0,MIN(A306,Career_History!E44)-Career_History!D44+1),0),IF(Career_History!G45=TRUE,IF(A306&lt;Career_History!D45,0,MIN(A306,Career_History!E45)-Career_History!D45+1),0),IF(Career_History!G46=TRUE,IF(A306&lt;Career_History!D46,0,MIN(A306,Career_History!E46)-Career_History!D46+1),0))/365.2425</f>
        <v>28.835636597602964</v>
      </c>
      <c r="AS306" s="9">
        <f>SUM(IF(Career_History!I43=TRUE,IF(A306&lt;Career_History!D43,0,MIN(A306,Career_History!E43)-Career_History!D43+1),0),IF(Career_History!I44=TRUE,IF(A306&lt;Career_History!D44,0,MIN(A306,Career_History!E44)-Career_History!D44+1),0),IF(Career_History!I45=TRUE,IF(A306&lt;Career_History!D45,0,MIN(A306,Career_History!E45)-Career_History!D45+1),0),IF(Career_History!I46=TRUE,IF(A306&lt;Career_History!D46,0,MIN(A306,Career_History!E46)-Career_History!D46+1),0))/365.2425</f>
        <v>4.0849572544268531</v>
      </c>
      <c r="AT306" s="9">
        <f>SUM(IF(Career_History!H43=TRUE,IF(A306&lt;Career_History!D43,0,MIN(A306,Career_History!E43)-Career_History!D43+1),0),IF(Career_History!H44=TRUE,IF(A306&lt;Career_History!D44,0,MIN(A306,Career_History!E44)-Career_History!D44+1),0),IF(Career_History!H45=TRUE,IF(A306&lt;Career_History!D45,0,MIN(A306,Career_History!E45)-Career_History!D45+1),0),IF(Career_History!H46=TRUE,IF(A306&lt;Career_History!D46,0,MIN(A306,Career_History!E46)-Career_History!D46+1),0))/365.2425</f>
        <v>23.748605378618315</v>
      </c>
      <c r="AU306" s="9">
        <f>SUM(IF(Career_History!G47=TRUE,IF(A306&lt;Career_History!D47,0,MIN(A306,Career_History!E47)-Career_History!D47+1),0),IF(Career_History!G48=TRUE,IF(A306&lt;Career_History!D48,0,MIN(A306,Career_History!E48)-Career_History!D48+1),0),IF(Career_History!G49=TRUE,IF(A306&lt;Career_History!D49,0,MIN(A306,Career_History!E49)-Career_History!D49+1),0))/365.2425</f>
        <v>31.833644770255379</v>
      </c>
      <c r="AV306" s="9">
        <f>SUM(IF(Career_History!I47=TRUE,IF(A306&lt;Career_History!D47,0,MIN(A306,Career_History!E47)-Career_History!D47+1),0),IF(Career_History!I48=TRUE,IF(A306&lt;Career_History!D48,0,MIN(A306,Career_History!E48)-Career_History!D48+1),0),IF(Career_History!I49=TRUE,IF(A306&lt;Career_History!D49,0,MIN(A306,Career_History!E49)-Career_History!D49+1),0))/365.2425</f>
        <v>16.999664606391644</v>
      </c>
      <c r="AW306" s="9">
        <f>SUM(IF(Career_History!H47=TRUE,IF(A306&lt;Career_History!D47,0,MIN(A306,Career_History!E47)-Career_History!D47+1),0),IF(Career_History!H48=TRUE,IF(A306&lt;Career_History!D48,0,MIN(A306,Career_History!E48)-Career_History!D48+1),0),IF(Career_History!H49=TRUE,IF(A306&lt;Career_History!D49,0,MIN(A306,Career_History!E49)-Career_History!D49+1),0))/365.2425</f>
        <v>14.833980163863734</v>
      </c>
      <c r="AX306" s="9">
        <f>SUM(IF(Career_History!G50=TRUE,IF(A306&lt;Career_History!D50,0,MIN(A306,Career_History!E50)-Career_History!D50+1),0),IF(Career_History!G51=TRUE,IF(A306&lt;Career_History!D51,0,MIN(A306,Career_History!E51)-Career_History!D51+1),0),IF(Career_History!G52=TRUE,IF(A306&lt;Career_History!D52,0,MIN(A306,Career_History!E52)-Career_History!D52+1),0))/365.2425</f>
        <v>24.835554460392753</v>
      </c>
      <c r="AY306" s="9">
        <f>SUM(IF(Career_History!I50=TRUE,IF(A306&lt;Career_History!D50,0,MIN(A306,Career_History!E50)-Career_History!D50+1),0),IF(Career_History!I51=TRUE,IF(A306&lt;Career_History!D51,0,MIN(A306,Career_History!E51)-Career_History!D51+1),0),IF(Career_History!I52=TRUE,IF(A306&lt;Career_History!D52,0,MIN(A306,Career_History!E52)-Career_History!D52+1),0))/365.2425</f>
        <v>8.4875117216643731E-2</v>
      </c>
      <c r="AZ306" s="9">
        <f>SUM(IF(Career_History!H50=TRUE,IF(A306&lt;Career_History!D50,0,MIN(A306,Career_History!E50)-Career_History!D50+1),0),IF(Career_History!H51=TRUE,IF(A306&lt;Career_History!D51,0,MIN(A306,Career_History!E51)-Career_History!D51+1),0),IF(Career_History!H52=TRUE,IF(A306&lt;Career_History!D52,0,MIN(A306,Career_History!E52)-Career_History!D52+1),0))/365.2425</f>
        <v>1.3306228053964146</v>
      </c>
      <c r="BA306" s="9">
        <f>SUM(IF(Career_History!G53=TRUE,IF(A306&lt;Career_History!D53,0,MIN(A306,Career_History!E53)-Career_History!D53+1),0),IF(Career_History!G54=TRUE,IF(A306&lt;Career_History!D54,0,MIN(A306,Career_History!E54)-Career_History!D54+1),0),IF(Career_History!G55=TRUE,IF(A306&lt;Career_History!D55,0,MIN(A306,Career_History!E55)-Career_History!D55+1),0),IF(Career_History!G56=TRUE,IF(A306&lt;Career_History!D56,0,MIN(A306,Career_History!E56)-Career_History!D56+1),0),IF(Career_History!G57=TRUE,IF(A306&lt;Career_History!D57,0,MIN(A306,Career_History!E57)-Career_History!D57+1),0))/365.2425</f>
        <v>43.83389118188601</v>
      </c>
      <c r="BB306" s="9">
        <f>SUM(IF(Career_History!I53=TRUE,IF(A306&lt;Career_History!D53,0,MIN(A306,Career_History!E53)-Career_History!D53+1),0),IF(Career_History!I54=TRUE,IF(A306&lt;Career_History!D54,0,MIN(A306,Career_History!E54)-Career_History!D54+1),0),IF(Career_History!I55=TRUE,IF(A306&lt;Career_History!D55,0,MIN(A306,Career_History!E55)-Career_History!D55+1),0),IF(Career_History!I56=TRUE,IF(A306&lt;Career_History!D56,0,MIN(A306,Career_History!E56)-Career_History!D56+1),0),IF(Career_History!I57=TRUE,IF(A306&lt;Career_History!D57,0,MIN(A306,Career_History!E57)-Career_History!D57+1),0))/365.2425</f>
        <v>0</v>
      </c>
      <c r="BC306" s="9">
        <f>SUM(IF(Career_History!H53=TRUE,IF(A306&lt;Career_History!D53,0,MIN(A306,Career_History!E53)-Career_History!D53+1),0),IF(Career_History!H54=TRUE,IF(A306&lt;Career_History!D54,0,MIN(A306,Career_History!E54)-Career_History!D54+1),0),IF(Career_History!H55=TRUE,IF(A306&lt;Career_History!D55,0,MIN(A306,Career_History!E55)-Career_History!D55+1),0),IF(Career_History!H56=TRUE,IF(A306&lt;Career_History!D56,0,MIN(A306,Career_History!E56)-Career_History!D56+1),0),IF(Career_History!H57=TRUE,IF(A306&lt;Career_History!D57,0,MIN(A306,Career_History!E57)-Career_History!D57+1),0))/365.2425</f>
        <v>43.83389118188601</v>
      </c>
      <c r="BD306" s="9"/>
      <c r="BE306" s="9"/>
      <c r="BF306" s="9"/>
      <c r="BG306" s="9"/>
      <c r="BH306" s="9"/>
      <c r="BI306" s="9"/>
      <c r="BJ306" s="9"/>
      <c r="BK306" s="9"/>
      <c r="BL306" s="9"/>
      <c r="BM306" s="9"/>
      <c r="BN306" s="9"/>
      <c r="BO306" s="9"/>
    </row>
    <row r="307" spans="1:67">
      <c r="A307" s="8">
        <v>43982</v>
      </c>
      <c r="B307" s="9">
        <f t="shared" si="12"/>
        <v>33.919382328179225</v>
      </c>
      <c r="C307" s="9">
        <f t="shared" si="13"/>
        <v>4.2338993956070281</v>
      </c>
      <c r="D307" s="9">
        <f t="shared" si="14"/>
        <v>24.801056832104699</v>
      </c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>
        <f>SUM(IF(Career_History!G41=TRUE,IF(A307&lt;Career_History!D41,0,MIN(A307,Career_History!E41)-Career_History!D41+1),0),IF(Career_History!G42=TRUE,IF(A307&lt;Career_History!D42,0,MIN(A307,Career_History!E42)-Career_History!D42+1),0))/365.2425</f>
        <v>39.918684161892443</v>
      </c>
      <c r="AP307" s="9">
        <f>SUM(IF(Career_History!I41=TRUE,IF(A307&lt;Career_History!D41,0,MIN(A307,Career_History!E41)-Career_History!D41+1),0),IF(Career_History!I42=TRUE,IF(A307&lt;Career_History!D42,0,MIN(A307,Career_History!E42)-Career_History!D42+1),0))/365.2425</f>
        <v>0</v>
      </c>
      <c r="AQ307" s="9">
        <f>SUM(IF(Career_History!H41=TRUE,IF(A307&lt;Career_History!D41,0,MIN(A307,Career_History!E41)-Career_History!D41+1),0),IF(Career_History!H42=TRUE,IF(A307&lt;Career_History!D42,0,MIN(A307,Career_History!E42)-Career_History!D42+1),0))/365.2425</f>
        <v>39.918684161892443</v>
      </c>
      <c r="AR307" s="9">
        <f>SUM(IF(Career_History!G43=TRUE,IF(A307&lt;Career_History!D43,0,MIN(A307,Career_History!E43)-Career_History!D43+1),0),IF(Career_History!G44=TRUE,IF(A307&lt;Career_History!D44,0,MIN(A307,Career_History!E44)-Career_History!D44+1),0),IF(Career_History!G45=TRUE,IF(A307&lt;Career_History!D45,0,MIN(A307,Career_History!E45)-Career_History!D45+1),0),IF(Career_History!G46=TRUE,IF(A307&lt;Career_History!D46,0,MIN(A307,Career_History!E46)-Career_History!D46+1),0))/365.2425</f>
        <v>28.920511714819607</v>
      </c>
      <c r="AS307" s="9">
        <f>SUM(IF(Career_History!I43=TRUE,IF(A307&lt;Career_History!D43,0,MIN(A307,Career_History!E43)-Career_History!D43+1),0),IF(Career_History!I44=TRUE,IF(A307&lt;Career_History!D44,0,MIN(A307,Career_History!E44)-Career_History!D44+1),0),IF(Career_History!I45=TRUE,IF(A307&lt;Career_History!D45,0,MIN(A307,Career_History!E45)-Career_History!D45+1),0),IF(Career_History!I46=TRUE,IF(A307&lt;Career_History!D46,0,MIN(A307,Career_History!E46)-Career_History!D46+1),0))/365.2425</f>
        <v>4.0849572544268531</v>
      </c>
      <c r="AT307" s="9">
        <f>SUM(IF(Career_History!H43=TRUE,IF(A307&lt;Career_History!D43,0,MIN(A307,Career_History!E43)-Career_History!D43+1),0),IF(Career_History!H44=TRUE,IF(A307&lt;Career_History!D44,0,MIN(A307,Career_History!E44)-Career_History!D44+1),0),IF(Career_History!H45=TRUE,IF(A307&lt;Career_History!D45,0,MIN(A307,Career_History!E45)-Career_History!D45+1),0),IF(Career_History!H46=TRUE,IF(A307&lt;Career_History!D46,0,MIN(A307,Career_History!E46)-Career_History!D46+1),0))/365.2425</f>
        <v>23.833480495834959</v>
      </c>
      <c r="AU307" s="9">
        <f>SUM(IF(Career_History!G47=TRUE,IF(A307&lt;Career_History!D47,0,MIN(A307,Career_History!E47)-Career_History!D47+1),0),IF(Career_History!G48=TRUE,IF(A307&lt;Career_History!D48,0,MIN(A307,Career_History!E48)-Career_History!D48+1),0),IF(Career_History!G49=TRUE,IF(A307&lt;Career_History!D49,0,MIN(A307,Career_History!E49)-Career_History!D49+1),0))/365.2425</f>
        <v>31.918519887472023</v>
      </c>
      <c r="AV307" s="9">
        <f>SUM(IF(Career_History!I47=TRUE,IF(A307&lt;Career_History!D47,0,MIN(A307,Career_History!E47)-Career_History!D47+1),0),IF(Career_History!I48=TRUE,IF(A307&lt;Career_History!D48,0,MIN(A307,Career_History!E48)-Career_History!D48+1),0),IF(Career_History!I49=TRUE,IF(A307&lt;Career_History!D49,0,MIN(A307,Career_History!E49)-Career_History!D49+1),0))/365.2425</f>
        <v>16.999664606391644</v>
      </c>
      <c r="AW307" s="9">
        <f>SUM(IF(Career_History!H47=TRUE,IF(A307&lt;Career_History!D47,0,MIN(A307,Career_History!E47)-Career_History!D47+1),0),IF(Career_History!H48=TRUE,IF(A307&lt;Career_History!D48,0,MIN(A307,Career_History!E48)-Career_History!D48+1),0),IF(Career_History!H49=TRUE,IF(A307&lt;Career_History!D49,0,MIN(A307,Career_History!E49)-Career_History!D49+1),0))/365.2425</f>
        <v>14.918855281080377</v>
      </c>
      <c r="AX307" s="9">
        <f>SUM(IF(Career_History!G50=TRUE,IF(A307&lt;Career_History!D50,0,MIN(A307,Career_History!E50)-Career_History!D50+1),0),IF(Career_History!G51=TRUE,IF(A307&lt;Career_History!D51,0,MIN(A307,Career_History!E51)-Career_History!D51+1),0),IF(Career_History!G52=TRUE,IF(A307&lt;Career_History!D52,0,MIN(A307,Career_History!E52)-Career_History!D52+1),0))/365.2425</f>
        <v>24.920429577609397</v>
      </c>
      <c r="AY307" s="9">
        <f>SUM(IF(Career_History!I50=TRUE,IF(A307&lt;Career_History!D50,0,MIN(A307,Career_History!E50)-Career_History!D50+1),0),IF(Career_History!I51=TRUE,IF(A307&lt;Career_History!D51,0,MIN(A307,Career_History!E51)-Career_History!D51+1),0),IF(Career_History!I52=TRUE,IF(A307&lt;Career_History!D52,0,MIN(A307,Career_History!E52)-Career_History!D52+1),0))/365.2425</f>
        <v>8.4875117216643731E-2</v>
      </c>
      <c r="AZ307" s="9">
        <f>SUM(IF(Career_History!H50=TRUE,IF(A307&lt;Career_History!D50,0,MIN(A307,Career_History!E50)-Career_History!D50+1),0),IF(Career_History!H51=TRUE,IF(A307&lt;Career_History!D51,0,MIN(A307,Career_History!E51)-Career_History!D51+1),0),IF(Career_History!H52=TRUE,IF(A307&lt;Career_History!D52,0,MIN(A307,Career_History!E52)-Career_History!D52+1),0))/365.2425</f>
        <v>1.4154979226130584</v>
      </c>
      <c r="BA307" s="9">
        <f>SUM(IF(Career_History!G53=TRUE,IF(A307&lt;Career_History!D53,0,MIN(A307,Career_History!E53)-Career_History!D53+1),0),IF(Career_History!G54=TRUE,IF(A307&lt;Career_History!D54,0,MIN(A307,Career_History!E54)-Career_History!D54+1),0),IF(Career_History!G55=TRUE,IF(A307&lt;Career_History!D55,0,MIN(A307,Career_History!E55)-Career_History!D55+1),0),IF(Career_History!G56=TRUE,IF(A307&lt;Career_History!D56,0,MIN(A307,Career_History!E56)-Career_History!D56+1),0),IF(Career_History!G57=TRUE,IF(A307&lt;Career_History!D57,0,MIN(A307,Career_History!E57)-Career_History!D57+1),0))/365.2425</f>
        <v>43.91876629910265</v>
      </c>
      <c r="BB307" s="9">
        <f>SUM(IF(Career_History!I53=TRUE,IF(A307&lt;Career_History!D53,0,MIN(A307,Career_History!E53)-Career_History!D53+1),0),IF(Career_History!I54=TRUE,IF(A307&lt;Career_History!D54,0,MIN(A307,Career_History!E54)-Career_History!D54+1),0),IF(Career_History!I55=TRUE,IF(A307&lt;Career_History!D55,0,MIN(A307,Career_History!E55)-Career_History!D55+1),0),IF(Career_History!I56=TRUE,IF(A307&lt;Career_History!D56,0,MIN(A307,Career_History!E56)-Career_History!D56+1),0),IF(Career_History!I57=TRUE,IF(A307&lt;Career_History!D57,0,MIN(A307,Career_History!E57)-Career_History!D57+1),0))/365.2425</f>
        <v>0</v>
      </c>
      <c r="BC307" s="9">
        <f>SUM(IF(Career_History!H53=TRUE,IF(A307&lt;Career_History!D53,0,MIN(A307,Career_History!E53)-Career_History!D53+1),0),IF(Career_History!H54=TRUE,IF(A307&lt;Career_History!D54,0,MIN(A307,Career_History!E54)-Career_History!D54+1),0),IF(Career_History!H55=TRUE,IF(A307&lt;Career_History!D55,0,MIN(A307,Career_History!E55)-Career_History!D55+1),0),IF(Career_History!H56=TRUE,IF(A307&lt;Career_History!D56,0,MIN(A307,Career_History!E56)-Career_History!D56+1),0),IF(Career_History!H57=TRUE,IF(A307&lt;Career_History!D57,0,MIN(A307,Career_History!E57)-Career_History!D57+1),0))/365.2425</f>
        <v>43.91876629910265</v>
      </c>
      <c r="BD307" s="9"/>
      <c r="BE307" s="9"/>
      <c r="BF307" s="9"/>
      <c r="BG307" s="9"/>
      <c r="BH307" s="9"/>
      <c r="BI307" s="9"/>
      <c r="BJ307" s="9"/>
      <c r="BK307" s="9"/>
      <c r="BL307" s="9"/>
      <c r="BM307" s="9"/>
      <c r="BN307" s="9"/>
      <c r="BO307" s="9"/>
    </row>
    <row r="308" spans="1:67">
      <c r="A308" s="8">
        <v>44012</v>
      </c>
      <c r="B308" s="9">
        <f t="shared" si="12"/>
        <v>34.001519538388877</v>
      </c>
      <c r="C308" s="9">
        <f t="shared" si="13"/>
        <v>4.2338993956070281</v>
      </c>
      <c r="D308" s="9">
        <f t="shared" si="14"/>
        <v>24.883194042314351</v>
      </c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>
        <f>SUM(IF(Career_History!G41=TRUE,IF(A308&lt;Career_History!D41,0,MIN(A308,Career_History!E41)-Career_History!D41+1),0),IF(Career_History!G42=TRUE,IF(A308&lt;Career_History!D42,0,MIN(A308,Career_History!E42)-Career_History!D42+1),0))/365.2425</f>
        <v>40.000821372102095</v>
      </c>
      <c r="AP308" s="9">
        <f>SUM(IF(Career_History!I41=TRUE,IF(A308&lt;Career_History!D41,0,MIN(A308,Career_History!E41)-Career_History!D41+1),0),IF(Career_History!I42=TRUE,IF(A308&lt;Career_History!D42,0,MIN(A308,Career_History!E42)-Career_History!D42+1),0))/365.2425</f>
        <v>0</v>
      </c>
      <c r="AQ308" s="9">
        <f>SUM(IF(Career_History!H41=TRUE,IF(A308&lt;Career_History!D41,0,MIN(A308,Career_History!E41)-Career_History!D41+1),0),IF(Career_History!H42=TRUE,IF(A308&lt;Career_History!D42,0,MIN(A308,Career_History!E42)-Career_History!D42+1),0))/365.2425</f>
        <v>40.000821372102095</v>
      </c>
      <c r="AR308" s="9">
        <f>SUM(IF(Career_History!G43=TRUE,IF(A308&lt;Career_History!D43,0,MIN(A308,Career_History!E43)-Career_History!D43+1),0),IF(Career_History!G44=TRUE,IF(A308&lt;Career_History!D44,0,MIN(A308,Career_History!E44)-Career_History!D44+1),0),IF(Career_History!G45=TRUE,IF(A308&lt;Career_History!D45,0,MIN(A308,Career_History!E45)-Career_History!D45+1),0),IF(Career_History!G46=TRUE,IF(A308&lt;Career_History!D46,0,MIN(A308,Career_History!E46)-Career_History!D46+1),0))/365.2425</f>
        <v>29.002648925029259</v>
      </c>
      <c r="AS308" s="9">
        <f>SUM(IF(Career_History!I43=TRUE,IF(A308&lt;Career_History!D43,0,MIN(A308,Career_History!E43)-Career_History!D43+1),0),IF(Career_History!I44=TRUE,IF(A308&lt;Career_History!D44,0,MIN(A308,Career_History!E44)-Career_History!D44+1),0),IF(Career_History!I45=TRUE,IF(A308&lt;Career_History!D45,0,MIN(A308,Career_History!E45)-Career_History!D45+1),0),IF(Career_History!I46=TRUE,IF(A308&lt;Career_History!D46,0,MIN(A308,Career_History!E46)-Career_History!D46+1),0))/365.2425</f>
        <v>4.0849572544268531</v>
      </c>
      <c r="AT308" s="9">
        <f>SUM(IF(Career_History!H43=TRUE,IF(A308&lt;Career_History!D43,0,MIN(A308,Career_History!E43)-Career_History!D43+1),0),IF(Career_History!H44=TRUE,IF(A308&lt;Career_History!D44,0,MIN(A308,Career_History!E44)-Career_History!D44+1),0),IF(Career_History!H45=TRUE,IF(A308&lt;Career_History!D45,0,MIN(A308,Career_History!E45)-Career_History!D45+1),0),IF(Career_History!H46=TRUE,IF(A308&lt;Career_History!D46,0,MIN(A308,Career_History!E46)-Career_History!D46+1),0))/365.2425</f>
        <v>23.915617706044614</v>
      </c>
      <c r="AU308" s="9">
        <f>SUM(IF(Career_History!G47=TRUE,IF(A308&lt;Career_History!D47,0,MIN(A308,Career_History!E47)-Career_History!D47+1),0),IF(Career_History!G48=TRUE,IF(A308&lt;Career_History!D48,0,MIN(A308,Career_History!E48)-Career_History!D48+1),0),IF(Career_History!G49=TRUE,IF(A308&lt;Career_History!D49,0,MIN(A308,Career_History!E49)-Career_History!D49+1),0))/365.2425</f>
        <v>32.000657097681675</v>
      </c>
      <c r="AV308" s="9">
        <f>SUM(IF(Career_History!I47=TRUE,IF(A308&lt;Career_History!D47,0,MIN(A308,Career_History!E47)-Career_History!D47+1),0),IF(Career_History!I48=TRUE,IF(A308&lt;Career_History!D48,0,MIN(A308,Career_History!E48)-Career_History!D48+1),0),IF(Career_History!I49=TRUE,IF(A308&lt;Career_History!D49,0,MIN(A308,Career_History!E49)-Career_History!D49+1),0))/365.2425</f>
        <v>16.999664606391644</v>
      </c>
      <c r="AW308" s="9">
        <f>SUM(IF(Career_History!H47=TRUE,IF(A308&lt;Career_History!D47,0,MIN(A308,Career_History!E47)-Career_History!D47+1),0),IF(Career_History!H48=TRUE,IF(A308&lt;Career_History!D48,0,MIN(A308,Career_History!E48)-Career_History!D48+1),0),IF(Career_History!H49=TRUE,IF(A308&lt;Career_History!D49,0,MIN(A308,Career_History!E49)-Career_History!D49+1),0))/365.2425</f>
        <v>15.000992491290033</v>
      </c>
      <c r="AX308" s="9">
        <f>SUM(IF(Career_History!G50=TRUE,IF(A308&lt;Career_History!D50,0,MIN(A308,Career_History!E50)-Career_History!D50+1),0),IF(Career_History!G51=TRUE,IF(A308&lt;Career_History!D51,0,MIN(A308,Career_History!E51)-Career_History!D51+1),0),IF(Career_History!G52=TRUE,IF(A308&lt;Career_History!D52,0,MIN(A308,Career_History!E52)-Career_History!D52+1),0))/365.2425</f>
        <v>25.002566787819053</v>
      </c>
      <c r="AY308" s="9">
        <f>SUM(IF(Career_History!I50=TRUE,IF(A308&lt;Career_History!D50,0,MIN(A308,Career_History!E50)-Career_History!D50+1),0),IF(Career_History!I51=TRUE,IF(A308&lt;Career_History!D51,0,MIN(A308,Career_History!E51)-Career_History!D51+1),0),IF(Career_History!I52=TRUE,IF(A308&lt;Career_History!D52,0,MIN(A308,Career_History!E52)-Career_History!D52+1),0))/365.2425</f>
        <v>8.4875117216643731E-2</v>
      </c>
      <c r="AZ308" s="9">
        <f>SUM(IF(Career_History!H50=TRUE,IF(A308&lt;Career_History!D50,0,MIN(A308,Career_History!E50)-Career_History!D50+1),0),IF(Career_History!H51=TRUE,IF(A308&lt;Career_History!D51,0,MIN(A308,Career_History!E51)-Career_History!D51+1),0),IF(Career_History!H52=TRUE,IF(A308&lt;Career_History!D52,0,MIN(A308,Career_History!E52)-Career_History!D52+1),0))/365.2425</f>
        <v>1.4976351328227135</v>
      </c>
      <c r="BA308" s="9">
        <f>SUM(IF(Career_History!G53=TRUE,IF(A308&lt;Career_History!D53,0,MIN(A308,Career_History!E53)-Career_History!D53+1),0),IF(Career_History!G54=TRUE,IF(A308&lt;Career_History!D54,0,MIN(A308,Career_History!E54)-Career_History!D54+1),0),IF(Career_History!G55=TRUE,IF(A308&lt;Career_History!D55,0,MIN(A308,Career_History!E55)-Career_History!D55+1),0),IF(Career_History!G56=TRUE,IF(A308&lt;Career_History!D56,0,MIN(A308,Career_History!E56)-Career_History!D56+1),0),IF(Career_History!G57=TRUE,IF(A308&lt;Career_History!D57,0,MIN(A308,Career_History!E57)-Career_History!D57+1),0))/365.2425</f>
        <v>44.000903509312309</v>
      </c>
      <c r="BB308" s="9">
        <f>SUM(IF(Career_History!I53=TRUE,IF(A308&lt;Career_History!D53,0,MIN(A308,Career_History!E53)-Career_History!D53+1),0),IF(Career_History!I54=TRUE,IF(A308&lt;Career_History!D54,0,MIN(A308,Career_History!E54)-Career_History!D54+1),0),IF(Career_History!I55=TRUE,IF(A308&lt;Career_History!D55,0,MIN(A308,Career_History!E55)-Career_History!D55+1),0),IF(Career_History!I56=TRUE,IF(A308&lt;Career_History!D56,0,MIN(A308,Career_History!E56)-Career_History!D56+1),0),IF(Career_History!I57=TRUE,IF(A308&lt;Career_History!D57,0,MIN(A308,Career_History!E57)-Career_History!D57+1),0))/365.2425</f>
        <v>0</v>
      </c>
      <c r="BC308" s="9">
        <f>SUM(IF(Career_History!H53=TRUE,IF(A308&lt;Career_History!D53,0,MIN(A308,Career_History!E53)-Career_History!D53+1),0),IF(Career_History!H54=TRUE,IF(A308&lt;Career_History!D54,0,MIN(A308,Career_History!E54)-Career_History!D54+1),0),IF(Career_History!H55=TRUE,IF(A308&lt;Career_History!D55,0,MIN(A308,Career_History!E55)-Career_History!D55+1),0),IF(Career_History!H56=TRUE,IF(A308&lt;Career_History!D56,0,MIN(A308,Career_History!E56)-Career_History!D56+1),0),IF(Career_History!H57=TRUE,IF(A308&lt;Career_History!D57,0,MIN(A308,Career_History!E57)-Career_History!D57+1),0))/365.2425</f>
        <v>44.000903509312309</v>
      </c>
      <c r="BD308" s="9"/>
      <c r="BE308" s="9"/>
      <c r="BF308" s="9"/>
      <c r="BG308" s="9"/>
      <c r="BH308" s="9"/>
      <c r="BI308" s="9"/>
      <c r="BJ308" s="9"/>
      <c r="BK308" s="9"/>
      <c r="BL308" s="9"/>
      <c r="BM308" s="9"/>
      <c r="BN308" s="9"/>
      <c r="BO308" s="9"/>
    </row>
    <row r="309" spans="1:67">
      <c r="A309" s="8">
        <v>44043</v>
      </c>
      <c r="B309" s="9">
        <f t="shared" si="12"/>
        <v>34.086394655605524</v>
      </c>
      <c r="C309" s="9">
        <f t="shared" si="13"/>
        <v>4.2338993956070281</v>
      </c>
      <c r="D309" s="9">
        <f t="shared" si="14"/>
        <v>24.968069159530998</v>
      </c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>
        <f>SUM(IF(Career_History!G41=TRUE,IF(A309&lt;Career_History!D41,0,MIN(A309,Career_History!E41)-Career_History!D41+1),0),IF(Career_History!G42=TRUE,IF(A309&lt;Career_History!D42,0,MIN(A309,Career_History!E42)-Career_History!D42+1),0))/365.2425</f>
        <v>40.085696489318742</v>
      </c>
      <c r="AP309" s="9">
        <f>SUM(IF(Career_History!I41=TRUE,IF(A309&lt;Career_History!D41,0,MIN(A309,Career_History!E41)-Career_History!D41+1),0),IF(Career_History!I42=TRUE,IF(A309&lt;Career_History!D42,0,MIN(A309,Career_History!E42)-Career_History!D42+1),0))/365.2425</f>
        <v>0</v>
      </c>
      <c r="AQ309" s="9">
        <f>SUM(IF(Career_History!H41=TRUE,IF(A309&lt;Career_History!D41,0,MIN(A309,Career_History!E41)-Career_History!D41+1),0),IF(Career_History!H42=TRUE,IF(A309&lt;Career_History!D42,0,MIN(A309,Career_History!E42)-Career_History!D42+1),0))/365.2425</f>
        <v>40.085696489318742</v>
      </c>
      <c r="AR309" s="9">
        <f>SUM(IF(Career_History!G43=TRUE,IF(A309&lt;Career_History!D43,0,MIN(A309,Career_History!E43)-Career_History!D43+1),0),IF(Career_History!G44=TRUE,IF(A309&lt;Career_History!D44,0,MIN(A309,Career_History!E44)-Career_History!D44+1),0),IF(Career_History!G45=TRUE,IF(A309&lt;Career_History!D45,0,MIN(A309,Career_History!E45)-Career_History!D45+1),0),IF(Career_History!G46=TRUE,IF(A309&lt;Career_History!D46,0,MIN(A309,Career_History!E46)-Career_History!D46+1),0))/365.2425</f>
        <v>29.087524042245903</v>
      </c>
      <c r="AS309" s="9">
        <f>SUM(IF(Career_History!I43=TRUE,IF(A309&lt;Career_History!D43,0,MIN(A309,Career_History!E43)-Career_History!D43+1),0),IF(Career_History!I44=TRUE,IF(A309&lt;Career_History!D44,0,MIN(A309,Career_History!E44)-Career_History!D44+1),0),IF(Career_History!I45=TRUE,IF(A309&lt;Career_History!D45,0,MIN(A309,Career_History!E45)-Career_History!D45+1),0),IF(Career_History!I46=TRUE,IF(A309&lt;Career_History!D46,0,MIN(A309,Career_History!E46)-Career_History!D46+1),0))/365.2425</f>
        <v>4.0849572544268531</v>
      </c>
      <c r="AT309" s="9">
        <f>SUM(IF(Career_History!H43=TRUE,IF(A309&lt;Career_History!D43,0,MIN(A309,Career_History!E43)-Career_History!D43+1),0),IF(Career_History!H44=TRUE,IF(A309&lt;Career_History!D44,0,MIN(A309,Career_History!E44)-Career_History!D44+1),0),IF(Career_History!H45=TRUE,IF(A309&lt;Career_History!D45,0,MIN(A309,Career_History!E45)-Career_History!D45+1),0),IF(Career_History!H46=TRUE,IF(A309&lt;Career_History!D46,0,MIN(A309,Career_History!E46)-Career_History!D46+1),0))/365.2425</f>
        <v>24.000492823261258</v>
      </c>
      <c r="AU309" s="9">
        <f>SUM(IF(Career_History!G47=TRUE,IF(A309&lt;Career_History!D47,0,MIN(A309,Career_History!E47)-Career_History!D47+1),0),IF(Career_History!G48=TRUE,IF(A309&lt;Career_History!D48,0,MIN(A309,Career_History!E48)-Career_History!D48+1),0),IF(Career_History!G49=TRUE,IF(A309&lt;Career_History!D49,0,MIN(A309,Career_History!E49)-Career_History!D49+1),0))/365.2425</f>
        <v>32.085532214898322</v>
      </c>
      <c r="AV309" s="9">
        <f>SUM(IF(Career_History!I47=TRUE,IF(A309&lt;Career_History!D47,0,MIN(A309,Career_History!E47)-Career_History!D47+1),0),IF(Career_History!I48=TRUE,IF(A309&lt;Career_History!D48,0,MIN(A309,Career_History!E48)-Career_History!D48+1),0),IF(Career_History!I49=TRUE,IF(A309&lt;Career_History!D49,0,MIN(A309,Career_History!E49)-Career_History!D49+1),0))/365.2425</f>
        <v>16.999664606391644</v>
      </c>
      <c r="AW309" s="9">
        <f>SUM(IF(Career_History!H47=TRUE,IF(A309&lt;Career_History!D47,0,MIN(A309,Career_History!E47)-Career_History!D47+1),0),IF(Career_History!H48=TRUE,IF(A309&lt;Career_History!D48,0,MIN(A309,Career_History!E48)-Career_History!D48+1),0),IF(Career_History!H49=TRUE,IF(A309&lt;Career_History!D49,0,MIN(A309,Career_History!E49)-Career_History!D49+1),0))/365.2425</f>
        <v>15.085867608506677</v>
      </c>
      <c r="AX309" s="9">
        <f>SUM(IF(Career_History!G50=TRUE,IF(A309&lt;Career_History!D50,0,MIN(A309,Career_History!E50)-Career_History!D50+1),0),IF(Career_History!G51=TRUE,IF(A309&lt;Career_History!D51,0,MIN(A309,Career_History!E51)-Career_History!D51+1),0),IF(Career_History!G52=TRUE,IF(A309&lt;Career_History!D52,0,MIN(A309,Career_History!E52)-Career_History!D52+1),0))/365.2425</f>
        <v>25.087441905035696</v>
      </c>
      <c r="AY309" s="9">
        <f>SUM(IF(Career_History!I50=TRUE,IF(A309&lt;Career_History!D50,0,MIN(A309,Career_History!E50)-Career_History!D50+1),0),IF(Career_History!I51=TRUE,IF(A309&lt;Career_History!D51,0,MIN(A309,Career_History!E51)-Career_History!D51+1),0),IF(Career_History!I52=TRUE,IF(A309&lt;Career_History!D52,0,MIN(A309,Career_History!E52)-Career_History!D52+1),0))/365.2425</f>
        <v>8.4875117216643731E-2</v>
      </c>
      <c r="AZ309" s="9">
        <f>SUM(IF(Career_History!H50=TRUE,IF(A309&lt;Career_History!D50,0,MIN(A309,Career_History!E50)-Career_History!D50+1),0),IF(Career_History!H51=TRUE,IF(A309&lt;Career_History!D51,0,MIN(A309,Career_History!E51)-Career_History!D51+1),0),IF(Career_History!H52=TRUE,IF(A309&lt;Career_History!D52,0,MIN(A309,Career_History!E52)-Career_History!D52+1),0))/365.2425</f>
        <v>1.5825102500393573</v>
      </c>
      <c r="BA309" s="9">
        <f>SUM(IF(Career_History!G53=TRUE,IF(A309&lt;Career_History!D53,0,MIN(A309,Career_History!E53)-Career_History!D53+1),0),IF(Career_History!G54=TRUE,IF(A309&lt;Career_History!D54,0,MIN(A309,Career_History!E54)-Career_History!D54+1),0),IF(Career_History!G55=TRUE,IF(A309&lt;Career_History!D55,0,MIN(A309,Career_History!E55)-Career_History!D55+1),0),IF(Career_History!G56=TRUE,IF(A309&lt;Career_History!D56,0,MIN(A309,Career_History!E56)-Career_History!D56+1),0),IF(Career_History!G57=TRUE,IF(A309&lt;Career_History!D57,0,MIN(A309,Career_History!E57)-Career_History!D57+1),0))/365.2425</f>
        <v>44.085778626528949</v>
      </c>
      <c r="BB309" s="9">
        <f>SUM(IF(Career_History!I53=TRUE,IF(A309&lt;Career_History!D53,0,MIN(A309,Career_History!E53)-Career_History!D53+1),0),IF(Career_History!I54=TRUE,IF(A309&lt;Career_History!D54,0,MIN(A309,Career_History!E54)-Career_History!D54+1),0),IF(Career_History!I55=TRUE,IF(A309&lt;Career_History!D55,0,MIN(A309,Career_History!E55)-Career_History!D55+1),0),IF(Career_History!I56=TRUE,IF(A309&lt;Career_History!D56,0,MIN(A309,Career_History!E56)-Career_History!D56+1),0),IF(Career_History!I57=TRUE,IF(A309&lt;Career_History!D57,0,MIN(A309,Career_History!E57)-Career_History!D57+1),0))/365.2425</f>
        <v>0</v>
      </c>
      <c r="BC309" s="9">
        <f>SUM(IF(Career_History!H53=TRUE,IF(A309&lt;Career_History!D53,0,MIN(A309,Career_History!E53)-Career_History!D53+1),0),IF(Career_History!H54=TRUE,IF(A309&lt;Career_History!D54,0,MIN(A309,Career_History!E54)-Career_History!D54+1),0),IF(Career_History!H55=TRUE,IF(A309&lt;Career_History!D55,0,MIN(A309,Career_History!E55)-Career_History!D55+1),0),IF(Career_History!H56=TRUE,IF(A309&lt;Career_History!D56,0,MIN(A309,Career_History!E56)-Career_History!D56+1),0),IF(Career_History!H57=TRUE,IF(A309&lt;Career_History!D57,0,MIN(A309,Career_History!E57)-Career_History!D57+1),0))/365.2425</f>
        <v>44.085778626528949</v>
      </c>
      <c r="BD309" s="9"/>
      <c r="BE309" s="9"/>
      <c r="BF309" s="9"/>
      <c r="BG309" s="9"/>
      <c r="BH309" s="9"/>
      <c r="BI309" s="9"/>
      <c r="BJ309" s="9"/>
      <c r="BK309" s="9"/>
      <c r="BL309" s="9"/>
      <c r="BM309" s="9"/>
      <c r="BN309" s="9"/>
      <c r="BO309" s="9"/>
    </row>
    <row r="310" spans="1:67">
      <c r="A310" s="8">
        <v>44074</v>
      </c>
      <c r="B310" s="9">
        <f t="shared" si="12"/>
        <v>34.171269772822164</v>
      </c>
      <c r="C310" s="9">
        <f t="shared" si="13"/>
        <v>4.2338993956070281</v>
      </c>
      <c r="D310" s="9">
        <f t="shared" si="14"/>
        <v>25.052944276747638</v>
      </c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>
        <f>SUM(IF(Career_History!G41=TRUE,IF(A310&lt;Career_History!D41,0,MIN(A310,Career_History!E41)-Career_History!D41+1),0),IF(Career_History!G42=TRUE,IF(A310&lt;Career_History!D42,0,MIN(A310,Career_History!E42)-Career_History!D42+1),0))/365.2425</f>
        <v>40.170571606535383</v>
      </c>
      <c r="AP310" s="9">
        <f>SUM(IF(Career_History!I41=TRUE,IF(A310&lt;Career_History!D41,0,MIN(A310,Career_History!E41)-Career_History!D41+1),0),IF(Career_History!I42=TRUE,IF(A310&lt;Career_History!D42,0,MIN(A310,Career_History!E42)-Career_History!D42+1),0))/365.2425</f>
        <v>0</v>
      </c>
      <c r="AQ310" s="9">
        <f>SUM(IF(Career_History!H41=TRUE,IF(A310&lt;Career_History!D41,0,MIN(A310,Career_History!E41)-Career_History!D41+1),0),IF(Career_History!H42=TRUE,IF(A310&lt;Career_History!D42,0,MIN(A310,Career_History!E42)-Career_History!D42+1),0))/365.2425</f>
        <v>40.170571606535383</v>
      </c>
      <c r="AR310" s="9">
        <f>SUM(IF(Career_History!G43=TRUE,IF(A310&lt;Career_History!D43,0,MIN(A310,Career_History!E43)-Career_History!D43+1),0),IF(Career_History!G44=TRUE,IF(A310&lt;Career_History!D44,0,MIN(A310,Career_History!E44)-Career_History!D44+1),0),IF(Career_History!G45=TRUE,IF(A310&lt;Career_History!D45,0,MIN(A310,Career_History!E45)-Career_History!D45+1),0),IF(Career_History!G46=TRUE,IF(A310&lt;Career_History!D46,0,MIN(A310,Career_History!E46)-Career_History!D46+1),0))/365.2425</f>
        <v>29.172399159462547</v>
      </c>
      <c r="AS310" s="9">
        <f>SUM(IF(Career_History!I43=TRUE,IF(A310&lt;Career_History!D43,0,MIN(A310,Career_History!E43)-Career_History!D43+1),0),IF(Career_History!I44=TRUE,IF(A310&lt;Career_History!D44,0,MIN(A310,Career_History!E44)-Career_History!D44+1),0),IF(Career_History!I45=TRUE,IF(A310&lt;Career_History!D45,0,MIN(A310,Career_History!E45)-Career_History!D45+1),0),IF(Career_History!I46=TRUE,IF(A310&lt;Career_History!D46,0,MIN(A310,Career_History!E46)-Career_History!D46+1),0))/365.2425</f>
        <v>4.0849572544268531</v>
      </c>
      <c r="AT310" s="9">
        <f>SUM(IF(Career_History!H43=TRUE,IF(A310&lt;Career_History!D43,0,MIN(A310,Career_History!E43)-Career_History!D43+1),0),IF(Career_History!H44=TRUE,IF(A310&lt;Career_History!D44,0,MIN(A310,Career_History!E44)-Career_History!D44+1),0),IF(Career_History!H45=TRUE,IF(A310&lt;Career_History!D45,0,MIN(A310,Career_History!E45)-Career_History!D45+1),0),IF(Career_History!H46=TRUE,IF(A310&lt;Career_History!D46,0,MIN(A310,Career_History!E46)-Career_History!D46+1),0))/365.2425</f>
        <v>24.085367940477902</v>
      </c>
      <c r="AU310" s="9">
        <f>SUM(IF(Career_History!G47=TRUE,IF(A310&lt;Career_History!D47,0,MIN(A310,Career_History!E47)-Career_History!D47+1),0),IF(Career_History!G48=TRUE,IF(A310&lt;Career_History!D48,0,MIN(A310,Career_History!E48)-Career_History!D48+1),0),IF(Career_History!G49=TRUE,IF(A310&lt;Career_History!D49,0,MIN(A310,Career_History!E49)-Career_History!D49+1),0))/365.2425</f>
        <v>32.170407332114962</v>
      </c>
      <c r="AV310" s="9">
        <f>SUM(IF(Career_History!I47=TRUE,IF(A310&lt;Career_History!D47,0,MIN(A310,Career_History!E47)-Career_History!D47+1),0),IF(Career_History!I48=TRUE,IF(A310&lt;Career_History!D48,0,MIN(A310,Career_History!E48)-Career_History!D48+1),0),IF(Career_History!I49=TRUE,IF(A310&lt;Career_History!D49,0,MIN(A310,Career_History!E49)-Career_History!D49+1),0))/365.2425</f>
        <v>16.999664606391644</v>
      </c>
      <c r="AW310" s="9">
        <f>SUM(IF(Career_History!H47=TRUE,IF(A310&lt;Career_History!D47,0,MIN(A310,Career_History!E47)-Career_History!D47+1),0),IF(Career_History!H48=TRUE,IF(A310&lt;Career_History!D48,0,MIN(A310,Career_History!E48)-Career_History!D48+1),0),IF(Career_History!H49=TRUE,IF(A310&lt;Career_History!D49,0,MIN(A310,Career_History!E49)-Career_History!D49+1),0))/365.2425</f>
        <v>15.17074272572332</v>
      </c>
      <c r="AX310" s="9">
        <f>SUM(IF(Career_History!G50=TRUE,IF(A310&lt;Career_History!D50,0,MIN(A310,Career_History!E50)-Career_History!D50+1),0),IF(Career_History!G51=TRUE,IF(A310&lt;Career_History!D51,0,MIN(A310,Career_History!E51)-Career_History!D51+1),0),IF(Career_History!G52=TRUE,IF(A310&lt;Career_History!D52,0,MIN(A310,Career_History!E52)-Career_History!D52+1),0))/365.2425</f>
        <v>25.17231702225234</v>
      </c>
      <c r="AY310" s="9">
        <f>SUM(IF(Career_History!I50=TRUE,IF(A310&lt;Career_History!D50,0,MIN(A310,Career_History!E50)-Career_History!D50+1),0),IF(Career_History!I51=TRUE,IF(A310&lt;Career_History!D51,0,MIN(A310,Career_History!E51)-Career_History!D51+1),0),IF(Career_History!I52=TRUE,IF(A310&lt;Career_History!D52,0,MIN(A310,Career_History!E52)-Career_History!D52+1),0))/365.2425</f>
        <v>8.4875117216643731E-2</v>
      </c>
      <c r="AZ310" s="9">
        <f>SUM(IF(Career_History!H50=TRUE,IF(A310&lt;Career_History!D50,0,MIN(A310,Career_History!E50)-Career_History!D50+1),0),IF(Career_History!H51=TRUE,IF(A310&lt;Career_History!D51,0,MIN(A310,Career_History!E51)-Career_History!D51+1),0),IF(Career_History!H52=TRUE,IF(A310&lt;Career_History!D52,0,MIN(A310,Career_History!E52)-Career_History!D52+1),0))/365.2425</f>
        <v>1.6673853672560011</v>
      </c>
      <c r="BA310" s="9">
        <f>SUM(IF(Career_History!G53=TRUE,IF(A310&lt;Career_History!D53,0,MIN(A310,Career_History!E53)-Career_History!D53+1),0),IF(Career_History!G54=TRUE,IF(A310&lt;Career_History!D54,0,MIN(A310,Career_History!E54)-Career_History!D54+1),0),IF(Career_History!G55=TRUE,IF(A310&lt;Career_History!D55,0,MIN(A310,Career_History!E55)-Career_History!D55+1),0),IF(Career_History!G56=TRUE,IF(A310&lt;Career_History!D56,0,MIN(A310,Career_History!E56)-Career_History!D56+1),0),IF(Career_History!G57=TRUE,IF(A310&lt;Career_History!D57,0,MIN(A310,Career_History!E57)-Career_History!D57+1),0))/365.2425</f>
        <v>44.170653743745596</v>
      </c>
      <c r="BB310" s="9">
        <f>SUM(IF(Career_History!I53=TRUE,IF(A310&lt;Career_History!D53,0,MIN(A310,Career_History!E53)-Career_History!D53+1),0),IF(Career_History!I54=TRUE,IF(A310&lt;Career_History!D54,0,MIN(A310,Career_History!E54)-Career_History!D54+1),0),IF(Career_History!I55=TRUE,IF(A310&lt;Career_History!D55,0,MIN(A310,Career_History!E55)-Career_History!D55+1),0),IF(Career_History!I56=TRUE,IF(A310&lt;Career_History!D56,0,MIN(A310,Career_History!E56)-Career_History!D56+1),0),IF(Career_History!I57=TRUE,IF(A310&lt;Career_History!D57,0,MIN(A310,Career_History!E57)-Career_History!D57+1),0))/365.2425</f>
        <v>0</v>
      </c>
      <c r="BC310" s="9">
        <f>SUM(IF(Career_History!H53=TRUE,IF(A310&lt;Career_History!D53,0,MIN(A310,Career_History!E53)-Career_History!D53+1),0),IF(Career_History!H54=TRUE,IF(A310&lt;Career_History!D54,0,MIN(A310,Career_History!E54)-Career_History!D54+1),0),IF(Career_History!H55=TRUE,IF(A310&lt;Career_History!D55,0,MIN(A310,Career_History!E55)-Career_History!D55+1),0),IF(Career_History!H56=TRUE,IF(A310&lt;Career_History!D56,0,MIN(A310,Career_History!E56)-Career_History!D56+1),0),IF(Career_History!H57=TRUE,IF(A310&lt;Career_History!D57,0,MIN(A310,Career_History!E57)-Career_History!D57+1),0))/365.2425</f>
        <v>44.170653743745596</v>
      </c>
      <c r="BD310" s="9"/>
      <c r="BE310" s="9"/>
      <c r="BF310" s="9"/>
      <c r="BG310" s="9"/>
      <c r="BH310" s="9"/>
      <c r="BI310" s="9"/>
      <c r="BJ310" s="9"/>
      <c r="BK310" s="9"/>
      <c r="BL310" s="9"/>
      <c r="BM310" s="9"/>
      <c r="BN310" s="9"/>
      <c r="BO310" s="9"/>
    </row>
    <row r="311" spans="1:67">
      <c r="A311" s="8">
        <v>44104</v>
      </c>
      <c r="B311" s="9">
        <f t="shared" si="12"/>
        <v>34.253406983031816</v>
      </c>
      <c r="C311" s="9">
        <f t="shared" si="13"/>
        <v>4.2338993956070281</v>
      </c>
      <c r="D311" s="9">
        <f t="shared" si="14"/>
        <v>25.135081486957297</v>
      </c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>
        <f>SUM(IF(Career_History!G41=TRUE,IF(A311&lt;Career_History!D41,0,MIN(A311,Career_History!E41)-Career_History!D41+1),0),IF(Career_History!G42=TRUE,IF(A311&lt;Career_History!D42,0,MIN(A311,Career_History!E42)-Career_History!D42+1),0))/365.2425</f>
        <v>40.252708816745042</v>
      </c>
      <c r="AP311" s="9">
        <f>SUM(IF(Career_History!I41=TRUE,IF(A311&lt;Career_History!D41,0,MIN(A311,Career_History!E41)-Career_History!D41+1),0),IF(Career_History!I42=TRUE,IF(A311&lt;Career_History!D42,0,MIN(A311,Career_History!E42)-Career_History!D42+1),0))/365.2425</f>
        <v>0</v>
      </c>
      <c r="AQ311" s="9">
        <f>SUM(IF(Career_History!H41=TRUE,IF(A311&lt;Career_History!D41,0,MIN(A311,Career_History!E41)-Career_History!D41+1),0),IF(Career_History!H42=TRUE,IF(A311&lt;Career_History!D42,0,MIN(A311,Career_History!E42)-Career_History!D42+1),0))/365.2425</f>
        <v>40.252708816745042</v>
      </c>
      <c r="AR311" s="9">
        <f>SUM(IF(Career_History!G43=TRUE,IF(A311&lt;Career_History!D43,0,MIN(A311,Career_History!E43)-Career_History!D43+1),0),IF(Career_History!G44=TRUE,IF(A311&lt;Career_History!D44,0,MIN(A311,Career_History!E44)-Career_History!D44+1),0),IF(Career_History!G45=TRUE,IF(A311&lt;Career_History!D45,0,MIN(A311,Career_History!E45)-Career_History!D45+1),0),IF(Career_History!G46=TRUE,IF(A311&lt;Career_History!D46,0,MIN(A311,Career_History!E46)-Career_History!D46+1),0))/365.2425</f>
        <v>29.254536369672202</v>
      </c>
      <c r="AS311" s="9">
        <f>SUM(IF(Career_History!I43=TRUE,IF(A311&lt;Career_History!D43,0,MIN(A311,Career_History!E43)-Career_History!D43+1),0),IF(Career_History!I44=TRUE,IF(A311&lt;Career_History!D44,0,MIN(A311,Career_History!E44)-Career_History!D44+1),0),IF(Career_History!I45=TRUE,IF(A311&lt;Career_History!D45,0,MIN(A311,Career_History!E45)-Career_History!D45+1),0),IF(Career_History!I46=TRUE,IF(A311&lt;Career_History!D46,0,MIN(A311,Career_History!E46)-Career_History!D46+1),0))/365.2425</f>
        <v>4.0849572544268531</v>
      </c>
      <c r="AT311" s="9">
        <f>SUM(IF(Career_History!H43=TRUE,IF(A311&lt;Career_History!D43,0,MIN(A311,Career_History!E43)-Career_History!D43+1),0),IF(Career_History!H44=TRUE,IF(A311&lt;Career_History!D44,0,MIN(A311,Career_History!E44)-Career_History!D44+1),0),IF(Career_History!H45=TRUE,IF(A311&lt;Career_History!D45,0,MIN(A311,Career_History!E45)-Career_History!D45+1),0),IF(Career_History!H46=TRUE,IF(A311&lt;Career_History!D46,0,MIN(A311,Career_History!E46)-Career_History!D46+1),0))/365.2425</f>
        <v>24.167505150687557</v>
      </c>
      <c r="AU311" s="9">
        <f>SUM(IF(Career_History!G47=TRUE,IF(A311&lt;Career_History!D47,0,MIN(A311,Career_History!E47)-Career_History!D47+1),0),IF(Career_History!G48=TRUE,IF(A311&lt;Career_History!D48,0,MIN(A311,Career_History!E48)-Career_History!D48+1),0),IF(Career_History!G49=TRUE,IF(A311&lt;Career_History!D49,0,MIN(A311,Career_History!E49)-Career_History!D49+1),0))/365.2425</f>
        <v>32.252544542324621</v>
      </c>
      <c r="AV311" s="9">
        <f>SUM(IF(Career_History!I47=TRUE,IF(A311&lt;Career_History!D47,0,MIN(A311,Career_History!E47)-Career_History!D47+1),0),IF(Career_History!I48=TRUE,IF(A311&lt;Career_History!D48,0,MIN(A311,Career_History!E48)-Career_History!D48+1),0),IF(Career_History!I49=TRUE,IF(A311&lt;Career_History!D49,0,MIN(A311,Career_History!E49)-Career_History!D49+1),0))/365.2425</f>
        <v>16.999664606391644</v>
      </c>
      <c r="AW311" s="9">
        <f>SUM(IF(Career_History!H47=TRUE,IF(A311&lt;Career_History!D47,0,MIN(A311,Career_History!E47)-Career_History!D47+1),0),IF(Career_History!H48=TRUE,IF(A311&lt;Career_History!D48,0,MIN(A311,Career_History!E48)-Career_History!D48+1),0),IF(Career_History!H49=TRUE,IF(A311&lt;Career_History!D49,0,MIN(A311,Career_History!E49)-Career_History!D49+1),0))/365.2425</f>
        <v>15.252879935932976</v>
      </c>
      <c r="AX311" s="9">
        <f>SUM(IF(Career_History!G50=TRUE,IF(A311&lt;Career_History!D50,0,MIN(A311,Career_History!E50)-Career_History!D50+1),0),IF(Career_History!G51=TRUE,IF(A311&lt;Career_History!D51,0,MIN(A311,Career_History!E51)-Career_History!D51+1),0),IF(Career_History!G52=TRUE,IF(A311&lt;Career_History!D52,0,MIN(A311,Career_History!E52)-Career_History!D52+1),0))/365.2425</f>
        <v>25.254454232461995</v>
      </c>
      <c r="AY311" s="9">
        <f>SUM(IF(Career_History!I50=TRUE,IF(A311&lt;Career_History!D50,0,MIN(A311,Career_History!E50)-Career_History!D50+1),0),IF(Career_History!I51=TRUE,IF(A311&lt;Career_History!D51,0,MIN(A311,Career_History!E51)-Career_History!D51+1),0),IF(Career_History!I52=TRUE,IF(A311&lt;Career_History!D52,0,MIN(A311,Career_History!E52)-Career_History!D52+1),0))/365.2425</f>
        <v>8.4875117216643731E-2</v>
      </c>
      <c r="AZ311" s="9">
        <f>SUM(IF(Career_History!H50=TRUE,IF(A311&lt;Career_History!D50,0,MIN(A311,Career_History!E50)-Career_History!D50+1),0),IF(Career_History!H51=TRUE,IF(A311&lt;Career_History!D51,0,MIN(A311,Career_History!E51)-Career_History!D51+1),0),IF(Career_History!H52=TRUE,IF(A311&lt;Career_History!D52,0,MIN(A311,Career_History!E52)-Career_History!D52+1),0))/365.2425</f>
        <v>1.7495225774656564</v>
      </c>
      <c r="BA311" s="9">
        <f>SUM(IF(Career_History!G53=TRUE,IF(A311&lt;Career_History!D53,0,MIN(A311,Career_History!E53)-Career_History!D53+1),0),IF(Career_History!G54=TRUE,IF(A311&lt;Career_History!D54,0,MIN(A311,Career_History!E54)-Career_History!D54+1),0),IF(Career_History!G55=TRUE,IF(A311&lt;Career_History!D55,0,MIN(A311,Career_History!E55)-Career_History!D55+1),0),IF(Career_History!G56=TRUE,IF(A311&lt;Career_History!D56,0,MIN(A311,Career_History!E56)-Career_History!D56+1),0),IF(Career_History!G57=TRUE,IF(A311&lt;Career_History!D57,0,MIN(A311,Career_History!E57)-Career_History!D57+1),0))/365.2425</f>
        <v>44.252790953955248</v>
      </c>
      <c r="BB311" s="9">
        <f>SUM(IF(Career_History!I53=TRUE,IF(A311&lt;Career_History!D53,0,MIN(A311,Career_History!E53)-Career_History!D53+1),0),IF(Career_History!I54=TRUE,IF(A311&lt;Career_History!D54,0,MIN(A311,Career_History!E54)-Career_History!D54+1),0),IF(Career_History!I55=TRUE,IF(A311&lt;Career_History!D55,0,MIN(A311,Career_History!E55)-Career_History!D55+1),0),IF(Career_History!I56=TRUE,IF(A311&lt;Career_History!D56,0,MIN(A311,Career_History!E56)-Career_History!D56+1),0),IF(Career_History!I57=TRUE,IF(A311&lt;Career_History!D57,0,MIN(A311,Career_History!E57)-Career_History!D57+1),0))/365.2425</f>
        <v>0</v>
      </c>
      <c r="BC311" s="9">
        <f>SUM(IF(Career_History!H53=TRUE,IF(A311&lt;Career_History!D53,0,MIN(A311,Career_History!E53)-Career_History!D53+1),0),IF(Career_History!H54=TRUE,IF(A311&lt;Career_History!D54,0,MIN(A311,Career_History!E54)-Career_History!D54+1),0),IF(Career_History!H55=TRUE,IF(A311&lt;Career_History!D55,0,MIN(A311,Career_History!E55)-Career_History!D55+1),0),IF(Career_History!H56=TRUE,IF(A311&lt;Career_History!D56,0,MIN(A311,Career_History!E56)-Career_History!D56+1),0),IF(Career_History!H57=TRUE,IF(A311&lt;Career_History!D57,0,MIN(A311,Career_History!E57)-Career_History!D57+1),0))/365.2425</f>
        <v>44.252790953955248</v>
      </c>
      <c r="BD311" s="9"/>
      <c r="BE311" s="9"/>
      <c r="BF311" s="9"/>
      <c r="BG311" s="9"/>
      <c r="BH311" s="9"/>
      <c r="BI311" s="9"/>
      <c r="BJ311" s="9"/>
      <c r="BK311" s="9"/>
      <c r="BL311" s="9"/>
      <c r="BM311" s="9"/>
      <c r="BN311" s="9"/>
      <c r="BO311" s="9"/>
    </row>
    <row r="312" spans="1:67">
      <c r="A312" s="8">
        <v>44135</v>
      </c>
      <c r="B312" s="9">
        <f t="shared" si="12"/>
        <v>34.338282100248463</v>
      </c>
      <c r="C312" s="9">
        <f t="shared" si="13"/>
        <v>4.2338993956070281</v>
      </c>
      <c r="D312" s="9">
        <f t="shared" si="14"/>
        <v>25.219956604173937</v>
      </c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>
        <f>SUM(IF(Career_History!G41=TRUE,IF(A312&lt;Career_History!D41,0,MIN(A312,Career_History!E41)-Career_History!D41+1),0),IF(Career_History!G42=TRUE,IF(A312&lt;Career_History!D42,0,MIN(A312,Career_History!E42)-Career_History!D42+1),0))/365.2425</f>
        <v>40.337583933961682</v>
      </c>
      <c r="AP312" s="9">
        <f>SUM(IF(Career_History!I41=TRUE,IF(A312&lt;Career_History!D41,0,MIN(A312,Career_History!E41)-Career_History!D41+1),0),IF(Career_History!I42=TRUE,IF(A312&lt;Career_History!D42,0,MIN(A312,Career_History!E42)-Career_History!D42+1),0))/365.2425</f>
        <v>0</v>
      </c>
      <c r="AQ312" s="9">
        <f>SUM(IF(Career_History!H41=TRUE,IF(A312&lt;Career_History!D41,0,MIN(A312,Career_History!E41)-Career_History!D41+1),0),IF(Career_History!H42=TRUE,IF(A312&lt;Career_History!D42,0,MIN(A312,Career_History!E42)-Career_History!D42+1),0))/365.2425</f>
        <v>40.337583933961682</v>
      </c>
      <c r="AR312" s="9">
        <f>SUM(IF(Career_History!G43=TRUE,IF(A312&lt;Career_History!D43,0,MIN(A312,Career_History!E43)-Career_History!D43+1),0),IF(Career_History!G44=TRUE,IF(A312&lt;Career_History!D44,0,MIN(A312,Career_History!E44)-Career_History!D44+1),0),IF(Career_History!G45=TRUE,IF(A312&lt;Career_History!D45,0,MIN(A312,Career_History!E45)-Career_History!D45+1),0),IF(Career_History!G46=TRUE,IF(A312&lt;Career_History!D46,0,MIN(A312,Career_History!E46)-Career_History!D46+1),0))/365.2425</f>
        <v>29.339411486888846</v>
      </c>
      <c r="AS312" s="9">
        <f>SUM(IF(Career_History!I43=TRUE,IF(A312&lt;Career_History!D43,0,MIN(A312,Career_History!E43)-Career_History!D43+1),0),IF(Career_History!I44=TRUE,IF(A312&lt;Career_History!D44,0,MIN(A312,Career_History!E44)-Career_History!D44+1),0),IF(Career_History!I45=TRUE,IF(A312&lt;Career_History!D45,0,MIN(A312,Career_History!E45)-Career_History!D45+1),0),IF(Career_History!I46=TRUE,IF(A312&lt;Career_History!D46,0,MIN(A312,Career_History!E46)-Career_History!D46+1),0))/365.2425</f>
        <v>4.0849572544268531</v>
      </c>
      <c r="AT312" s="9">
        <f>SUM(IF(Career_History!H43=TRUE,IF(A312&lt;Career_History!D43,0,MIN(A312,Career_History!E43)-Career_History!D43+1),0),IF(Career_History!H44=TRUE,IF(A312&lt;Career_History!D44,0,MIN(A312,Career_History!E44)-Career_History!D44+1),0),IF(Career_History!H45=TRUE,IF(A312&lt;Career_History!D45,0,MIN(A312,Career_History!E45)-Career_History!D45+1),0),IF(Career_History!H46=TRUE,IF(A312&lt;Career_History!D46,0,MIN(A312,Career_History!E46)-Career_History!D46+1),0))/365.2425</f>
        <v>24.252380267904201</v>
      </c>
      <c r="AU312" s="9">
        <f>SUM(IF(Career_History!G47=TRUE,IF(A312&lt;Career_History!D47,0,MIN(A312,Career_History!E47)-Career_History!D47+1),0),IF(Career_History!G48=TRUE,IF(A312&lt;Career_History!D48,0,MIN(A312,Career_History!E48)-Career_History!D48+1),0),IF(Career_History!G49=TRUE,IF(A312&lt;Career_History!D49,0,MIN(A312,Career_History!E49)-Career_History!D49+1),0))/365.2425</f>
        <v>32.337419659541261</v>
      </c>
      <c r="AV312" s="9">
        <f>SUM(IF(Career_History!I47=TRUE,IF(A312&lt;Career_History!D47,0,MIN(A312,Career_History!E47)-Career_History!D47+1),0),IF(Career_History!I48=TRUE,IF(A312&lt;Career_History!D48,0,MIN(A312,Career_History!E48)-Career_History!D48+1),0),IF(Career_History!I49=TRUE,IF(A312&lt;Career_History!D49,0,MIN(A312,Career_History!E49)-Career_History!D49+1),0))/365.2425</f>
        <v>16.999664606391644</v>
      </c>
      <c r="AW312" s="9">
        <f>SUM(IF(Career_History!H47=TRUE,IF(A312&lt;Career_History!D47,0,MIN(A312,Career_History!E47)-Career_History!D47+1),0),IF(Career_History!H48=TRUE,IF(A312&lt;Career_History!D48,0,MIN(A312,Career_History!E48)-Career_History!D48+1),0),IF(Career_History!H49=TRUE,IF(A312&lt;Career_History!D49,0,MIN(A312,Career_History!E49)-Career_History!D49+1),0))/365.2425</f>
        <v>15.337755053149619</v>
      </c>
      <c r="AX312" s="9">
        <f>SUM(IF(Career_History!G50=TRUE,IF(A312&lt;Career_History!D50,0,MIN(A312,Career_History!E50)-Career_History!D50+1),0),IF(Career_History!G51=TRUE,IF(A312&lt;Career_History!D51,0,MIN(A312,Career_History!E51)-Career_History!D51+1),0),IF(Career_History!G52=TRUE,IF(A312&lt;Career_History!D52,0,MIN(A312,Career_History!E52)-Career_History!D52+1),0))/365.2425</f>
        <v>25.339329349678639</v>
      </c>
      <c r="AY312" s="9">
        <f>SUM(IF(Career_History!I50=TRUE,IF(A312&lt;Career_History!D50,0,MIN(A312,Career_History!E50)-Career_History!D50+1),0),IF(Career_History!I51=TRUE,IF(A312&lt;Career_History!D51,0,MIN(A312,Career_History!E51)-Career_History!D51+1),0),IF(Career_History!I52=TRUE,IF(A312&lt;Career_History!D52,0,MIN(A312,Career_History!E52)-Career_History!D52+1),0))/365.2425</f>
        <v>8.4875117216643731E-2</v>
      </c>
      <c r="AZ312" s="9">
        <f>SUM(IF(Career_History!H50=TRUE,IF(A312&lt;Career_History!D50,0,MIN(A312,Career_History!E50)-Career_History!D50+1),0),IF(Career_History!H51=TRUE,IF(A312&lt;Career_History!D51,0,MIN(A312,Career_History!E51)-Career_History!D51+1),0),IF(Career_History!H52=TRUE,IF(A312&lt;Career_History!D52,0,MIN(A312,Career_History!E52)-Career_History!D52+1),0))/365.2425</f>
        <v>1.8343976946823002</v>
      </c>
      <c r="BA312" s="9">
        <f>SUM(IF(Career_History!G53=TRUE,IF(A312&lt;Career_History!D53,0,MIN(A312,Career_History!E53)-Career_History!D53+1),0),IF(Career_History!G54=TRUE,IF(A312&lt;Career_History!D54,0,MIN(A312,Career_History!E54)-Career_History!D54+1),0),IF(Career_History!G55=TRUE,IF(A312&lt;Career_History!D55,0,MIN(A312,Career_History!E55)-Career_History!D55+1),0),IF(Career_History!G56=TRUE,IF(A312&lt;Career_History!D56,0,MIN(A312,Career_History!E56)-Career_History!D56+1),0),IF(Career_History!G57=TRUE,IF(A312&lt;Career_History!D57,0,MIN(A312,Career_History!E57)-Career_History!D57+1),0))/365.2425</f>
        <v>44.337666071171888</v>
      </c>
      <c r="BB312" s="9">
        <f>SUM(IF(Career_History!I53=TRUE,IF(A312&lt;Career_History!D53,0,MIN(A312,Career_History!E53)-Career_History!D53+1),0),IF(Career_History!I54=TRUE,IF(A312&lt;Career_History!D54,0,MIN(A312,Career_History!E54)-Career_History!D54+1),0),IF(Career_History!I55=TRUE,IF(A312&lt;Career_History!D55,0,MIN(A312,Career_History!E55)-Career_History!D55+1),0),IF(Career_History!I56=TRUE,IF(A312&lt;Career_History!D56,0,MIN(A312,Career_History!E56)-Career_History!D56+1),0),IF(Career_History!I57=TRUE,IF(A312&lt;Career_History!D57,0,MIN(A312,Career_History!E57)-Career_History!D57+1),0))/365.2425</f>
        <v>0</v>
      </c>
      <c r="BC312" s="9">
        <f>SUM(IF(Career_History!H53=TRUE,IF(A312&lt;Career_History!D53,0,MIN(A312,Career_History!E53)-Career_History!D53+1),0),IF(Career_History!H54=TRUE,IF(A312&lt;Career_History!D54,0,MIN(A312,Career_History!E54)-Career_History!D54+1),0),IF(Career_History!H55=TRUE,IF(A312&lt;Career_History!D55,0,MIN(A312,Career_History!E55)-Career_History!D55+1),0),IF(Career_History!H56=TRUE,IF(A312&lt;Career_History!D56,0,MIN(A312,Career_History!E56)-Career_History!D56+1),0),IF(Career_History!H57=TRUE,IF(A312&lt;Career_History!D57,0,MIN(A312,Career_History!E57)-Career_History!D57+1),0))/365.2425</f>
        <v>44.337666071171888</v>
      </c>
      <c r="BD312" s="9"/>
      <c r="BE312" s="9"/>
      <c r="BF312" s="9"/>
      <c r="BG312" s="9"/>
      <c r="BH312" s="9"/>
      <c r="BI312" s="9"/>
      <c r="BJ312" s="9"/>
      <c r="BK312" s="9"/>
      <c r="BL312" s="9"/>
      <c r="BM312" s="9"/>
      <c r="BN312" s="9"/>
      <c r="BO312" s="9"/>
    </row>
    <row r="313" spans="1:67">
      <c r="A313" s="8">
        <v>44165</v>
      </c>
      <c r="B313" s="9">
        <f t="shared" si="12"/>
        <v>34.420419310458122</v>
      </c>
      <c r="C313" s="9">
        <f t="shared" si="13"/>
        <v>4.2338993956070281</v>
      </c>
      <c r="D313" s="9">
        <f t="shared" si="14"/>
        <v>25.302093814383596</v>
      </c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>
        <f>SUM(IF(Career_History!G41=TRUE,IF(A313&lt;Career_History!D41,0,MIN(A313,Career_History!E41)-Career_History!D41+1),0),IF(Career_History!G42=TRUE,IF(A313&lt;Career_History!D42,0,MIN(A313,Career_History!E42)-Career_History!D42+1),0))/365.2425</f>
        <v>40.419721144171341</v>
      </c>
      <c r="AP313" s="9">
        <f>SUM(IF(Career_History!I41=TRUE,IF(A313&lt;Career_History!D41,0,MIN(A313,Career_History!E41)-Career_History!D41+1),0),IF(Career_History!I42=TRUE,IF(A313&lt;Career_History!D42,0,MIN(A313,Career_History!E42)-Career_History!D42+1),0))/365.2425</f>
        <v>0</v>
      </c>
      <c r="AQ313" s="9">
        <f>SUM(IF(Career_History!H41=TRUE,IF(A313&lt;Career_History!D41,0,MIN(A313,Career_History!E41)-Career_History!D41+1),0),IF(Career_History!H42=TRUE,IF(A313&lt;Career_History!D42,0,MIN(A313,Career_History!E42)-Career_History!D42+1),0))/365.2425</f>
        <v>40.419721144171341</v>
      </c>
      <c r="AR313" s="9">
        <f>SUM(IF(Career_History!G43=TRUE,IF(A313&lt;Career_History!D43,0,MIN(A313,Career_History!E43)-Career_History!D43+1),0),IF(Career_History!G44=TRUE,IF(A313&lt;Career_History!D44,0,MIN(A313,Career_History!E44)-Career_History!D44+1),0),IF(Career_History!G45=TRUE,IF(A313&lt;Career_History!D45,0,MIN(A313,Career_History!E45)-Career_History!D45+1),0),IF(Career_History!G46=TRUE,IF(A313&lt;Career_History!D46,0,MIN(A313,Career_History!E46)-Career_History!D46+1),0))/365.2425</f>
        <v>29.421548697098501</v>
      </c>
      <c r="AS313" s="9">
        <f>SUM(IF(Career_History!I43=TRUE,IF(A313&lt;Career_History!D43,0,MIN(A313,Career_History!E43)-Career_History!D43+1),0),IF(Career_History!I44=TRUE,IF(A313&lt;Career_History!D44,0,MIN(A313,Career_History!E44)-Career_History!D44+1),0),IF(Career_History!I45=TRUE,IF(A313&lt;Career_History!D45,0,MIN(A313,Career_History!E45)-Career_History!D45+1),0),IF(Career_History!I46=TRUE,IF(A313&lt;Career_History!D46,0,MIN(A313,Career_History!E46)-Career_History!D46+1),0))/365.2425</f>
        <v>4.0849572544268531</v>
      </c>
      <c r="AT313" s="9">
        <f>SUM(IF(Career_History!H43=TRUE,IF(A313&lt;Career_History!D43,0,MIN(A313,Career_History!E43)-Career_History!D43+1),0),IF(Career_History!H44=TRUE,IF(A313&lt;Career_History!D44,0,MIN(A313,Career_History!E44)-Career_History!D44+1),0),IF(Career_History!H45=TRUE,IF(A313&lt;Career_History!D45,0,MIN(A313,Career_History!E45)-Career_History!D45+1),0),IF(Career_History!H46=TRUE,IF(A313&lt;Career_History!D46,0,MIN(A313,Career_History!E46)-Career_History!D46+1),0))/365.2425</f>
        <v>24.334517478113856</v>
      </c>
      <c r="AU313" s="9">
        <f>SUM(IF(Career_History!G47=TRUE,IF(A313&lt;Career_History!D47,0,MIN(A313,Career_History!E47)-Career_History!D47+1),0),IF(Career_History!G48=TRUE,IF(A313&lt;Career_History!D48,0,MIN(A313,Career_History!E48)-Career_History!D48+1),0),IF(Career_History!G49=TRUE,IF(A313&lt;Career_History!D49,0,MIN(A313,Career_History!E49)-Career_History!D49+1),0))/365.2425</f>
        <v>32.41955686975092</v>
      </c>
      <c r="AV313" s="9">
        <f>SUM(IF(Career_History!I47=TRUE,IF(A313&lt;Career_History!D47,0,MIN(A313,Career_History!E47)-Career_History!D47+1),0),IF(Career_History!I48=TRUE,IF(A313&lt;Career_History!D48,0,MIN(A313,Career_History!E48)-Career_History!D48+1),0),IF(Career_History!I49=TRUE,IF(A313&lt;Career_History!D49,0,MIN(A313,Career_History!E49)-Career_History!D49+1),0))/365.2425</f>
        <v>16.999664606391644</v>
      </c>
      <c r="AW313" s="9">
        <f>SUM(IF(Career_History!H47=TRUE,IF(A313&lt;Career_History!D47,0,MIN(A313,Career_History!E47)-Career_History!D47+1),0),IF(Career_History!H48=TRUE,IF(A313&lt;Career_History!D48,0,MIN(A313,Career_History!E48)-Career_History!D48+1),0),IF(Career_History!H49=TRUE,IF(A313&lt;Career_History!D49,0,MIN(A313,Career_History!E49)-Career_History!D49+1),0))/365.2425</f>
        <v>15.419892263359275</v>
      </c>
      <c r="AX313" s="9">
        <f>SUM(IF(Career_History!G50=TRUE,IF(A313&lt;Career_History!D50,0,MIN(A313,Career_History!E50)-Career_History!D50+1),0),IF(Career_History!G51=TRUE,IF(A313&lt;Career_History!D51,0,MIN(A313,Career_History!E51)-Career_History!D51+1),0),IF(Career_History!G52=TRUE,IF(A313&lt;Career_History!D52,0,MIN(A313,Career_History!E52)-Career_History!D52+1),0))/365.2425</f>
        <v>25.421466559888295</v>
      </c>
      <c r="AY313" s="9">
        <f>SUM(IF(Career_History!I50=TRUE,IF(A313&lt;Career_History!D50,0,MIN(A313,Career_History!E50)-Career_History!D50+1),0),IF(Career_History!I51=TRUE,IF(A313&lt;Career_History!D51,0,MIN(A313,Career_History!E51)-Career_History!D51+1),0),IF(Career_History!I52=TRUE,IF(A313&lt;Career_History!D52,0,MIN(A313,Career_History!E52)-Career_History!D52+1),0))/365.2425</f>
        <v>8.4875117216643731E-2</v>
      </c>
      <c r="AZ313" s="9">
        <f>SUM(IF(Career_History!H50=TRUE,IF(A313&lt;Career_History!D50,0,MIN(A313,Career_History!E50)-Career_History!D50+1),0),IF(Career_History!H51=TRUE,IF(A313&lt;Career_History!D51,0,MIN(A313,Career_History!E51)-Career_History!D51+1),0),IF(Career_History!H52=TRUE,IF(A313&lt;Career_History!D52,0,MIN(A313,Career_History!E52)-Career_History!D52+1),0))/365.2425</f>
        <v>1.9165349048919553</v>
      </c>
      <c r="BA313" s="9">
        <f>SUM(IF(Career_History!G53=TRUE,IF(A313&lt;Career_History!D53,0,MIN(A313,Career_History!E53)-Career_History!D53+1),0),IF(Career_History!G54=TRUE,IF(A313&lt;Career_History!D54,0,MIN(A313,Career_History!E54)-Career_History!D54+1),0),IF(Career_History!G55=TRUE,IF(A313&lt;Career_History!D55,0,MIN(A313,Career_History!E55)-Career_History!D55+1),0),IF(Career_History!G56=TRUE,IF(A313&lt;Career_History!D56,0,MIN(A313,Career_History!E56)-Career_History!D56+1),0),IF(Career_History!G57=TRUE,IF(A313&lt;Career_History!D57,0,MIN(A313,Career_History!E57)-Career_History!D57+1),0))/365.2425</f>
        <v>44.419803281381547</v>
      </c>
      <c r="BB313" s="9">
        <f>SUM(IF(Career_History!I53=TRUE,IF(A313&lt;Career_History!D53,0,MIN(A313,Career_History!E53)-Career_History!D53+1),0),IF(Career_History!I54=TRUE,IF(A313&lt;Career_History!D54,0,MIN(A313,Career_History!E54)-Career_History!D54+1),0),IF(Career_History!I55=TRUE,IF(A313&lt;Career_History!D55,0,MIN(A313,Career_History!E55)-Career_History!D55+1),0),IF(Career_History!I56=TRUE,IF(A313&lt;Career_History!D56,0,MIN(A313,Career_History!E56)-Career_History!D56+1),0),IF(Career_History!I57=TRUE,IF(A313&lt;Career_History!D57,0,MIN(A313,Career_History!E57)-Career_History!D57+1),0))/365.2425</f>
        <v>0</v>
      </c>
      <c r="BC313" s="9">
        <f>SUM(IF(Career_History!H53=TRUE,IF(A313&lt;Career_History!D53,0,MIN(A313,Career_History!E53)-Career_History!D53+1),0),IF(Career_History!H54=TRUE,IF(A313&lt;Career_History!D54,0,MIN(A313,Career_History!E54)-Career_History!D54+1),0),IF(Career_History!H55=TRUE,IF(A313&lt;Career_History!D55,0,MIN(A313,Career_History!E55)-Career_History!D55+1),0),IF(Career_History!H56=TRUE,IF(A313&lt;Career_History!D56,0,MIN(A313,Career_History!E56)-Career_History!D56+1),0),IF(Career_History!H57=TRUE,IF(A313&lt;Career_History!D57,0,MIN(A313,Career_History!E57)-Career_History!D57+1),0))/365.2425</f>
        <v>44.419803281381547</v>
      </c>
      <c r="BD313" s="9"/>
      <c r="BE313" s="9"/>
      <c r="BF313" s="9"/>
      <c r="BG313" s="9"/>
      <c r="BH313" s="9"/>
      <c r="BI313" s="9"/>
      <c r="BJ313" s="9"/>
      <c r="BK313" s="9"/>
      <c r="BL313" s="9"/>
      <c r="BM313" s="9"/>
      <c r="BN313" s="9"/>
      <c r="BO313" s="9"/>
    </row>
    <row r="314" spans="1:67">
      <c r="A314" s="8">
        <v>44196</v>
      </c>
      <c r="B314" s="9">
        <f t="shared" si="12"/>
        <v>34.50529442767477</v>
      </c>
      <c r="C314" s="9">
        <f t="shared" si="13"/>
        <v>4.2338993956070281</v>
      </c>
      <c r="D314" s="9">
        <f t="shared" si="14"/>
        <v>25.386968931600236</v>
      </c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>
        <f>SUM(IF(Career_History!G41=TRUE,IF(A314&lt;Career_History!D41,0,MIN(A314,Career_History!E41)-Career_History!D41+1),0),IF(Career_History!G42=TRUE,IF(A314&lt;Career_History!D42,0,MIN(A314,Career_History!E42)-Career_History!D42+1),0))/365.2425</f>
        <v>40.504596261387981</v>
      </c>
      <c r="AP314" s="9">
        <f>SUM(IF(Career_History!I41=TRUE,IF(A314&lt;Career_History!D41,0,MIN(A314,Career_History!E41)-Career_History!D41+1),0),IF(Career_History!I42=TRUE,IF(A314&lt;Career_History!D42,0,MIN(A314,Career_History!E42)-Career_History!D42+1),0))/365.2425</f>
        <v>0</v>
      </c>
      <c r="AQ314" s="9">
        <f>SUM(IF(Career_History!H41=TRUE,IF(A314&lt;Career_History!D41,0,MIN(A314,Career_History!E41)-Career_History!D41+1),0),IF(Career_History!H42=TRUE,IF(A314&lt;Career_History!D42,0,MIN(A314,Career_History!E42)-Career_History!D42+1),0))/365.2425</f>
        <v>40.504596261387981</v>
      </c>
      <c r="AR314" s="9">
        <f>SUM(IF(Career_History!G43=TRUE,IF(A314&lt;Career_History!D43,0,MIN(A314,Career_History!E43)-Career_History!D43+1),0),IF(Career_History!G44=TRUE,IF(A314&lt;Career_History!D44,0,MIN(A314,Career_History!E44)-Career_History!D44+1),0),IF(Career_History!G45=TRUE,IF(A314&lt;Career_History!D45,0,MIN(A314,Career_History!E45)-Career_History!D45+1),0),IF(Career_History!G46=TRUE,IF(A314&lt;Career_History!D46,0,MIN(A314,Career_History!E46)-Career_History!D46+1),0))/365.2425</f>
        <v>29.506423814315145</v>
      </c>
      <c r="AS314" s="9">
        <f>SUM(IF(Career_History!I43=TRUE,IF(A314&lt;Career_History!D43,0,MIN(A314,Career_History!E43)-Career_History!D43+1),0),IF(Career_History!I44=TRUE,IF(A314&lt;Career_History!D44,0,MIN(A314,Career_History!E44)-Career_History!D44+1),0),IF(Career_History!I45=TRUE,IF(A314&lt;Career_History!D45,0,MIN(A314,Career_History!E45)-Career_History!D45+1),0),IF(Career_History!I46=TRUE,IF(A314&lt;Career_History!D46,0,MIN(A314,Career_History!E46)-Career_History!D46+1),0))/365.2425</f>
        <v>4.0849572544268531</v>
      </c>
      <c r="AT314" s="9">
        <f>SUM(IF(Career_History!H43=TRUE,IF(A314&lt;Career_History!D43,0,MIN(A314,Career_History!E43)-Career_History!D43+1),0),IF(Career_History!H44=TRUE,IF(A314&lt;Career_History!D44,0,MIN(A314,Career_History!E44)-Career_History!D44+1),0),IF(Career_History!H45=TRUE,IF(A314&lt;Career_History!D45,0,MIN(A314,Career_History!E45)-Career_History!D45+1),0),IF(Career_History!H46=TRUE,IF(A314&lt;Career_History!D46,0,MIN(A314,Career_History!E46)-Career_History!D46+1),0))/365.2425</f>
        <v>24.4193925953305</v>
      </c>
      <c r="AU314" s="9">
        <f>SUM(IF(Career_History!G47=TRUE,IF(A314&lt;Career_History!D47,0,MIN(A314,Career_History!E47)-Career_History!D47+1),0),IF(Career_History!G48=TRUE,IF(A314&lt;Career_History!D48,0,MIN(A314,Career_History!E48)-Career_History!D48+1),0),IF(Career_History!G49=TRUE,IF(A314&lt;Career_History!D49,0,MIN(A314,Career_History!E49)-Career_History!D49+1),0))/365.2425</f>
        <v>32.50443198696756</v>
      </c>
      <c r="AV314" s="9">
        <f>SUM(IF(Career_History!I47=TRUE,IF(A314&lt;Career_History!D47,0,MIN(A314,Career_History!E47)-Career_History!D47+1),0),IF(Career_History!I48=TRUE,IF(A314&lt;Career_History!D48,0,MIN(A314,Career_History!E48)-Career_History!D48+1),0),IF(Career_History!I49=TRUE,IF(A314&lt;Career_History!D49,0,MIN(A314,Career_History!E49)-Career_History!D49+1),0))/365.2425</f>
        <v>16.999664606391644</v>
      </c>
      <c r="AW314" s="9">
        <f>SUM(IF(Career_History!H47=TRUE,IF(A314&lt;Career_History!D47,0,MIN(A314,Career_History!E47)-Career_History!D47+1),0),IF(Career_History!H48=TRUE,IF(A314&lt;Career_History!D48,0,MIN(A314,Career_History!E48)-Career_History!D48+1),0),IF(Career_History!H49=TRUE,IF(A314&lt;Career_History!D49,0,MIN(A314,Career_History!E49)-Career_History!D49+1),0))/365.2425</f>
        <v>15.504767380575919</v>
      </c>
      <c r="AX314" s="9">
        <f>SUM(IF(Career_History!G50=TRUE,IF(A314&lt;Career_History!D50,0,MIN(A314,Career_History!E50)-Career_History!D50+1),0),IF(Career_History!G51=TRUE,IF(A314&lt;Career_History!D51,0,MIN(A314,Career_History!E51)-Career_History!D51+1),0),IF(Career_History!G52=TRUE,IF(A314&lt;Career_History!D52,0,MIN(A314,Career_History!E52)-Career_History!D52+1),0))/365.2425</f>
        <v>25.506341677104938</v>
      </c>
      <c r="AY314" s="9">
        <f>SUM(IF(Career_History!I50=TRUE,IF(A314&lt;Career_History!D50,0,MIN(A314,Career_History!E50)-Career_History!D50+1),0),IF(Career_History!I51=TRUE,IF(A314&lt;Career_History!D51,0,MIN(A314,Career_History!E51)-Career_History!D51+1),0),IF(Career_History!I52=TRUE,IF(A314&lt;Career_History!D52,0,MIN(A314,Career_History!E52)-Career_History!D52+1),0))/365.2425</f>
        <v>8.4875117216643731E-2</v>
      </c>
      <c r="AZ314" s="9">
        <f>SUM(IF(Career_History!H50=TRUE,IF(A314&lt;Career_History!D50,0,MIN(A314,Career_History!E50)-Career_History!D50+1),0),IF(Career_History!H51=TRUE,IF(A314&lt;Career_History!D51,0,MIN(A314,Career_History!E51)-Career_History!D51+1),0),IF(Career_History!H52=TRUE,IF(A314&lt;Career_History!D52,0,MIN(A314,Career_History!E52)-Career_History!D52+1),0))/365.2425</f>
        <v>2.0014100221085989</v>
      </c>
      <c r="BA314" s="9">
        <f>SUM(IF(Career_History!G53=TRUE,IF(A314&lt;Career_History!D53,0,MIN(A314,Career_History!E53)-Career_History!D53+1),0),IF(Career_History!G54=TRUE,IF(A314&lt;Career_History!D54,0,MIN(A314,Career_History!E54)-Career_History!D54+1),0),IF(Career_History!G55=TRUE,IF(A314&lt;Career_History!D55,0,MIN(A314,Career_History!E55)-Career_History!D55+1),0),IF(Career_History!G56=TRUE,IF(A314&lt;Career_History!D56,0,MIN(A314,Career_History!E56)-Career_History!D56+1),0),IF(Career_History!G57=TRUE,IF(A314&lt;Career_History!D57,0,MIN(A314,Career_History!E57)-Career_History!D57+1),0))/365.2425</f>
        <v>44.504678398598188</v>
      </c>
      <c r="BB314" s="9">
        <f>SUM(IF(Career_History!I53=TRUE,IF(A314&lt;Career_History!D53,0,MIN(A314,Career_History!E53)-Career_History!D53+1),0),IF(Career_History!I54=TRUE,IF(A314&lt;Career_History!D54,0,MIN(A314,Career_History!E54)-Career_History!D54+1),0),IF(Career_History!I55=TRUE,IF(A314&lt;Career_History!D55,0,MIN(A314,Career_History!E55)-Career_History!D55+1),0),IF(Career_History!I56=TRUE,IF(A314&lt;Career_History!D56,0,MIN(A314,Career_History!E56)-Career_History!D56+1),0),IF(Career_History!I57=TRUE,IF(A314&lt;Career_History!D57,0,MIN(A314,Career_History!E57)-Career_History!D57+1),0))/365.2425</f>
        <v>0</v>
      </c>
      <c r="BC314" s="9">
        <f>SUM(IF(Career_History!H53=TRUE,IF(A314&lt;Career_History!D53,0,MIN(A314,Career_History!E53)-Career_History!D53+1),0),IF(Career_History!H54=TRUE,IF(A314&lt;Career_History!D54,0,MIN(A314,Career_History!E54)-Career_History!D54+1),0),IF(Career_History!H55=TRUE,IF(A314&lt;Career_History!D55,0,MIN(A314,Career_History!E55)-Career_History!D55+1),0),IF(Career_History!H56=TRUE,IF(A314&lt;Career_History!D56,0,MIN(A314,Career_History!E56)-Career_History!D56+1),0),IF(Career_History!H57=TRUE,IF(A314&lt;Career_History!D57,0,MIN(A314,Career_History!E57)-Career_History!D57+1),0))/365.2425</f>
        <v>44.504678398598188</v>
      </c>
      <c r="BD314" s="9"/>
      <c r="BE314" s="9"/>
      <c r="BF314" s="9"/>
      <c r="BG314" s="9"/>
      <c r="BH314" s="9"/>
      <c r="BI314" s="9"/>
      <c r="BJ314" s="9"/>
      <c r="BK314" s="9"/>
      <c r="BL314" s="9"/>
      <c r="BM314" s="9"/>
      <c r="BN314" s="9"/>
      <c r="BO314" s="9"/>
    </row>
    <row r="315" spans="1:67">
      <c r="A315" s="8">
        <v>44227</v>
      </c>
      <c r="B315" s="9">
        <f t="shared" si="12"/>
        <v>30.489332429824021</v>
      </c>
      <c r="C315" s="9">
        <f t="shared" si="13"/>
        <v>8.2339815328172374</v>
      </c>
      <c r="D315" s="9">
        <f t="shared" si="14"/>
        <v>17.370924796539285</v>
      </c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>
        <f>SUM(IF(Career_History!G43=TRUE,IF(A315&lt;Career_History!D43,0,MIN(A315,Career_History!E43)-Career_History!D43+1),0),IF(Career_History!G44=TRUE,IF(A315&lt;Career_History!D44,0,MIN(A315,Career_History!E44)-Career_History!D44+1),0),IF(Career_History!G45=TRUE,IF(A315&lt;Career_History!D45,0,MIN(A315,Career_History!E45)-Career_History!D45+1),0),IF(Career_History!G46=TRUE,IF(A315&lt;Career_History!D46,0,MIN(A315,Career_History!E46)-Career_History!D46+1),0))/365.2425</f>
        <v>29.591298931531789</v>
      </c>
      <c r="AS315" s="9">
        <f>SUM(IF(Career_History!I43=TRUE,IF(A315&lt;Career_History!D43,0,MIN(A315,Career_History!E43)-Career_History!D43+1),0),IF(Career_History!I44=TRUE,IF(A315&lt;Career_History!D44,0,MIN(A315,Career_History!E44)-Career_History!D44+1),0),IF(Career_History!I45=TRUE,IF(A315&lt;Career_History!D45,0,MIN(A315,Career_History!E45)-Career_History!D45+1),0),IF(Career_History!I46=TRUE,IF(A315&lt;Career_History!D46,0,MIN(A315,Career_History!E46)-Career_History!D46+1),0))/365.2425</f>
        <v>4.0849572544268531</v>
      </c>
      <c r="AT315" s="9">
        <f>SUM(IF(Career_History!H43=TRUE,IF(A315&lt;Career_History!D43,0,MIN(A315,Career_History!E43)-Career_History!D43+1),0),IF(Career_History!H44=TRUE,IF(A315&lt;Career_History!D44,0,MIN(A315,Career_History!E44)-Career_History!D44+1),0),IF(Career_History!H45=TRUE,IF(A315&lt;Career_History!D45,0,MIN(A315,Career_History!E45)-Career_History!D45+1),0),IF(Career_History!H46=TRUE,IF(A315&lt;Career_History!D46,0,MIN(A315,Career_History!E46)-Career_History!D46+1),0))/365.2425</f>
        <v>24.504267712547144</v>
      </c>
      <c r="AU315" s="9">
        <f>SUM(IF(Career_History!G47=TRUE,IF(A315&lt;Career_History!D47,0,MIN(A315,Career_History!E47)-Career_History!D47+1),0),IF(Career_History!G48=TRUE,IF(A315&lt;Career_History!D48,0,MIN(A315,Career_History!E48)-Career_History!D48+1),0),IF(Career_History!G49=TRUE,IF(A315&lt;Career_History!D49,0,MIN(A315,Career_History!E49)-Career_History!D49+1),0))/365.2425</f>
        <v>32.589307104184208</v>
      </c>
      <c r="AV315" s="9">
        <f>SUM(IF(Career_History!I47=TRUE,IF(A315&lt;Career_History!D47,0,MIN(A315,Career_History!E47)-Career_History!D47+1),0),IF(Career_History!I48=TRUE,IF(A315&lt;Career_History!D48,0,MIN(A315,Career_History!E48)-Career_History!D48+1),0),IF(Career_History!I49=TRUE,IF(A315&lt;Career_History!D49,0,MIN(A315,Career_History!E49)-Career_History!D49+1),0))/365.2425</f>
        <v>16.999664606391644</v>
      </c>
      <c r="AW315" s="9">
        <f>SUM(IF(Career_History!H47=TRUE,IF(A315&lt;Career_History!D47,0,MIN(A315,Career_History!E47)-Career_History!D47+1),0),IF(Career_History!H48=TRUE,IF(A315&lt;Career_History!D48,0,MIN(A315,Career_History!E48)-Career_History!D48+1),0),IF(Career_History!H49=TRUE,IF(A315&lt;Career_History!D49,0,MIN(A315,Career_History!E49)-Career_History!D49+1),0))/365.2425</f>
        <v>15.589642497792562</v>
      </c>
      <c r="AX315" s="9">
        <f>SUM(IF(Career_History!G50=TRUE,IF(A315&lt;Career_History!D50,0,MIN(A315,Career_History!E50)-Career_History!D50+1),0),IF(Career_History!G51=TRUE,IF(A315&lt;Career_History!D51,0,MIN(A315,Career_History!E51)-Career_History!D51+1),0),IF(Career_History!G52=TRUE,IF(A315&lt;Career_History!D52,0,MIN(A315,Career_History!E52)-Career_History!D52+1),0))/365.2425</f>
        <v>25.591216794321582</v>
      </c>
      <c r="AY315" s="9">
        <f>SUM(IF(Career_History!I50=TRUE,IF(A315&lt;Career_History!D50,0,MIN(A315,Career_History!E50)-Career_History!D50+1),0),IF(Career_History!I51=TRUE,IF(A315&lt;Career_History!D51,0,MIN(A315,Career_History!E51)-Career_History!D51+1),0),IF(Career_History!I52=TRUE,IF(A315&lt;Career_History!D52,0,MIN(A315,Career_History!E52)-Career_History!D52+1),0))/365.2425</f>
        <v>8.4875117216643731E-2</v>
      </c>
      <c r="AZ315" s="9">
        <f>SUM(IF(Career_History!H50=TRUE,IF(A315&lt;Career_History!D50,0,MIN(A315,Career_History!E50)-Career_History!D50+1),0),IF(Career_History!H51=TRUE,IF(A315&lt;Career_History!D51,0,MIN(A315,Career_History!E51)-Career_History!D51+1),0),IF(Career_History!H52=TRUE,IF(A315&lt;Career_History!D52,0,MIN(A315,Career_History!E52)-Career_History!D52+1),0))/365.2425</f>
        <v>2.0862851393252426</v>
      </c>
      <c r="BA315" s="9">
        <f>SUM(IF(Career_History!G53=TRUE,IF(A315&lt;Career_History!D53,0,MIN(A315,Career_History!E53)-Career_History!D53+1),0),IF(Career_History!G54=TRUE,IF(A315&lt;Career_History!D54,0,MIN(A315,Career_History!E54)-Career_History!D54+1),0),IF(Career_History!G55=TRUE,IF(A315&lt;Career_History!D55,0,MIN(A315,Career_History!E55)-Career_History!D55+1),0),IF(Career_History!G56=TRUE,IF(A315&lt;Career_History!D56,0,MIN(A315,Career_History!E56)-Career_History!D56+1),0),IF(Career_History!G57=TRUE,IF(A315&lt;Career_History!D57,0,MIN(A315,Career_History!E57)-Career_History!D57+1),0))/365.2425</f>
        <v>44.589553515814835</v>
      </c>
      <c r="BB315" s="9">
        <f>SUM(IF(Career_History!I53=TRUE,IF(A315&lt;Career_History!D53,0,MIN(A315,Career_History!E53)-Career_History!D53+1),0),IF(Career_History!I54=TRUE,IF(A315&lt;Career_History!D54,0,MIN(A315,Career_History!E54)-Career_History!D54+1),0),IF(Career_History!I55=TRUE,IF(A315&lt;Career_History!D55,0,MIN(A315,Career_History!E55)-Career_History!D55+1),0),IF(Career_History!I56=TRUE,IF(A315&lt;Career_History!D56,0,MIN(A315,Career_History!E56)-Career_History!D56+1),0),IF(Career_History!I57=TRUE,IF(A315&lt;Career_History!D57,0,MIN(A315,Career_History!E57)-Career_History!D57+1),0))/365.2425</f>
        <v>0</v>
      </c>
      <c r="BC315" s="9">
        <f>SUM(IF(Career_History!H53=TRUE,IF(A315&lt;Career_History!D53,0,MIN(A315,Career_History!E53)-Career_History!D53+1),0),IF(Career_History!H54=TRUE,IF(A315&lt;Career_History!D54,0,MIN(A315,Career_History!E54)-Career_History!D54+1),0),IF(Career_History!H55=TRUE,IF(A315&lt;Career_History!D55,0,MIN(A315,Career_History!E55)-Career_History!D55+1),0),IF(Career_History!H56=TRUE,IF(A315&lt;Career_History!D56,0,MIN(A315,Career_History!E56)-Career_History!D56+1),0),IF(Career_History!H57=TRUE,IF(A315&lt;Career_History!D57,0,MIN(A315,Career_History!E57)-Career_History!D57+1),0))/365.2425</f>
        <v>44.589553515814835</v>
      </c>
      <c r="BD315" s="9">
        <f>SUM(IF(Career_History!G58=TRUE,IF(A315&lt;Career_History!D58,0,MIN(A315,Career_History!E58)-Career_History!D58+1),0),IF(Career_History!G59=TRUE,IF(A315&lt;Career_History!D59,0,MIN(A315,Career_History!E59)-Career_History!D59+1),0),IF(Career_History!G60=TRUE,IF(A315&lt;Career_History!D60,0,MIN(A315,Career_History!E60)-Career_History!D60+1),0))/365.2425</f>
        <v>20.085285803267691</v>
      </c>
      <c r="BE315" s="9">
        <f>SUM(IF(Career_History!I58=TRUE,IF(A315&lt;Career_History!D58,0,MIN(A315,Career_History!E58)-Career_History!D58+1),0),IF(Career_History!I59=TRUE,IF(A315&lt;Career_History!D59,0,MIN(A315,Career_History!E59)-Career_History!D59+1),0),IF(Career_History!I60=TRUE,IF(A315&lt;Career_History!D60,0,MIN(A315,Career_History!E60)-Career_History!D60+1),0))/365.2425</f>
        <v>20.000410686051048</v>
      </c>
      <c r="BF315" s="9">
        <f>SUM(IF(Career_History!H58=TRUE,IF(A315&lt;Career_History!D58,0,MIN(A315,Career_History!E58)-Career_History!D58+1),0),IF(Career_History!H59=TRUE,IF(A315&lt;Career_History!D59,0,MIN(A315,Career_History!E59)-Career_History!D59+1),0),IF(Career_History!H60=TRUE,IF(A315&lt;Career_History!D60,0,MIN(A315,Career_History!E60)-Career_History!D60+1),0))/365.2425</f>
        <v>8.4875117216643731E-2</v>
      </c>
      <c r="BG315" s="9"/>
      <c r="BH315" s="9"/>
      <c r="BI315" s="9"/>
      <c r="BJ315" s="9"/>
      <c r="BK315" s="9"/>
      <c r="BL315" s="9"/>
      <c r="BM315" s="9"/>
      <c r="BN315" s="9"/>
      <c r="BO315" s="9"/>
    </row>
    <row r="316" spans="1:67">
      <c r="A316" s="8">
        <v>44255</v>
      </c>
      <c r="B316" s="9">
        <f t="shared" si="12"/>
        <v>30.565993826019699</v>
      </c>
      <c r="C316" s="9">
        <f t="shared" si="13"/>
        <v>8.2339815328172374</v>
      </c>
      <c r="D316" s="9">
        <f t="shared" si="14"/>
        <v>17.447586192734963</v>
      </c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>
        <f>SUM(IF(Career_History!G43=TRUE,IF(A316&lt;Career_History!D43,0,MIN(A316,Career_History!E43)-Career_History!D43+1),0),IF(Career_History!G44=TRUE,IF(A316&lt;Career_History!D44,0,MIN(A316,Career_History!E44)-Career_History!D44+1),0),IF(Career_History!G45=TRUE,IF(A316&lt;Career_History!D45,0,MIN(A316,Career_History!E45)-Career_History!D45+1),0),IF(Career_History!G46=TRUE,IF(A316&lt;Career_History!D46,0,MIN(A316,Career_History!E46)-Career_History!D46+1),0))/365.2425</f>
        <v>29.667960327727467</v>
      </c>
      <c r="AS316" s="9">
        <f>SUM(IF(Career_History!I43=TRUE,IF(A316&lt;Career_History!D43,0,MIN(A316,Career_History!E43)-Career_History!D43+1),0),IF(Career_History!I44=TRUE,IF(A316&lt;Career_History!D44,0,MIN(A316,Career_History!E44)-Career_History!D44+1),0),IF(Career_History!I45=TRUE,IF(A316&lt;Career_History!D45,0,MIN(A316,Career_History!E45)-Career_History!D45+1),0),IF(Career_History!I46=TRUE,IF(A316&lt;Career_History!D46,0,MIN(A316,Career_History!E46)-Career_History!D46+1),0))/365.2425</f>
        <v>4.0849572544268531</v>
      </c>
      <c r="AT316" s="9">
        <f>SUM(IF(Career_History!H43=TRUE,IF(A316&lt;Career_History!D43,0,MIN(A316,Career_History!E43)-Career_History!D43+1),0),IF(Career_History!H44=TRUE,IF(A316&lt;Career_History!D44,0,MIN(A316,Career_History!E44)-Career_History!D44+1),0),IF(Career_History!H45=TRUE,IF(A316&lt;Career_History!D45,0,MIN(A316,Career_History!E45)-Career_History!D45+1),0),IF(Career_History!H46=TRUE,IF(A316&lt;Career_History!D46,0,MIN(A316,Career_History!E46)-Career_History!D46+1),0))/365.2425</f>
        <v>24.580929108742822</v>
      </c>
      <c r="AU316" s="9">
        <f>SUM(IF(Career_History!G47=TRUE,IF(A316&lt;Career_History!D47,0,MIN(A316,Career_History!E47)-Career_History!D47+1),0),IF(Career_History!G48=TRUE,IF(A316&lt;Career_History!D48,0,MIN(A316,Career_History!E48)-Career_History!D48+1),0),IF(Career_History!G49=TRUE,IF(A316&lt;Career_History!D49,0,MIN(A316,Career_History!E49)-Career_History!D49+1),0))/365.2425</f>
        <v>32.665968500379883</v>
      </c>
      <c r="AV316" s="9">
        <f>SUM(IF(Career_History!I47=TRUE,IF(A316&lt;Career_History!D47,0,MIN(A316,Career_History!E47)-Career_History!D47+1),0),IF(Career_History!I48=TRUE,IF(A316&lt;Career_History!D48,0,MIN(A316,Career_History!E48)-Career_History!D48+1),0),IF(Career_History!I49=TRUE,IF(A316&lt;Career_History!D49,0,MIN(A316,Career_History!E49)-Career_History!D49+1),0))/365.2425</f>
        <v>16.999664606391644</v>
      </c>
      <c r="AW316" s="9">
        <f>SUM(IF(Career_History!H47=TRUE,IF(A316&lt;Career_History!D47,0,MIN(A316,Career_History!E47)-Career_History!D47+1),0),IF(Career_History!H48=TRUE,IF(A316&lt;Career_History!D48,0,MIN(A316,Career_History!E48)-Career_History!D48+1),0),IF(Career_History!H49=TRUE,IF(A316&lt;Career_History!D49,0,MIN(A316,Career_History!E49)-Career_History!D49+1),0))/365.2425</f>
        <v>15.666303893988241</v>
      </c>
      <c r="AX316" s="9">
        <f>SUM(IF(Career_History!G50=TRUE,IF(A316&lt;Career_History!D50,0,MIN(A316,Career_History!E50)-Career_History!D50+1),0),IF(Career_History!G51=TRUE,IF(A316&lt;Career_History!D51,0,MIN(A316,Career_History!E51)-Career_History!D51+1),0),IF(Career_History!G52=TRUE,IF(A316&lt;Career_History!D52,0,MIN(A316,Career_History!E52)-Career_History!D52+1),0))/365.2425</f>
        <v>25.667878190517257</v>
      </c>
      <c r="AY316" s="9">
        <f>SUM(IF(Career_History!I50=TRUE,IF(A316&lt;Career_History!D50,0,MIN(A316,Career_History!E50)-Career_History!D50+1),0),IF(Career_History!I51=TRUE,IF(A316&lt;Career_History!D51,0,MIN(A316,Career_History!E51)-Career_History!D51+1),0),IF(Career_History!I52=TRUE,IF(A316&lt;Career_History!D52,0,MIN(A316,Career_History!E52)-Career_History!D52+1),0))/365.2425</f>
        <v>8.4875117216643731E-2</v>
      </c>
      <c r="AZ316" s="9">
        <f>SUM(IF(Career_History!H50=TRUE,IF(A316&lt;Career_History!D50,0,MIN(A316,Career_History!E50)-Career_History!D50+1),0),IF(Career_History!H51=TRUE,IF(A316&lt;Career_History!D51,0,MIN(A316,Career_History!E51)-Career_History!D51+1),0),IF(Career_History!H52=TRUE,IF(A316&lt;Career_History!D52,0,MIN(A316,Career_History!E52)-Career_History!D52+1),0))/365.2425</f>
        <v>2.1629465355209212</v>
      </c>
      <c r="BA316" s="9">
        <f>SUM(IF(Career_History!G53=TRUE,IF(A316&lt;Career_History!D53,0,MIN(A316,Career_History!E53)-Career_History!D53+1),0),IF(Career_History!G54=TRUE,IF(A316&lt;Career_History!D54,0,MIN(A316,Career_History!E54)-Career_History!D54+1),0),IF(Career_History!G55=TRUE,IF(A316&lt;Career_History!D55,0,MIN(A316,Career_History!E55)-Career_History!D55+1),0),IF(Career_History!G56=TRUE,IF(A316&lt;Career_History!D56,0,MIN(A316,Career_History!E56)-Career_History!D56+1),0),IF(Career_History!G57=TRUE,IF(A316&lt;Career_History!D57,0,MIN(A316,Career_History!E57)-Career_History!D57+1),0))/365.2425</f>
        <v>44.66621491201051</v>
      </c>
      <c r="BB316" s="9">
        <f>SUM(IF(Career_History!I53=TRUE,IF(A316&lt;Career_History!D53,0,MIN(A316,Career_History!E53)-Career_History!D53+1),0),IF(Career_History!I54=TRUE,IF(A316&lt;Career_History!D54,0,MIN(A316,Career_History!E54)-Career_History!D54+1),0),IF(Career_History!I55=TRUE,IF(A316&lt;Career_History!D55,0,MIN(A316,Career_History!E55)-Career_History!D55+1),0),IF(Career_History!I56=TRUE,IF(A316&lt;Career_History!D56,0,MIN(A316,Career_History!E56)-Career_History!D56+1),0),IF(Career_History!I57=TRUE,IF(A316&lt;Career_History!D57,0,MIN(A316,Career_History!E57)-Career_History!D57+1),0))/365.2425</f>
        <v>0</v>
      </c>
      <c r="BC316" s="9">
        <f>SUM(IF(Career_History!H53=TRUE,IF(A316&lt;Career_History!D53,0,MIN(A316,Career_History!E53)-Career_History!D53+1),0),IF(Career_History!H54=TRUE,IF(A316&lt;Career_History!D54,0,MIN(A316,Career_History!E54)-Career_History!D54+1),0),IF(Career_History!H55=TRUE,IF(A316&lt;Career_History!D55,0,MIN(A316,Career_History!E55)-Career_History!D55+1),0),IF(Career_History!H56=TRUE,IF(A316&lt;Career_History!D56,0,MIN(A316,Career_History!E56)-Career_History!D56+1),0),IF(Career_History!H57=TRUE,IF(A316&lt;Career_History!D57,0,MIN(A316,Career_History!E57)-Career_History!D57+1),0))/365.2425</f>
        <v>44.66621491201051</v>
      </c>
      <c r="BD316" s="9">
        <f>SUM(IF(Career_History!G58=TRUE,IF(A316&lt;Career_History!D58,0,MIN(A316,Career_History!E58)-Career_History!D58+1),0),IF(Career_History!G59=TRUE,IF(A316&lt;Career_History!D59,0,MIN(A316,Career_History!E59)-Career_History!D59+1),0),IF(Career_History!G60=TRUE,IF(A316&lt;Career_History!D60,0,MIN(A316,Career_History!E60)-Career_History!D60+1),0))/365.2425</f>
        <v>20.16194719946337</v>
      </c>
      <c r="BE316" s="9">
        <f>SUM(IF(Career_History!I58=TRUE,IF(A316&lt;Career_History!D58,0,MIN(A316,Career_History!E58)-Career_History!D58+1),0),IF(Career_History!I59=TRUE,IF(A316&lt;Career_History!D59,0,MIN(A316,Career_History!E59)-Career_History!D59+1),0),IF(Career_History!I60=TRUE,IF(A316&lt;Career_History!D60,0,MIN(A316,Career_History!E60)-Career_History!D60+1),0))/365.2425</f>
        <v>20.000410686051048</v>
      </c>
      <c r="BF316" s="9">
        <f>SUM(IF(Career_History!H58=TRUE,IF(A316&lt;Career_History!D58,0,MIN(A316,Career_History!E58)-Career_History!D58+1),0),IF(Career_History!H59=TRUE,IF(A316&lt;Career_History!D59,0,MIN(A316,Career_History!E59)-Career_History!D59+1),0),IF(Career_History!H60=TRUE,IF(A316&lt;Career_History!D60,0,MIN(A316,Career_History!E60)-Career_History!D60+1),0))/365.2425</f>
        <v>0.16153651341232195</v>
      </c>
      <c r="BG316" s="9"/>
      <c r="BH316" s="9"/>
      <c r="BI316" s="9"/>
      <c r="BJ316" s="9"/>
      <c r="BK316" s="9"/>
      <c r="BL316" s="9"/>
      <c r="BM316" s="9"/>
      <c r="BN316" s="9"/>
      <c r="BO316" s="9"/>
    </row>
    <row r="317" spans="1:67">
      <c r="A317" s="8">
        <v>44286</v>
      </c>
      <c r="B317" s="9">
        <f t="shared" si="12"/>
        <v>30.65086894323634</v>
      </c>
      <c r="C317" s="9">
        <f t="shared" si="13"/>
        <v>8.2339815328172374</v>
      </c>
      <c r="D317" s="9">
        <f t="shared" si="14"/>
        <v>17.532461309951607</v>
      </c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>
        <f>SUM(IF(Career_History!G43=TRUE,IF(A317&lt;Career_History!D43,0,MIN(A317,Career_History!E43)-Career_History!D43+1),0),IF(Career_History!G44=TRUE,IF(A317&lt;Career_History!D44,0,MIN(A317,Career_History!E44)-Career_History!D44+1),0),IF(Career_History!G45=TRUE,IF(A317&lt;Career_History!D45,0,MIN(A317,Career_History!E45)-Career_History!D45+1),0),IF(Career_History!G46=TRUE,IF(A317&lt;Career_History!D46,0,MIN(A317,Career_History!E46)-Career_History!D46+1),0))/365.2425</f>
        <v>29.752835444944111</v>
      </c>
      <c r="AS317" s="9">
        <f>SUM(IF(Career_History!I43=TRUE,IF(A317&lt;Career_History!D43,0,MIN(A317,Career_History!E43)-Career_History!D43+1),0),IF(Career_History!I44=TRUE,IF(A317&lt;Career_History!D44,0,MIN(A317,Career_History!E44)-Career_History!D44+1),0),IF(Career_History!I45=TRUE,IF(A317&lt;Career_History!D45,0,MIN(A317,Career_History!E45)-Career_History!D45+1),0),IF(Career_History!I46=TRUE,IF(A317&lt;Career_History!D46,0,MIN(A317,Career_History!E46)-Career_History!D46+1),0))/365.2425</f>
        <v>4.0849572544268531</v>
      </c>
      <c r="AT317" s="9">
        <f>SUM(IF(Career_History!H43=TRUE,IF(A317&lt;Career_History!D43,0,MIN(A317,Career_History!E43)-Career_History!D43+1),0),IF(Career_History!H44=TRUE,IF(A317&lt;Career_History!D44,0,MIN(A317,Career_History!E44)-Career_History!D44+1),0),IF(Career_History!H45=TRUE,IF(A317&lt;Career_History!D45,0,MIN(A317,Career_History!E45)-Career_History!D45+1),0),IF(Career_History!H46=TRUE,IF(A317&lt;Career_History!D46,0,MIN(A317,Career_History!E46)-Career_History!D46+1),0))/365.2425</f>
        <v>24.665804225959466</v>
      </c>
      <c r="AU317" s="9">
        <f>SUM(IF(Career_History!G47=TRUE,IF(A317&lt;Career_History!D47,0,MIN(A317,Career_History!E47)-Career_History!D47+1),0),IF(Career_History!G48=TRUE,IF(A317&lt;Career_History!D48,0,MIN(A317,Career_History!E48)-Career_History!D48+1),0),IF(Career_History!G49=TRUE,IF(A317&lt;Career_History!D49,0,MIN(A317,Career_History!E49)-Career_History!D49+1),0))/365.2425</f>
        <v>32.75084361759653</v>
      </c>
      <c r="AV317" s="9">
        <f>SUM(IF(Career_History!I47=TRUE,IF(A317&lt;Career_History!D47,0,MIN(A317,Career_History!E47)-Career_History!D47+1),0),IF(Career_History!I48=TRUE,IF(A317&lt;Career_History!D48,0,MIN(A317,Career_History!E48)-Career_History!D48+1),0),IF(Career_History!I49=TRUE,IF(A317&lt;Career_History!D49,0,MIN(A317,Career_History!E49)-Career_History!D49+1),0))/365.2425</f>
        <v>16.999664606391644</v>
      </c>
      <c r="AW317" s="9">
        <f>SUM(IF(Career_History!H47=TRUE,IF(A317&lt;Career_History!D47,0,MIN(A317,Career_History!E47)-Career_History!D47+1),0),IF(Career_History!H48=TRUE,IF(A317&lt;Career_History!D48,0,MIN(A317,Career_History!E48)-Career_History!D48+1),0),IF(Career_History!H49=TRUE,IF(A317&lt;Career_History!D49,0,MIN(A317,Career_History!E49)-Career_History!D49+1),0))/365.2425</f>
        <v>15.751179011204885</v>
      </c>
      <c r="AX317" s="9">
        <f>SUM(IF(Career_History!G50=TRUE,IF(A317&lt;Career_History!D50,0,MIN(A317,Career_History!E50)-Career_History!D50+1),0),IF(Career_History!G51=TRUE,IF(A317&lt;Career_History!D51,0,MIN(A317,Career_History!E51)-Career_History!D51+1),0),IF(Career_History!G52=TRUE,IF(A317&lt;Career_History!D52,0,MIN(A317,Career_History!E52)-Career_History!D52+1),0))/365.2425</f>
        <v>25.752753307733901</v>
      </c>
      <c r="AY317" s="9">
        <f>SUM(IF(Career_History!I50=TRUE,IF(A317&lt;Career_History!D50,0,MIN(A317,Career_History!E50)-Career_History!D50+1),0),IF(Career_History!I51=TRUE,IF(A317&lt;Career_History!D51,0,MIN(A317,Career_History!E51)-Career_History!D51+1),0),IF(Career_History!I52=TRUE,IF(A317&lt;Career_History!D52,0,MIN(A317,Career_History!E52)-Career_History!D52+1),0))/365.2425</f>
        <v>8.4875117216643731E-2</v>
      </c>
      <c r="AZ317" s="9">
        <f>SUM(IF(Career_History!H50=TRUE,IF(A317&lt;Career_History!D50,0,MIN(A317,Career_History!E50)-Career_History!D50+1),0),IF(Career_History!H51=TRUE,IF(A317&lt;Career_History!D51,0,MIN(A317,Career_History!E51)-Career_History!D51+1),0),IF(Career_History!H52=TRUE,IF(A317&lt;Career_History!D52,0,MIN(A317,Career_History!E52)-Career_History!D52+1),0))/365.2425</f>
        <v>2.2478216527375645</v>
      </c>
      <c r="BA317" s="9">
        <f>SUM(IF(Career_History!G53=TRUE,IF(A317&lt;Career_History!D53,0,MIN(A317,Career_History!E53)-Career_History!D53+1),0),IF(Career_History!G54=TRUE,IF(A317&lt;Career_History!D54,0,MIN(A317,Career_History!E54)-Career_History!D54+1),0),IF(Career_History!G55=TRUE,IF(A317&lt;Career_History!D55,0,MIN(A317,Career_History!E55)-Career_History!D55+1),0),IF(Career_History!G56=TRUE,IF(A317&lt;Career_History!D56,0,MIN(A317,Career_History!E56)-Career_History!D56+1),0),IF(Career_History!G57=TRUE,IF(A317&lt;Career_History!D57,0,MIN(A317,Career_History!E57)-Career_History!D57+1),0))/365.2425</f>
        <v>44.751090029227157</v>
      </c>
      <c r="BB317" s="9">
        <f>SUM(IF(Career_History!I53=TRUE,IF(A317&lt;Career_History!D53,0,MIN(A317,Career_History!E53)-Career_History!D53+1),0),IF(Career_History!I54=TRUE,IF(A317&lt;Career_History!D54,0,MIN(A317,Career_History!E54)-Career_History!D54+1),0),IF(Career_History!I55=TRUE,IF(A317&lt;Career_History!D55,0,MIN(A317,Career_History!E55)-Career_History!D55+1),0),IF(Career_History!I56=TRUE,IF(A317&lt;Career_History!D56,0,MIN(A317,Career_History!E56)-Career_History!D56+1),0),IF(Career_History!I57=TRUE,IF(A317&lt;Career_History!D57,0,MIN(A317,Career_History!E57)-Career_History!D57+1),0))/365.2425</f>
        <v>0</v>
      </c>
      <c r="BC317" s="9">
        <f>SUM(IF(Career_History!H53=TRUE,IF(A317&lt;Career_History!D53,0,MIN(A317,Career_History!E53)-Career_History!D53+1),0),IF(Career_History!H54=TRUE,IF(A317&lt;Career_History!D54,0,MIN(A317,Career_History!E54)-Career_History!D54+1),0),IF(Career_History!H55=TRUE,IF(A317&lt;Career_History!D55,0,MIN(A317,Career_History!E55)-Career_History!D55+1),0),IF(Career_History!H56=TRUE,IF(A317&lt;Career_History!D56,0,MIN(A317,Career_History!E56)-Career_History!D56+1),0),IF(Career_History!H57=TRUE,IF(A317&lt;Career_History!D57,0,MIN(A317,Career_History!E57)-Career_History!D57+1),0))/365.2425</f>
        <v>44.751090029227157</v>
      </c>
      <c r="BD317" s="9">
        <f>SUM(IF(Career_History!G58=TRUE,IF(A317&lt;Career_History!D58,0,MIN(A317,Career_History!E58)-Career_History!D58+1),0),IF(Career_History!G59=TRUE,IF(A317&lt;Career_History!D59,0,MIN(A317,Career_History!E59)-Career_History!D59+1),0),IF(Career_History!G60=TRUE,IF(A317&lt;Career_History!D60,0,MIN(A317,Career_History!E60)-Career_History!D60+1),0))/365.2425</f>
        <v>20.246822316680014</v>
      </c>
      <c r="BE317" s="9">
        <f>SUM(IF(Career_History!I58=TRUE,IF(A317&lt;Career_History!D58,0,MIN(A317,Career_History!E58)-Career_History!D58+1),0),IF(Career_History!I59=TRUE,IF(A317&lt;Career_History!D59,0,MIN(A317,Career_History!E59)-Career_History!D59+1),0),IF(Career_History!I60=TRUE,IF(A317&lt;Career_History!D60,0,MIN(A317,Career_History!E60)-Career_History!D60+1),0))/365.2425</f>
        <v>20.000410686051048</v>
      </c>
      <c r="BF317" s="9">
        <f>SUM(IF(Career_History!H58=TRUE,IF(A317&lt;Career_History!D58,0,MIN(A317,Career_History!E58)-Career_History!D58+1),0),IF(Career_History!H59=TRUE,IF(A317&lt;Career_History!D59,0,MIN(A317,Career_History!E59)-Career_History!D59+1),0),IF(Career_History!H60=TRUE,IF(A317&lt;Career_History!D60,0,MIN(A317,Career_History!E60)-Career_History!D60+1),0))/365.2425</f>
        <v>0.24641163062896568</v>
      </c>
      <c r="BG317" s="9"/>
      <c r="BH317" s="9"/>
      <c r="BI317" s="9"/>
      <c r="BJ317" s="9"/>
      <c r="BK317" s="9"/>
      <c r="BL317" s="9"/>
      <c r="BM317" s="9"/>
      <c r="BN317" s="9"/>
      <c r="BO317" s="9"/>
    </row>
    <row r="318" spans="1:67">
      <c r="A318" s="8">
        <v>44316</v>
      </c>
      <c r="B318" s="9">
        <f t="shared" si="12"/>
        <v>30.733006153445995</v>
      </c>
      <c r="C318" s="9">
        <f t="shared" si="13"/>
        <v>8.2339815328172374</v>
      </c>
      <c r="D318" s="9">
        <f t="shared" si="14"/>
        <v>17.614598520161262</v>
      </c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>
        <f>SUM(IF(Career_History!G43=TRUE,IF(A318&lt;Career_History!D43,0,MIN(A318,Career_History!E43)-Career_History!D43+1),0),IF(Career_History!G44=TRUE,IF(A318&lt;Career_History!D44,0,MIN(A318,Career_History!E44)-Career_History!D44+1),0),IF(Career_History!G45=TRUE,IF(A318&lt;Career_History!D45,0,MIN(A318,Career_History!E45)-Career_History!D45+1),0),IF(Career_History!G46=TRUE,IF(A318&lt;Career_History!D46,0,MIN(A318,Career_History!E46)-Career_History!D46+1),0))/365.2425</f>
        <v>29.834972655153766</v>
      </c>
      <c r="AS318" s="9">
        <f>SUM(IF(Career_History!I43=TRUE,IF(A318&lt;Career_History!D43,0,MIN(A318,Career_History!E43)-Career_History!D43+1),0),IF(Career_History!I44=TRUE,IF(A318&lt;Career_History!D44,0,MIN(A318,Career_History!E44)-Career_History!D44+1),0),IF(Career_History!I45=TRUE,IF(A318&lt;Career_History!D45,0,MIN(A318,Career_History!E45)-Career_History!D45+1),0),IF(Career_History!I46=TRUE,IF(A318&lt;Career_History!D46,0,MIN(A318,Career_History!E46)-Career_History!D46+1),0))/365.2425</f>
        <v>4.0849572544268531</v>
      </c>
      <c r="AT318" s="9">
        <f>SUM(IF(Career_History!H43=TRUE,IF(A318&lt;Career_History!D43,0,MIN(A318,Career_History!E43)-Career_History!D43+1),0),IF(Career_History!H44=TRUE,IF(A318&lt;Career_History!D44,0,MIN(A318,Career_History!E44)-Career_History!D44+1),0),IF(Career_History!H45=TRUE,IF(A318&lt;Career_History!D45,0,MIN(A318,Career_History!E45)-Career_History!D45+1),0),IF(Career_History!H46=TRUE,IF(A318&lt;Career_History!D46,0,MIN(A318,Career_History!E46)-Career_History!D46+1),0))/365.2425</f>
        <v>24.747941436169121</v>
      </c>
      <c r="AU318" s="9">
        <f>SUM(IF(Career_History!G47=TRUE,IF(A318&lt;Career_History!D47,0,MIN(A318,Career_History!E47)-Career_History!D47+1),0),IF(Career_History!G48=TRUE,IF(A318&lt;Career_History!D48,0,MIN(A318,Career_History!E48)-Career_History!D48+1),0),IF(Career_History!G49=TRUE,IF(A318&lt;Career_History!D49,0,MIN(A318,Career_History!E49)-Career_History!D49+1),0))/365.2425</f>
        <v>32.832980827806182</v>
      </c>
      <c r="AV318" s="9">
        <f>SUM(IF(Career_History!I47=TRUE,IF(A318&lt;Career_History!D47,0,MIN(A318,Career_History!E47)-Career_History!D47+1),0),IF(Career_History!I48=TRUE,IF(A318&lt;Career_History!D48,0,MIN(A318,Career_History!E48)-Career_History!D48+1),0),IF(Career_History!I49=TRUE,IF(A318&lt;Career_History!D49,0,MIN(A318,Career_History!E49)-Career_History!D49+1),0))/365.2425</f>
        <v>16.999664606391644</v>
      </c>
      <c r="AW318" s="9">
        <f>SUM(IF(Career_History!H47=TRUE,IF(A318&lt;Career_History!D47,0,MIN(A318,Career_History!E47)-Career_History!D47+1),0),IF(Career_History!H48=TRUE,IF(A318&lt;Career_History!D48,0,MIN(A318,Career_History!E48)-Career_History!D48+1),0),IF(Career_History!H49=TRUE,IF(A318&lt;Career_History!D49,0,MIN(A318,Career_History!E49)-Career_History!D49+1),0))/365.2425</f>
        <v>15.83331622141454</v>
      </c>
      <c r="AX318" s="9">
        <f>SUM(IF(Career_History!G50=TRUE,IF(A318&lt;Career_History!D50,0,MIN(A318,Career_History!E50)-Career_History!D50+1),0),IF(Career_History!G51=TRUE,IF(A318&lt;Career_History!D51,0,MIN(A318,Career_History!E51)-Career_History!D51+1),0),IF(Career_History!G52=TRUE,IF(A318&lt;Career_History!D52,0,MIN(A318,Career_History!E52)-Career_History!D52+1),0))/365.2425</f>
        <v>25.834890517943556</v>
      </c>
      <c r="AY318" s="9">
        <f>SUM(IF(Career_History!I50=TRUE,IF(A318&lt;Career_History!D50,0,MIN(A318,Career_History!E50)-Career_History!D50+1),0),IF(Career_History!I51=TRUE,IF(A318&lt;Career_History!D51,0,MIN(A318,Career_History!E51)-Career_History!D51+1),0),IF(Career_History!I52=TRUE,IF(A318&lt;Career_History!D52,0,MIN(A318,Career_History!E52)-Career_History!D52+1),0))/365.2425</f>
        <v>8.4875117216643731E-2</v>
      </c>
      <c r="AZ318" s="9">
        <f>SUM(IF(Career_History!H50=TRUE,IF(A318&lt;Career_History!D50,0,MIN(A318,Career_History!E50)-Career_History!D50+1),0),IF(Career_History!H51=TRUE,IF(A318&lt;Career_History!D51,0,MIN(A318,Career_History!E51)-Career_History!D51+1),0),IF(Career_History!H52=TRUE,IF(A318&lt;Career_History!D52,0,MIN(A318,Career_History!E52)-Career_History!D52+1),0))/365.2425</f>
        <v>2.3299588629472199</v>
      </c>
      <c r="BA318" s="9">
        <f>SUM(IF(Career_History!G53=TRUE,IF(A318&lt;Career_History!D53,0,MIN(A318,Career_History!E53)-Career_History!D53+1),0),IF(Career_History!G54=TRUE,IF(A318&lt;Career_History!D54,0,MIN(A318,Career_History!E54)-Career_History!D54+1),0),IF(Career_History!G55=TRUE,IF(A318&lt;Career_History!D55,0,MIN(A318,Career_History!E55)-Career_History!D55+1),0),IF(Career_History!G56=TRUE,IF(A318&lt;Career_History!D56,0,MIN(A318,Career_History!E56)-Career_History!D56+1),0),IF(Career_History!G57=TRUE,IF(A318&lt;Career_History!D57,0,MIN(A318,Career_History!E57)-Career_History!D57+1),0))/365.2425</f>
        <v>44.833227239436809</v>
      </c>
      <c r="BB318" s="9">
        <f>SUM(IF(Career_History!I53=TRUE,IF(A318&lt;Career_History!D53,0,MIN(A318,Career_History!E53)-Career_History!D53+1),0),IF(Career_History!I54=TRUE,IF(A318&lt;Career_History!D54,0,MIN(A318,Career_History!E54)-Career_History!D54+1),0),IF(Career_History!I55=TRUE,IF(A318&lt;Career_History!D55,0,MIN(A318,Career_History!E55)-Career_History!D55+1),0),IF(Career_History!I56=TRUE,IF(A318&lt;Career_History!D56,0,MIN(A318,Career_History!E56)-Career_History!D56+1),0),IF(Career_History!I57=TRUE,IF(A318&lt;Career_History!D57,0,MIN(A318,Career_History!E57)-Career_History!D57+1),0))/365.2425</f>
        <v>0</v>
      </c>
      <c r="BC318" s="9">
        <f>SUM(IF(Career_History!H53=TRUE,IF(A318&lt;Career_History!D53,0,MIN(A318,Career_History!E53)-Career_History!D53+1),0),IF(Career_History!H54=TRUE,IF(A318&lt;Career_History!D54,0,MIN(A318,Career_History!E54)-Career_History!D54+1),0),IF(Career_History!H55=TRUE,IF(A318&lt;Career_History!D55,0,MIN(A318,Career_History!E55)-Career_History!D55+1),0),IF(Career_History!H56=TRUE,IF(A318&lt;Career_History!D56,0,MIN(A318,Career_History!E56)-Career_History!D56+1),0),IF(Career_History!H57=TRUE,IF(A318&lt;Career_History!D57,0,MIN(A318,Career_History!E57)-Career_History!D57+1),0))/365.2425</f>
        <v>44.833227239436809</v>
      </c>
      <c r="BD318" s="9">
        <f>SUM(IF(Career_History!G58=TRUE,IF(A318&lt;Career_History!D58,0,MIN(A318,Career_History!E58)-Career_History!D58+1),0),IF(Career_History!G59=TRUE,IF(A318&lt;Career_History!D59,0,MIN(A318,Career_History!E59)-Career_History!D59+1),0),IF(Career_History!G60=TRUE,IF(A318&lt;Career_History!D60,0,MIN(A318,Career_History!E60)-Career_History!D60+1),0))/365.2425</f>
        <v>20.328959526889669</v>
      </c>
      <c r="BE318" s="9">
        <f>SUM(IF(Career_History!I58=TRUE,IF(A318&lt;Career_History!D58,0,MIN(A318,Career_History!E58)-Career_History!D58+1),0),IF(Career_History!I59=TRUE,IF(A318&lt;Career_History!D59,0,MIN(A318,Career_History!E59)-Career_History!D59+1),0),IF(Career_History!I60=TRUE,IF(A318&lt;Career_History!D60,0,MIN(A318,Career_History!E60)-Career_History!D60+1),0))/365.2425</f>
        <v>20.000410686051048</v>
      </c>
      <c r="BF318" s="9">
        <f>SUM(IF(Career_History!H58=TRUE,IF(A318&lt;Career_History!D58,0,MIN(A318,Career_History!E58)-Career_History!D58+1),0),IF(Career_History!H59=TRUE,IF(A318&lt;Career_History!D59,0,MIN(A318,Career_History!E59)-Career_History!D59+1),0),IF(Career_History!H60=TRUE,IF(A318&lt;Career_History!D60,0,MIN(A318,Career_History!E60)-Career_History!D60+1),0))/365.2425</f>
        <v>0.3285488408386209</v>
      </c>
      <c r="BG318" s="9"/>
      <c r="BH318" s="9"/>
      <c r="BI318" s="9"/>
      <c r="BJ318" s="9"/>
      <c r="BK318" s="9"/>
      <c r="BL318" s="9"/>
      <c r="BM318" s="9"/>
      <c r="BN318" s="9"/>
      <c r="BO318" s="9"/>
    </row>
    <row r="319" spans="1:67">
      <c r="A319" s="8">
        <v>44347</v>
      </c>
      <c r="B319" s="9">
        <f t="shared" si="12"/>
        <v>30.817881270662646</v>
      </c>
      <c r="C319" s="9">
        <f t="shared" si="13"/>
        <v>8.2339815328172374</v>
      </c>
      <c r="D319" s="9">
        <f t="shared" si="14"/>
        <v>17.699473637377906</v>
      </c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>
        <f>SUM(IF(Career_History!G43=TRUE,IF(A319&lt;Career_History!D43,0,MIN(A319,Career_History!E43)-Career_History!D43+1),0),IF(Career_History!G44=TRUE,IF(A319&lt;Career_History!D44,0,MIN(A319,Career_History!E44)-Career_History!D44+1),0),IF(Career_History!G45=TRUE,IF(A319&lt;Career_History!D45,0,MIN(A319,Career_History!E45)-Career_History!D45+1),0),IF(Career_History!G46=TRUE,IF(A319&lt;Career_History!D46,0,MIN(A319,Career_History!E46)-Career_History!D46+1),0))/365.2425</f>
        <v>29.91984777237041</v>
      </c>
      <c r="AS319" s="9">
        <f>SUM(IF(Career_History!I43=TRUE,IF(A319&lt;Career_History!D43,0,MIN(A319,Career_History!E43)-Career_History!D43+1),0),IF(Career_History!I44=TRUE,IF(A319&lt;Career_History!D44,0,MIN(A319,Career_History!E44)-Career_History!D44+1),0),IF(Career_History!I45=TRUE,IF(A319&lt;Career_History!D45,0,MIN(A319,Career_History!E45)-Career_History!D45+1),0),IF(Career_History!I46=TRUE,IF(A319&lt;Career_History!D46,0,MIN(A319,Career_History!E46)-Career_History!D46+1),0))/365.2425</f>
        <v>4.0849572544268531</v>
      </c>
      <c r="AT319" s="9">
        <f>SUM(IF(Career_History!H43=TRUE,IF(A319&lt;Career_History!D43,0,MIN(A319,Career_History!E43)-Career_History!D43+1),0),IF(Career_History!H44=TRUE,IF(A319&lt;Career_History!D44,0,MIN(A319,Career_History!E44)-Career_History!D44+1),0),IF(Career_History!H45=TRUE,IF(A319&lt;Career_History!D45,0,MIN(A319,Career_History!E45)-Career_History!D45+1),0),IF(Career_History!H46=TRUE,IF(A319&lt;Career_History!D46,0,MIN(A319,Career_History!E46)-Career_History!D46+1),0))/365.2425</f>
        <v>24.832816553385765</v>
      </c>
      <c r="AU319" s="9">
        <f>SUM(IF(Career_History!G47=TRUE,IF(A319&lt;Career_History!D47,0,MIN(A319,Career_History!E47)-Career_History!D47+1),0),IF(Career_History!G48=TRUE,IF(A319&lt;Career_History!D48,0,MIN(A319,Career_History!E48)-Career_History!D48+1),0),IF(Career_History!G49=TRUE,IF(A319&lt;Career_History!D49,0,MIN(A319,Career_History!E49)-Career_History!D49+1),0))/365.2425</f>
        <v>32.917855945022829</v>
      </c>
      <c r="AV319" s="9">
        <f>SUM(IF(Career_History!I47=TRUE,IF(A319&lt;Career_History!D47,0,MIN(A319,Career_History!E47)-Career_History!D47+1),0),IF(Career_History!I48=TRUE,IF(A319&lt;Career_History!D48,0,MIN(A319,Career_History!E48)-Career_History!D48+1),0),IF(Career_History!I49=TRUE,IF(A319&lt;Career_History!D49,0,MIN(A319,Career_History!E49)-Career_History!D49+1),0))/365.2425</f>
        <v>16.999664606391644</v>
      </c>
      <c r="AW319" s="9">
        <f>SUM(IF(Career_History!H47=TRUE,IF(A319&lt;Career_History!D47,0,MIN(A319,Career_History!E47)-Career_History!D47+1),0),IF(Career_History!H48=TRUE,IF(A319&lt;Career_History!D48,0,MIN(A319,Career_History!E48)-Career_History!D48+1),0),IF(Career_History!H49=TRUE,IF(A319&lt;Career_History!D49,0,MIN(A319,Career_History!E49)-Career_History!D49+1),0))/365.2425</f>
        <v>15.918191338631184</v>
      </c>
      <c r="AX319" s="9">
        <f>SUM(IF(Career_History!G50=TRUE,IF(A319&lt;Career_History!D50,0,MIN(A319,Career_History!E50)-Career_History!D50+1),0),IF(Career_History!G51=TRUE,IF(A319&lt;Career_History!D51,0,MIN(A319,Career_History!E51)-Career_History!D51+1),0),IF(Career_History!G52=TRUE,IF(A319&lt;Career_History!D52,0,MIN(A319,Career_History!E52)-Career_History!D52+1),0))/365.2425</f>
        <v>25.9197656351602</v>
      </c>
      <c r="AY319" s="9">
        <f>SUM(IF(Career_History!I50=TRUE,IF(A319&lt;Career_History!D50,0,MIN(A319,Career_History!E50)-Career_History!D50+1),0),IF(Career_History!I51=TRUE,IF(A319&lt;Career_History!D51,0,MIN(A319,Career_History!E51)-Career_History!D51+1),0),IF(Career_History!I52=TRUE,IF(A319&lt;Career_History!D52,0,MIN(A319,Career_History!E52)-Career_History!D52+1),0))/365.2425</f>
        <v>8.4875117216643731E-2</v>
      </c>
      <c r="AZ319" s="9">
        <f>SUM(IF(Career_History!H50=TRUE,IF(A319&lt;Career_History!D50,0,MIN(A319,Career_History!E50)-Career_History!D50+1),0),IF(Career_History!H51=TRUE,IF(A319&lt;Career_History!D51,0,MIN(A319,Career_History!E51)-Career_History!D51+1),0),IF(Career_History!H52=TRUE,IF(A319&lt;Career_History!D52,0,MIN(A319,Career_History!E52)-Career_History!D52+1),0))/365.2425</f>
        <v>2.4148339801638636</v>
      </c>
      <c r="BA319" s="9">
        <f>SUM(IF(Career_History!G53=TRUE,IF(A319&lt;Career_History!D53,0,MIN(A319,Career_History!E53)-Career_History!D53+1),0),IF(Career_History!G54=TRUE,IF(A319&lt;Career_History!D54,0,MIN(A319,Career_History!E54)-Career_History!D54+1),0),IF(Career_History!G55=TRUE,IF(A319&lt;Career_History!D55,0,MIN(A319,Career_History!E55)-Career_History!D55+1),0),IF(Career_History!G56=TRUE,IF(A319&lt;Career_History!D56,0,MIN(A319,Career_History!E56)-Career_History!D56+1),0),IF(Career_History!G57=TRUE,IF(A319&lt;Career_History!D57,0,MIN(A319,Career_History!E57)-Career_History!D57+1),0))/365.2425</f>
        <v>44.918102356653456</v>
      </c>
      <c r="BB319" s="9">
        <f>SUM(IF(Career_History!I53=TRUE,IF(A319&lt;Career_History!D53,0,MIN(A319,Career_History!E53)-Career_History!D53+1),0),IF(Career_History!I54=TRUE,IF(A319&lt;Career_History!D54,0,MIN(A319,Career_History!E54)-Career_History!D54+1),0),IF(Career_History!I55=TRUE,IF(A319&lt;Career_History!D55,0,MIN(A319,Career_History!E55)-Career_History!D55+1),0),IF(Career_History!I56=TRUE,IF(A319&lt;Career_History!D56,0,MIN(A319,Career_History!E56)-Career_History!D56+1),0),IF(Career_History!I57=TRUE,IF(A319&lt;Career_History!D57,0,MIN(A319,Career_History!E57)-Career_History!D57+1),0))/365.2425</f>
        <v>0</v>
      </c>
      <c r="BC319" s="9">
        <f>SUM(IF(Career_History!H53=TRUE,IF(A319&lt;Career_History!D53,0,MIN(A319,Career_History!E53)-Career_History!D53+1),0),IF(Career_History!H54=TRUE,IF(A319&lt;Career_History!D54,0,MIN(A319,Career_History!E54)-Career_History!D54+1),0),IF(Career_History!H55=TRUE,IF(A319&lt;Career_History!D55,0,MIN(A319,Career_History!E55)-Career_History!D55+1),0),IF(Career_History!H56=TRUE,IF(A319&lt;Career_History!D56,0,MIN(A319,Career_History!E56)-Career_History!D56+1),0),IF(Career_History!H57=TRUE,IF(A319&lt;Career_History!D57,0,MIN(A319,Career_History!E57)-Career_History!D57+1),0))/365.2425</f>
        <v>44.918102356653456</v>
      </c>
      <c r="BD319" s="9">
        <f>SUM(IF(Career_History!G58=TRUE,IF(A319&lt;Career_History!D58,0,MIN(A319,Career_History!E58)-Career_History!D58+1),0),IF(Career_History!G59=TRUE,IF(A319&lt;Career_History!D59,0,MIN(A319,Career_History!E59)-Career_History!D59+1),0),IF(Career_History!G60=TRUE,IF(A319&lt;Career_History!D60,0,MIN(A319,Career_History!E60)-Career_History!D60+1),0))/365.2425</f>
        <v>20.413834644106313</v>
      </c>
      <c r="BE319" s="9">
        <f>SUM(IF(Career_History!I58=TRUE,IF(A319&lt;Career_History!D58,0,MIN(A319,Career_History!E58)-Career_History!D58+1),0),IF(Career_History!I59=TRUE,IF(A319&lt;Career_History!D59,0,MIN(A319,Career_History!E59)-Career_History!D59+1),0),IF(Career_History!I60=TRUE,IF(A319&lt;Career_History!D60,0,MIN(A319,Career_History!E60)-Career_History!D60+1),0))/365.2425</f>
        <v>20.000410686051048</v>
      </c>
      <c r="BF319" s="9">
        <f>SUM(IF(Career_History!H58=TRUE,IF(A319&lt;Career_History!D58,0,MIN(A319,Career_History!E58)-Career_History!D58+1),0),IF(Career_History!H59=TRUE,IF(A319&lt;Career_History!D59,0,MIN(A319,Career_History!E59)-Career_History!D59+1),0),IF(Career_History!H60=TRUE,IF(A319&lt;Career_History!D60,0,MIN(A319,Career_History!E60)-Career_History!D60+1),0))/365.2425</f>
        <v>0.41342395805526466</v>
      </c>
      <c r="BG319" s="9"/>
      <c r="BH319" s="9"/>
      <c r="BI319" s="9"/>
      <c r="BJ319" s="9"/>
      <c r="BK319" s="9"/>
      <c r="BL319" s="9"/>
      <c r="BM319" s="9"/>
      <c r="BN319" s="9"/>
      <c r="BO319" s="9"/>
    </row>
    <row r="320" spans="1:67">
      <c r="A320" s="8">
        <v>44377</v>
      </c>
      <c r="B320" s="9">
        <f t="shared" si="12"/>
        <v>30.900018480872298</v>
      </c>
      <c r="C320" s="9">
        <f t="shared" si="13"/>
        <v>8.2339815328172374</v>
      </c>
      <c r="D320" s="9">
        <f t="shared" si="14"/>
        <v>17.781610847587562</v>
      </c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>
        <f>SUM(IF(Career_History!G43=TRUE,IF(A320&lt;Career_History!D43,0,MIN(A320,Career_History!E43)-Career_History!D43+1),0),IF(Career_History!G44=TRUE,IF(A320&lt;Career_History!D44,0,MIN(A320,Career_History!E44)-Career_History!D44+1),0),IF(Career_History!G45=TRUE,IF(A320&lt;Career_History!D45,0,MIN(A320,Career_History!E45)-Career_History!D45+1),0),IF(Career_History!G46=TRUE,IF(A320&lt;Career_History!D46,0,MIN(A320,Career_History!E46)-Career_History!D46+1),0))/365.2425</f>
        <v>30.001984982580066</v>
      </c>
      <c r="AS320" s="9">
        <f>SUM(IF(Career_History!I43=TRUE,IF(A320&lt;Career_History!D43,0,MIN(A320,Career_History!E43)-Career_History!D43+1),0),IF(Career_History!I44=TRUE,IF(A320&lt;Career_History!D44,0,MIN(A320,Career_History!E44)-Career_History!D44+1),0),IF(Career_History!I45=TRUE,IF(A320&lt;Career_History!D45,0,MIN(A320,Career_History!E45)-Career_History!D45+1),0),IF(Career_History!I46=TRUE,IF(A320&lt;Career_History!D46,0,MIN(A320,Career_History!E46)-Career_History!D46+1),0))/365.2425</f>
        <v>4.0849572544268531</v>
      </c>
      <c r="AT320" s="9">
        <f>SUM(IF(Career_History!H43=TRUE,IF(A320&lt;Career_History!D43,0,MIN(A320,Career_History!E43)-Career_History!D43+1),0),IF(Career_History!H44=TRUE,IF(A320&lt;Career_History!D44,0,MIN(A320,Career_History!E44)-Career_History!D44+1),0),IF(Career_History!H45=TRUE,IF(A320&lt;Career_History!D45,0,MIN(A320,Career_History!E45)-Career_History!D45+1),0),IF(Career_History!H46=TRUE,IF(A320&lt;Career_History!D46,0,MIN(A320,Career_History!E46)-Career_History!D46+1),0))/365.2425</f>
        <v>24.91495376359542</v>
      </c>
      <c r="AU320" s="9">
        <f>SUM(IF(Career_History!G47=TRUE,IF(A320&lt;Career_History!D47,0,MIN(A320,Career_History!E47)-Career_History!D47+1),0),IF(Career_History!G48=TRUE,IF(A320&lt;Career_History!D48,0,MIN(A320,Career_History!E48)-Career_History!D48+1),0),IF(Career_History!G49=TRUE,IF(A320&lt;Career_History!D49,0,MIN(A320,Career_History!E49)-Career_History!D49+1),0))/365.2425</f>
        <v>32.999993155232481</v>
      </c>
      <c r="AV320" s="9">
        <f>SUM(IF(Career_History!I47=TRUE,IF(A320&lt;Career_History!D47,0,MIN(A320,Career_History!E47)-Career_History!D47+1),0),IF(Career_History!I48=TRUE,IF(A320&lt;Career_History!D48,0,MIN(A320,Career_History!E48)-Career_History!D48+1),0),IF(Career_History!I49=TRUE,IF(A320&lt;Career_History!D49,0,MIN(A320,Career_History!E49)-Career_History!D49+1),0))/365.2425</f>
        <v>16.999664606391644</v>
      </c>
      <c r="AW320" s="9">
        <f>SUM(IF(Career_History!H47=TRUE,IF(A320&lt;Career_History!D47,0,MIN(A320,Career_History!E47)-Career_History!D47+1),0),IF(Career_History!H48=TRUE,IF(A320&lt;Career_History!D48,0,MIN(A320,Career_History!E48)-Career_History!D48+1),0),IF(Career_History!H49=TRUE,IF(A320&lt;Career_History!D49,0,MIN(A320,Career_History!E49)-Career_History!D49+1),0))/365.2425</f>
        <v>16.000328548840837</v>
      </c>
      <c r="AX320" s="9">
        <f>SUM(IF(Career_History!G50=TRUE,IF(A320&lt;Career_History!D50,0,MIN(A320,Career_History!E50)-Career_History!D50+1),0),IF(Career_History!G51=TRUE,IF(A320&lt;Career_History!D51,0,MIN(A320,Career_History!E51)-Career_History!D51+1),0),IF(Career_History!G52=TRUE,IF(A320&lt;Career_History!D52,0,MIN(A320,Career_History!E52)-Career_History!D52+1),0))/365.2425</f>
        <v>26.001902845369855</v>
      </c>
      <c r="AY320" s="9">
        <f>SUM(IF(Career_History!I50=TRUE,IF(A320&lt;Career_History!D50,0,MIN(A320,Career_History!E50)-Career_History!D50+1),0),IF(Career_History!I51=TRUE,IF(A320&lt;Career_History!D51,0,MIN(A320,Career_History!E51)-Career_History!D51+1),0),IF(Career_History!I52=TRUE,IF(A320&lt;Career_History!D52,0,MIN(A320,Career_History!E52)-Career_History!D52+1),0))/365.2425</f>
        <v>8.4875117216643731E-2</v>
      </c>
      <c r="AZ320" s="9">
        <f>SUM(IF(Career_History!H50=TRUE,IF(A320&lt;Career_History!D50,0,MIN(A320,Career_History!E50)-Career_History!D50+1),0),IF(Career_History!H51=TRUE,IF(A320&lt;Career_History!D51,0,MIN(A320,Career_History!E51)-Career_History!D51+1),0),IF(Career_History!H52=TRUE,IF(A320&lt;Career_History!D52,0,MIN(A320,Career_History!E52)-Career_History!D52+1),0))/365.2425</f>
        <v>2.496971190373519</v>
      </c>
      <c r="BA320" s="9">
        <f>SUM(IF(Career_History!G53=TRUE,IF(A320&lt;Career_History!D53,0,MIN(A320,Career_History!E53)-Career_History!D53+1),0),IF(Career_History!G54=TRUE,IF(A320&lt;Career_History!D54,0,MIN(A320,Career_History!E54)-Career_History!D54+1),0),IF(Career_History!G55=TRUE,IF(A320&lt;Career_History!D55,0,MIN(A320,Career_History!E55)-Career_History!D55+1),0),IF(Career_History!G56=TRUE,IF(A320&lt;Career_History!D56,0,MIN(A320,Career_History!E56)-Career_History!D56+1),0),IF(Career_History!G57=TRUE,IF(A320&lt;Career_History!D57,0,MIN(A320,Career_History!E57)-Career_History!D57+1),0))/365.2425</f>
        <v>45.000239566863108</v>
      </c>
      <c r="BB320" s="9">
        <f>SUM(IF(Career_History!I53=TRUE,IF(A320&lt;Career_History!D53,0,MIN(A320,Career_History!E53)-Career_History!D53+1),0),IF(Career_History!I54=TRUE,IF(A320&lt;Career_History!D54,0,MIN(A320,Career_History!E54)-Career_History!D54+1),0),IF(Career_History!I55=TRUE,IF(A320&lt;Career_History!D55,0,MIN(A320,Career_History!E55)-Career_History!D55+1),0),IF(Career_History!I56=TRUE,IF(A320&lt;Career_History!D56,0,MIN(A320,Career_History!E56)-Career_History!D56+1),0),IF(Career_History!I57=TRUE,IF(A320&lt;Career_History!D57,0,MIN(A320,Career_History!E57)-Career_History!D57+1),0))/365.2425</f>
        <v>0</v>
      </c>
      <c r="BC320" s="9">
        <f>SUM(IF(Career_History!H53=TRUE,IF(A320&lt;Career_History!D53,0,MIN(A320,Career_History!E53)-Career_History!D53+1),0),IF(Career_History!H54=TRUE,IF(A320&lt;Career_History!D54,0,MIN(A320,Career_History!E54)-Career_History!D54+1),0),IF(Career_History!H55=TRUE,IF(A320&lt;Career_History!D55,0,MIN(A320,Career_History!E55)-Career_History!D55+1),0),IF(Career_History!H56=TRUE,IF(A320&lt;Career_History!D56,0,MIN(A320,Career_History!E56)-Career_History!D56+1),0),IF(Career_History!H57=TRUE,IF(A320&lt;Career_History!D57,0,MIN(A320,Career_History!E57)-Career_History!D57+1),0))/365.2425</f>
        <v>45.000239566863108</v>
      </c>
      <c r="BD320" s="9">
        <f>SUM(IF(Career_History!G58=TRUE,IF(A320&lt;Career_History!D58,0,MIN(A320,Career_History!E58)-Career_History!D58+1),0),IF(Career_History!G59=TRUE,IF(A320&lt;Career_History!D59,0,MIN(A320,Career_History!E59)-Career_History!D59+1),0),IF(Career_History!G60=TRUE,IF(A320&lt;Career_History!D60,0,MIN(A320,Career_History!E60)-Career_History!D60+1),0))/365.2425</f>
        <v>20.495971854315968</v>
      </c>
      <c r="BE320" s="9">
        <f>SUM(IF(Career_History!I58=TRUE,IF(A320&lt;Career_History!D58,0,MIN(A320,Career_History!E58)-Career_History!D58+1),0),IF(Career_History!I59=TRUE,IF(A320&lt;Career_History!D59,0,MIN(A320,Career_History!E59)-Career_History!D59+1),0),IF(Career_History!I60=TRUE,IF(A320&lt;Career_History!D60,0,MIN(A320,Career_History!E60)-Career_History!D60+1),0))/365.2425</f>
        <v>20.000410686051048</v>
      </c>
      <c r="BF320" s="9">
        <f>SUM(IF(Career_History!H58=TRUE,IF(A320&lt;Career_History!D58,0,MIN(A320,Career_History!E58)-Career_History!D58+1),0),IF(Career_History!H59=TRUE,IF(A320&lt;Career_History!D59,0,MIN(A320,Career_History!E59)-Career_History!D59+1),0),IF(Career_History!H60=TRUE,IF(A320&lt;Career_History!D60,0,MIN(A320,Career_History!E60)-Career_History!D60+1),0))/365.2425</f>
        <v>0.49556116826491986</v>
      </c>
      <c r="BG320" s="9"/>
      <c r="BH320" s="9"/>
      <c r="BI320" s="9"/>
      <c r="BJ320" s="9"/>
      <c r="BK320" s="9"/>
      <c r="BL320" s="9"/>
      <c r="BM320" s="9"/>
      <c r="BN320" s="9"/>
      <c r="BO320" s="9"/>
    </row>
    <row r="321" spans="1:67">
      <c r="A321" s="8">
        <v>44408</v>
      </c>
      <c r="B321" s="9">
        <f t="shared" si="12"/>
        <v>30.984893598088938</v>
      </c>
      <c r="C321" s="9">
        <f t="shared" si="13"/>
        <v>8.2339815328172374</v>
      </c>
      <c r="D321" s="9">
        <f t="shared" si="14"/>
        <v>17.866485964804205</v>
      </c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>
        <f>SUM(IF(Career_History!G43=TRUE,IF(A321&lt;Career_History!D43,0,MIN(A321,Career_History!E43)-Career_History!D43+1),0),IF(Career_History!G44=TRUE,IF(A321&lt;Career_History!D44,0,MIN(A321,Career_History!E44)-Career_History!D44+1),0),IF(Career_History!G45=TRUE,IF(A321&lt;Career_History!D45,0,MIN(A321,Career_History!E45)-Career_History!D45+1),0),IF(Career_History!G46=TRUE,IF(A321&lt;Career_History!D46,0,MIN(A321,Career_History!E46)-Career_History!D46+1),0))/365.2425</f>
        <v>30.086860099796709</v>
      </c>
      <c r="AS321" s="9">
        <f>SUM(IF(Career_History!I43=TRUE,IF(A321&lt;Career_History!D43,0,MIN(A321,Career_History!E43)-Career_History!D43+1),0),IF(Career_History!I44=TRUE,IF(A321&lt;Career_History!D44,0,MIN(A321,Career_History!E44)-Career_History!D44+1),0),IF(Career_History!I45=TRUE,IF(A321&lt;Career_History!D45,0,MIN(A321,Career_History!E45)-Career_History!D45+1),0),IF(Career_History!I46=TRUE,IF(A321&lt;Career_History!D46,0,MIN(A321,Career_History!E46)-Career_History!D46+1),0))/365.2425</f>
        <v>4.0849572544268531</v>
      </c>
      <c r="AT321" s="9">
        <f>SUM(IF(Career_History!H43=TRUE,IF(A321&lt;Career_History!D43,0,MIN(A321,Career_History!E43)-Career_History!D43+1),0),IF(Career_History!H44=TRUE,IF(A321&lt;Career_History!D44,0,MIN(A321,Career_History!E44)-Career_History!D44+1),0),IF(Career_History!H45=TRUE,IF(A321&lt;Career_History!D45,0,MIN(A321,Career_History!E45)-Career_History!D45+1),0),IF(Career_History!H46=TRUE,IF(A321&lt;Career_History!D46,0,MIN(A321,Career_History!E46)-Career_History!D46+1),0))/365.2425</f>
        <v>24.999828880812064</v>
      </c>
      <c r="AU321" s="9">
        <f>SUM(IF(Career_History!G47=TRUE,IF(A321&lt;Career_History!D47,0,MIN(A321,Career_History!E47)-Career_History!D47+1),0),IF(Career_History!G48=TRUE,IF(A321&lt;Career_History!D48,0,MIN(A321,Career_History!E48)-Career_History!D48+1),0),IF(Career_History!G49=TRUE,IF(A321&lt;Career_History!D49,0,MIN(A321,Career_History!E49)-Career_History!D49+1),0))/365.2425</f>
        <v>33.084868272449128</v>
      </c>
      <c r="AV321" s="9">
        <f>SUM(IF(Career_History!I47=TRUE,IF(A321&lt;Career_History!D47,0,MIN(A321,Career_History!E47)-Career_History!D47+1),0),IF(Career_History!I48=TRUE,IF(A321&lt;Career_History!D48,0,MIN(A321,Career_History!E48)-Career_History!D48+1),0),IF(Career_History!I49=TRUE,IF(A321&lt;Career_History!D49,0,MIN(A321,Career_History!E49)-Career_History!D49+1),0))/365.2425</f>
        <v>16.999664606391644</v>
      </c>
      <c r="AW321" s="9">
        <f>SUM(IF(Career_History!H47=TRUE,IF(A321&lt;Career_History!D47,0,MIN(A321,Career_History!E47)-Career_History!D47+1),0),IF(Career_History!H48=TRUE,IF(A321&lt;Career_History!D48,0,MIN(A321,Career_History!E48)-Career_History!D48+1),0),IF(Career_History!H49=TRUE,IF(A321&lt;Career_History!D49,0,MIN(A321,Career_History!E49)-Career_History!D49+1),0))/365.2425</f>
        <v>16.085203666057481</v>
      </c>
      <c r="AX321" s="9">
        <f>SUM(IF(Career_History!G50=TRUE,IF(A321&lt;Career_History!D50,0,MIN(A321,Career_History!E50)-Career_History!D50+1),0),IF(Career_History!G51=TRUE,IF(A321&lt;Career_History!D51,0,MIN(A321,Career_History!E51)-Career_History!D51+1),0),IF(Career_History!G52=TRUE,IF(A321&lt;Career_History!D52,0,MIN(A321,Career_History!E52)-Career_History!D52+1),0))/365.2425</f>
        <v>26.086777962586499</v>
      </c>
      <c r="AY321" s="9">
        <f>SUM(IF(Career_History!I50=TRUE,IF(A321&lt;Career_History!D50,0,MIN(A321,Career_History!E50)-Career_History!D50+1),0),IF(Career_History!I51=TRUE,IF(A321&lt;Career_History!D51,0,MIN(A321,Career_History!E51)-Career_History!D51+1),0),IF(Career_History!I52=TRUE,IF(A321&lt;Career_History!D52,0,MIN(A321,Career_History!E52)-Career_History!D52+1),0))/365.2425</f>
        <v>8.4875117216643731E-2</v>
      </c>
      <c r="AZ321" s="9">
        <f>SUM(IF(Career_History!H50=TRUE,IF(A321&lt;Career_History!D50,0,MIN(A321,Career_History!E50)-Career_History!D50+1),0),IF(Career_History!H51=TRUE,IF(A321&lt;Career_History!D51,0,MIN(A321,Career_History!E51)-Career_History!D51+1),0),IF(Career_History!H52=TRUE,IF(A321&lt;Career_History!D52,0,MIN(A321,Career_History!E52)-Career_History!D52+1),0))/365.2425</f>
        <v>2.5818463075901628</v>
      </c>
      <c r="BA321" s="9">
        <f>SUM(IF(Career_History!G53=TRUE,IF(A321&lt;Career_History!D53,0,MIN(A321,Career_History!E53)-Career_History!D53+1),0),IF(Career_History!G54=TRUE,IF(A321&lt;Career_History!D54,0,MIN(A321,Career_History!E54)-Career_History!D54+1),0),IF(Career_History!G55=TRUE,IF(A321&lt;Career_History!D55,0,MIN(A321,Career_History!E55)-Career_History!D55+1),0),IF(Career_History!G56=TRUE,IF(A321&lt;Career_History!D56,0,MIN(A321,Career_History!E56)-Career_History!D56+1),0),IF(Career_History!G57=TRUE,IF(A321&lt;Career_History!D57,0,MIN(A321,Career_History!E57)-Career_History!D57+1),0))/365.2425</f>
        <v>45.085114684079755</v>
      </c>
      <c r="BB321" s="9">
        <f>SUM(IF(Career_History!I53=TRUE,IF(A321&lt;Career_History!D53,0,MIN(A321,Career_History!E53)-Career_History!D53+1),0),IF(Career_History!I54=TRUE,IF(A321&lt;Career_History!D54,0,MIN(A321,Career_History!E54)-Career_History!D54+1),0),IF(Career_History!I55=TRUE,IF(A321&lt;Career_History!D55,0,MIN(A321,Career_History!E55)-Career_History!D55+1),0),IF(Career_History!I56=TRUE,IF(A321&lt;Career_History!D56,0,MIN(A321,Career_History!E56)-Career_History!D56+1),0),IF(Career_History!I57=TRUE,IF(A321&lt;Career_History!D57,0,MIN(A321,Career_History!E57)-Career_History!D57+1),0))/365.2425</f>
        <v>0</v>
      </c>
      <c r="BC321" s="9">
        <f>SUM(IF(Career_History!H53=TRUE,IF(A321&lt;Career_History!D53,0,MIN(A321,Career_History!E53)-Career_History!D53+1),0),IF(Career_History!H54=TRUE,IF(A321&lt;Career_History!D54,0,MIN(A321,Career_History!E54)-Career_History!D54+1),0),IF(Career_History!H55=TRUE,IF(A321&lt;Career_History!D55,0,MIN(A321,Career_History!E55)-Career_History!D55+1),0),IF(Career_History!H56=TRUE,IF(A321&lt;Career_History!D56,0,MIN(A321,Career_History!E56)-Career_History!D56+1),0),IF(Career_History!H57=TRUE,IF(A321&lt;Career_History!D57,0,MIN(A321,Career_History!E57)-Career_History!D57+1),0))/365.2425</f>
        <v>45.085114684079755</v>
      </c>
      <c r="BD321" s="9">
        <f>SUM(IF(Career_History!G58=TRUE,IF(A321&lt;Career_History!D58,0,MIN(A321,Career_History!E58)-Career_History!D58+1),0),IF(Career_History!G59=TRUE,IF(A321&lt;Career_History!D59,0,MIN(A321,Career_History!E59)-Career_History!D59+1),0),IF(Career_History!G60=TRUE,IF(A321&lt;Career_History!D60,0,MIN(A321,Career_History!E60)-Career_History!D60+1),0))/365.2425</f>
        <v>20.580846971532612</v>
      </c>
      <c r="BE321" s="9">
        <f>SUM(IF(Career_History!I58=TRUE,IF(A321&lt;Career_History!D58,0,MIN(A321,Career_History!E58)-Career_History!D58+1),0),IF(Career_History!I59=TRUE,IF(A321&lt;Career_History!D59,0,MIN(A321,Career_History!E59)-Career_History!D59+1),0),IF(Career_History!I60=TRUE,IF(A321&lt;Career_History!D60,0,MIN(A321,Career_History!E60)-Career_History!D60+1),0))/365.2425</f>
        <v>20.000410686051048</v>
      </c>
      <c r="BF321" s="9">
        <f>SUM(IF(Career_History!H58=TRUE,IF(A321&lt;Career_History!D58,0,MIN(A321,Career_History!E58)-Career_History!D58+1),0),IF(Career_History!H59=TRUE,IF(A321&lt;Career_History!D59,0,MIN(A321,Career_History!E59)-Career_History!D59+1),0),IF(Career_History!H60=TRUE,IF(A321&lt;Career_History!D60,0,MIN(A321,Career_History!E60)-Career_History!D60+1),0))/365.2425</f>
        <v>0.58043628548156356</v>
      </c>
      <c r="BG321" s="9"/>
      <c r="BH321" s="9"/>
      <c r="BI321" s="9"/>
      <c r="BJ321" s="9"/>
      <c r="BK321" s="9"/>
      <c r="BL321" s="9"/>
      <c r="BM321" s="9"/>
      <c r="BN321" s="9"/>
      <c r="BO321" s="9"/>
    </row>
    <row r="322" spans="1:67">
      <c r="A322" s="8">
        <v>44439</v>
      </c>
      <c r="B322" s="9">
        <f t="shared" si="12"/>
        <v>31.069768715305582</v>
      </c>
      <c r="C322" s="9">
        <f t="shared" si="13"/>
        <v>8.2339815328172374</v>
      </c>
      <c r="D322" s="9">
        <f t="shared" si="14"/>
        <v>17.951361082020849</v>
      </c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>
        <f>SUM(IF(Career_History!G43=TRUE,IF(A322&lt;Career_History!D43,0,MIN(A322,Career_History!E43)-Career_History!D43+1),0),IF(Career_History!G44=TRUE,IF(A322&lt;Career_History!D44,0,MIN(A322,Career_History!E44)-Career_History!D44+1),0),IF(Career_History!G45=TRUE,IF(A322&lt;Career_History!D45,0,MIN(A322,Career_History!E45)-Career_History!D45+1),0),IF(Career_History!G46=TRUE,IF(A322&lt;Career_History!D46,0,MIN(A322,Career_History!E46)-Career_History!D46+1),0))/365.2425</f>
        <v>30.171735217013353</v>
      </c>
      <c r="AS322" s="9">
        <f>SUM(IF(Career_History!I43=TRUE,IF(A322&lt;Career_History!D43,0,MIN(A322,Career_History!E43)-Career_History!D43+1),0),IF(Career_History!I44=TRUE,IF(A322&lt;Career_History!D44,0,MIN(A322,Career_History!E44)-Career_History!D44+1),0),IF(Career_History!I45=TRUE,IF(A322&lt;Career_History!D45,0,MIN(A322,Career_History!E45)-Career_History!D45+1),0),IF(Career_History!I46=TRUE,IF(A322&lt;Career_History!D46,0,MIN(A322,Career_History!E46)-Career_History!D46+1),0))/365.2425</f>
        <v>4.0849572544268531</v>
      </c>
      <c r="AT322" s="9">
        <f>SUM(IF(Career_History!H43=TRUE,IF(A322&lt;Career_History!D43,0,MIN(A322,Career_History!E43)-Career_History!D43+1),0),IF(Career_History!H44=TRUE,IF(A322&lt;Career_History!D44,0,MIN(A322,Career_History!E44)-Career_History!D44+1),0),IF(Career_History!H45=TRUE,IF(A322&lt;Career_History!D45,0,MIN(A322,Career_History!E45)-Career_History!D45+1),0),IF(Career_History!H46=TRUE,IF(A322&lt;Career_History!D46,0,MIN(A322,Career_History!E46)-Career_History!D46+1),0))/365.2425</f>
        <v>25.084703998028708</v>
      </c>
      <c r="AU322" s="9">
        <f>SUM(IF(Career_History!G47=TRUE,IF(A322&lt;Career_History!D47,0,MIN(A322,Career_History!E47)-Career_History!D47+1),0),IF(Career_History!G48=TRUE,IF(A322&lt;Career_History!D48,0,MIN(A322,Career_History!E48)-Career_History!D48+1),0),IF(Career_History!G49=TRUE,IF(A322&lt;Career_History!D49,0,MIN(A322,Career_History!E49)-Career_History!D49+1),0))/365.2425</f>
        <v>33.169743389665769</v>
      </c>
      <c r="AV322" s="9">
        <f>SUM(IF(Career_History!I47=TRUE,IF(A322&lt;Career_History!D47,0,MIN(A322,Career_History!E47)-Career_History!D47+1),0),IF(Career_History!I48=TRUE,IF(A322&lt;Career_History!D48,0,MIN(A322,Career_History!E48)-Career_History!D48+1),0),IF(Career_History!I49=TRUE,IF(A322&lt;Career_History!D49,0,MIN(A322,Career_History!E49)-Career_History!D49+1),0))/365.2425</f>
        <v>16.999664606391644</v>
      </c>
      <c r="AW322" s="9">
        <f>SUM(IF(Career_History!H47=TRUE,IF(A322&lt;Career_History!D47,0,MIN(A322,Career_History!E47)-Career_History!D47+1),0),IF(Career_History!H48=TRUE,IF(A322&lt;Career_History!D48,0,MIN(A322,Career_History!E48)-Career_History!D48+1),0),IF(Career_History!H49=TRUE,IF(A322&lt;Career_History!D49,0,MIN(A322,Career_History!E49)-Career_History!D49+1),0))/365.2425</f>
        <v>16.170078783274125</v>
      </c>
      <c r="AX322" s="9">
        <f>SUM(IF(Career_History!G50=TRUE,IF(A322&lt;Career_History!D50,0,MIN(A322,Career_History!E50)-Career_History!D50+1),0),IF(Career_History!G51=TRUE,IF(A322&lt;Career_History!D51,0,MIN(A322,Career_History!E51)-Career_History!D51+1),0),IF(Career_History!G52=TRUE,IF(A322&lt;Career_History!D52,0,MIN(A322,Career_History!E52)-Career_History!D52+1),0))/365.2425</f>
        <v>26.171653079803143</v>
      </c>
      <c r="AY322" s="9">
        <f>SUM(IF(Career_History!I50=TRUE,IF(A322&lt;Career_History!D50,0,MIN(A322,Career_History!E50)-Career_History!D50+1),0),IF(Career_History!I51=TRUE,IF(A322&lt;Career_History!D51,0,MIN(A322,Career_History!E51)-Career_History!D51+1),0),IF(Career_History!I52=TRUE,IF(A322&lt;Career_History!D52,0,MIN(A322,Career_History!E52)-Career_History!D52+1),0))/365.2425</f>
        <v>8.4875117216643731E-2</v>
      </c>
      <c r="AZ322" s="9">
        <f>SUM(IF(Career_History!H50=TRUE,IF(A322&lt;Career_History!D50,0,MIN(A322,Career_History!E50)-Career_History!D50+1),0),IF(Career_History!H51=TRUE,IF(A322&lt;Career_History!D51,0,MIN(A322,Career_History!E51)-Career_History!D51+1),0),IF(Career_History!H52=TRUE,IF(A322&lt;Career_History!D52,0,MIN(A322,Career_History!E52)-Career_History!D52+1),0))/365.2425</f>
        <v>2.6667214248068065</v>
      </c>
      <c r="BA322" s="9">
        <f>SUM(IF(Career_History!G53=TRUE,IF(A322&lt;Career_History!D53,0,MIN(A322,Career_History!E53)-Career_History!D53+1),0),IF(Career_History!G54=TRUE,IF(A322&lt;Career_History!D54,0,MIN(A322,Career_History!E54)-Career_History!D54+1),0),IF(Career_History!G55=TRUE,IF(A322&lt;Career_History!D55,0,MIN(A322,Career_History!E55)-Career_History!D55+1),0),IF(Career_History!G56=TRUE,IF(A322&lt;Career_History!D56,0,MIN(A322,Career_History!E56)-Career_History!D56+1),0),IF(Career_History!G57=TRUE,IF(A322&lt;Career_History!D57,0,MIN(A322,Career_History!E57)-Career_History!D57+1),0))/365.2425</f>
        <v>45.169989801296396</v>
      </c>
      <c r="BB322" s="9">
        <f>SUM(IF(Career_History!I53=TRUE,IF(A322&lt;Career_History!D53,0,MIN(A322,Career_History!E53)-Career_History!D53+1),0),IF(Career_History!I54=TRUE,IF(A322&lt;Career_History!D54,0,MIN(A322,Career_History!E54)-Career_History!D54+1),0),IF(Career_History!I55=TRUE,IF(A322&lt;Career_History!D55,0,MIN(A322,Career_History!E55)-Career_History!D55+1),0),IF(Career_History!I56=TRUE,IF(A322&lt;Career_History!D56,0,MIN(A322,Career_History!E56)-Career_History!D56+1),0),IF(Career_History!I57=TRUE,IF(A322&lt;Career_History!D57,0,MIN(A322,Career_History!E57)-Career_History!D57+1),0))/365.2425</f>
        <v>0</v>
      </c>
      <c r="BC322" s="9">
        <f>SUM(IF(Career_History!H53=TRUE,IF(A322&lt;Career_History!D53,0,MIN(A322,Career_History!E53)-Career_History!D53+1),0),IF(Career_History!H54=TRUE,IF(A322&lt;Career_History!D54,0,MIN(A322,Career_History!E54)-Career_History!D54+1),0),IF(Career_History!H55=TRUE,IF(A322&lt;Career_History!D55,0,MIN(A322,Career_History!E55)-Career_History!D55+1),0),IF(Career_History!H56=TRUE,IF(A322&lt;Career_History!D56,0,MIN(A322,Career_History!E56)-Career_History!D56+1),0),IF(Career_History!H57=TRUE,IF(A322&lt;Career_History!D57,0,MIN(A322,Career_History!E57)-Career_History!D57+1),0))/365.2425</f>
        <v>45.169989801296396</v>
      </c>
      <c r="BD322" s="9">
        <f>SUM(IF(Career_History!G58=TRUE,IF(A322&lt;Career_History!D58,0,MIN(A322,Career_History!E58)-Career_History!D58+1),0),IF(Career_History!G59=TRUE,IF(A322&lt;Career_History!D59,0,MIN(A322,Career_History!E59)-Career_History!D59+1),0),IF(Career_History!G60=TRUE,IF(A322&lt;Career_History!D60,0,MIN(A322,Career_History!E60)-Career_History!D60+1),0))/365.2425</f>
        <v>20.665722088749256</v>
      </c>
      <c r="BE322" s="9">
        <f>SUM(IF(Career_History!I58=TRUE,IF(A322&lt;Career_History!D58,0,MIN(A322,Career_History!E58)-Career_History!D58+1),0),IF(Career_History!I59=TRUE,IF(A322&lt;Career_History!D59,0,MIN(A322,Career_History!E59)-Career_History!D59+1),0),IF(Career_History!I60=TRUE,IF(A322&lt;Career_History!D60,0,MIN(A322,Career_History!E60)-Career_History!D60+1),0))/365.2425</f>
        <v>20.000410686051048</v>
      </c>
      <c r="BF322" s="9">
        <f>SUM(IF(Career_History!H58=TRUE,IF(A322&lt;Career_History!D58,0,MIN(A322,Career_History!E58)-Career_History!D58+1),0),IF(Career_History!H59=TRUE,IF(A322&lt;Career_History!D59,0,MIN(A322,Career_History!E59)-Career_History!D59+1),0),IF(Career_History!H60=TRUE,IF(A322&lt;Career_History!D60,0,MIN(A322,Career_History!E60)-Career_History!D60+1),0))/365.2425</f>
        <v>0.66531140269820732</v>
      </c>
      <c r="BG322" s="9"/>
      <c r="BH322" s="9"/>
      <c r="BI322" s="9"/>
      <c r="BJ322" s="9"/>
      <c r="BK322" s="9"/>
      <c r="BL322" s="9"/>
      <c r="BM322" s="9"/>
      <c r="BN322" s="9"/>
      <c r="BO322" s="9"/>
    </row>
    <row r="323" spans="1:67">
      <c r="A323" s="8">
        <v>44469</v>
      </c>
      <c r="B323" s="9">
        <f t="shared" ref="B323:B380" si="15">IFERROR(AVERAGE(E323,H323,K323,N323,Q323,T323,W323,Z323,AC323,AF323,AI323,AL323,AO323,AR323,AU323,AX323,BA323,BD323,BG323,BJ323,BM323),"")</f>
        <v>31.151905925515241</v>
      </c>
      <c r="C323" s="9">
        <f t="shared" ref="C323:C380" si="16">IFERROR(AVERAGE(F323,I323,L323,O323,R323,U323,X323,AA323,AD323,AG323,AJ323,AM323,AP323,AS323,AV323,AY323,BB323,BE323,BH323,BK323,BN323),"")</f>
        <v>8.2339815328172374</v>
      </c>
      <c r="D323" s="9">
        <f t="shared" ref="D323:D380" si="17">IFERROR(AVERAGE(G323,J323,M323,P323,S323,V323,Y323,AB323,AE323,AH323,AK323,AN323,AQ323,AT323,AW323,AZ323,BC323,BF323,BI323,BL323,BO323),"")</f>
        <v>18.033498292230504</v>
      </c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>
        <f>SUM(IF(Career_History!G43=TRUE,IF(A323&lt;Career_History!D43,0,MIN(A323,Career_History!E43)-Career_History!D43+1),0),IF(Career_History!G44=TRUE,IF(A323&lt;Career_History!D44,0,MIN(A323,Career_History!E44)-Career_History!D44+1),0),IF(Career_History!G45=TRUE,IF(A323&lt;Career_History!D45,0,MIN(A323,Career_History!E45)-Career_History!D45+1),0),IF(Career_History!G46=TRUE,IF(A323&lt;Career_History!D46,0,MIN(A323,Career_History!E46)-Career_History!D46+1),0))/365.2425</f>
        <v>30.253872427223008</v>
      </c>
      <c r="AS323" s="9">
        <f>SUM(IF(Career_History!I43=TRUE,IF(A323&lt;Career_History!D43,0,MIN(A323,Career_History!E43)-Career_History!D43+1),0),IF(Career_History!I44=TRUE,IF(A323&lt;Career_History!D44,0,MIN(A323,Career_History!E44)-Career_History!D44+1),0),IF(Career_History!I45=TRUE,IF(A323&lt;Career_History!D45,0,MIN(A323,Career_History!E45)-Career_History!D45+1),0),IF(Career_History!I46=TRUE,IF(A323&lt;Career_History!D46,0,MIN(A323,Career_History!E46)-Career_History!D46+1),0))/365.2425</f>
        <v>4.0849572544268531</v>
      </c>
      <c r="AT323" s="9">
        <f>SUM(IF(Career_History!H43=TRUE,IF(A323&lt;Career_History!D43,0,MIN(A323,Career_History!E43)-Career_History!D43+1),0),IF(Career_History!H44=TRUE,IF(A323&lt;Career_History!D44,0,MIN(A323,Career_History!E44)-Career_History!D44+1),0),IF(Career_History!H45=TRUE,IF(A323&lt;Career_History!D45,0,MIN(A323,Career_History!E45)-Career_History!D45+1),0),IF(Career_History!H46=TRUE,IF(A323&lt;Career_History!D46,0,MIN(A323,Career_History!E46)-Career_History!D46+1),0))/365.2425</f>
        <v>25.166841208238363</v>
      </c>
      <c r="AU323" s="9">
        <f>SUM(IF(Career_History!G47=TRUE,IF(A323&lt;Career_History!D47,0,MIN(A323,Career_History!E47)-Career_History!D47+1),0),IF(Career_History!G48=TRUE,IF(A323&lt;Career_History!D48,0,MIN(A323,Career_History!E48)-Career_History!D48+1),0),IF(Career_History!G49=TRUE,IF(A323&lt;Career_History!D49,0,MIN(A323,Career_History!E49)-Career_History!D49+1),0))/365.2425</f>
        <v>33.251880599875427</v>
      </c>
      <c r="AV323" s="9">
        <f>SUM(IF(Career_History!I47=TRUE,IF(A323&lt;Career_History!D47,0,MIN(A323,Career_History!E47)-Career_History!D47+1),0),IF(Career_History!I48=TRUE,IF(A323&lt;Career_History!D48,0,MIN(A323,Career_History!E48)-Career_History!D48+1),0),IF(Career_History!I49=TRUE,IF(A323&lt;Career_History!D49,0,MIN(A323,Career_History!E49)-Career_History!D49+1),0))/365.2425</f>
        <v>16.999664606391644</v>
      </c>
      <c r="AW323" s="9">
        <f>SUM(IF(Career_History!H47=TRUE,IF(A323&lt;Career_History!D47,0,MIN(A323,Career_History!E47)-Career_History!D47+1),0),IF(Career_History!H48=TRUE,IF(A323&lt;Career_History!D48,0,MIN(A323,Career_History!E48)-Career_History!D48+1),0),IF(Career_History!H49=TRUE,IF(A323&lt;Career_History!D49,0,MIN(A323,Career_History!E49)-Career_History!D49+1),0))/365.2425</f>
        <v>16.25221599348378</v>
      </c>
      <c r="AX323" s="9">
        <f>SUM(IF(Career_History!G50=TRUE,IF(A323&lt;Career_History!D50,0,MIN(A323,Career_History!E50)-Career_History!D50+1),0),IF(Career_History!G51=TRUE,IF(A323&lt;Career_History!D51,0,MIN(A323,Career_History!E51)-Career_History!D51+1),0),IF(Career_History!G52=TRUE,IF(A323&lt;Career_History!D52,0,MIN(A323,Career_History!E52)-Career_History!D52+1),0))/365.2425</f>
        <v>26.253790290012798</v>
      </c>
      <c r="AY323" s="9">
        <f>SUM(IF(Career_History!I50=TRUE,IF(A323&lt;Career_History!D50,0,MIN(A323,Career_History!E50)-Career_History!D50+1),0),IF(Career_History!I51=TRUE,IF(A323&lt;Career_History!D51,0,MIN(A323,Career_History!E51)-Career_History!D51+1),0),IF(Career_History!I52=TRUE,IF(A323&lt;Career_History!D52,0,MIN(A323,Career_History!E52)-Career_History!D52+1),0))/365.2425</f>
        <v>8.4875117216643731E-2</v>
      </c>
      <c r="AZ323" s="9">
        <f>SUM(IF(Career_History!H50=TRUE,IF(A323&lt;Career_History!D50,0,MIN(A323,Career_History!E50)-Career_History!D50+1),0),IF(Career_History!H51=TRUE,IF(A323&lt;Career_History!D51,0,MIN(A323,Career_History!E51)-Career_History!D51+1),0),IF(Career_History!H52=TRUE,IF(A323&lt;Career_History!D52,0,MIN(A323,Career_History!E52)-Career_History!D52+1),0))/365.2425</f>
        <v>2.7488586350164614</v>
      </c>
      <c r="BA323" s="9">
        <f>SUM(IF(Career_History!G53=TRUE,IF(A323&lt;Career_History!D53,0,MIN(A323,Career_History!E53)-Career_History!D53+1),0),IF(Career_History!G54=TRUE,IF(A323&lt;Career_History!D54,0,MIN(A323,Career_History!E54)-Career_History!D54+1),0),IF(Career_History!G55=TRUE,IF(A323&lt;Career_History!D55,0,MIN(A323,Career_History!E55)-Career_History!D55+1),0),IF(Career_History!G56=TRUE,IF(A323&lt;Career_History!D56,0,MIN(A323,Career_History!E56)-Career_History!D56+1),0),IF(Career_History!G57=TRUE,IF(A323&lt;Career_History!D57,0,MIN(A323,Career_History!E57)-Career_History!D57+1),0))/365.2425</f>
        <v>45.252127011506055</v>
      </c>
      <c r="BB323" s="9">
        <f>SUM(IF(Career_History!I53=TRUE,IF(A323&lt;Career_History!D53,0,MIN(A323,Career_History!E53)-Career_History!D53+1),0),IF(Career_History!I54=TRUE,IF(A323&lt;Career_History!D54,0,MIN(A323,Career_History!E54)-Career_History!D54+1),0),IF(Career_History!I55=TRUE,IF(A323&lt;Career_History!D55,0,MIN(A323,Career_History!E55)-Career_History!D55+1),0),IF(Career_History!I56=TRUE,IF(A323&lt;Career_History!D56,0,MIN(A323,Career_History!E56)-Career_History!D56+1),0),IF(Career_History!I57=TRUE,IF(A323&lt;Career_History!D57,0,MIN(A323,Career_History!E57)-Career_History!D57+1),0))/365.2425</f>
        <v>0</v>
      </c>
      <c r="BC323" s="9">
        <f>SUM(IF(Career_History!H53=TRUE,IF(A323&lt;Career_History!D53,0,MIN(A323,Career_History!E53)-Career_History!D53+1),0),IF(Career_History!H54=TRUE,IF(A323&lt;Career_History!D54,0,MIN(A323,Career_History!E54)-Career_History!D54+1),0),IF(Career_History!H55=TRUE,IF(A323&lt;Career_History!D55,0,MIN(A323,Career_History!E55)-Career_History!D55+1),0),IF(Career_History!H56=TRUE,IF(A323&lt;Career_History!D56,0,MIN(A323,Career_History!E56)-Career_History!D56+1),0),IF(Career_History!H57=TRUE,IF(A323&lt;Career_History!D57,0,MIN(A323,Career_History!E57)-Career_History!D57+1),0))/365.2425</f>
        <v>45.252127011506055</v>
      </c>
      <c r="BD323" s="9">
        <f>SUM(IF(Career_History!G58=TRUE,IF(A323&lt;Career_History!D58,0,MIN(A323,Career_History!E58)-Career_History!D58+1),0),IF(Career_History!G59=TRUE,IF(A323&lt;Career_History!D59,0,MIN(A323,Career_History!E59)-Career_History!D59+1),0),IF(Career_History!G60=TRUE,IF(A323&lt;Career_History!D60,0,MIN(A323,Career_History!E60)-Career_History!D60+1),0))/365.2425</f>
        <v>20.747859298958911</v>
      </c>
      <c r="BE323" s="9">
        <f>SUM(IF(Career_History!I58=TRUE,IF(A323&lt;Career_History!D58,0,MIN(A323,Career_History!E58)-Career_History!D58+1),0),IF(Career_History!I59=TRUE,IF(A323&lt;Career_History!D59,0,MIN(A323,Career_History!E59)-Career_History!D59+1),0),IF(Career_History!I60=TRUE,IF(A323&lt;Career_History!D60,0,MIN(A323,Career_History!E60)-Career_History!D60+1),0))/365.2425</f>
        <v>20.000410686051048</v>
      </c>
      <c r="BF323" s="9">
        <f>SUM(IF(Career_History!H58=TRUE,IF(A323&lt;Career_History!D58,0,MIN(A323,Career_History!E58)-Career_History!D58+1),0),IF(Career_History!H59=TRUE,IF(A323&lt;Career_History!D59,0,MIN(A323,Career_History!E59)-Career_History!D59+1),0),IF(Career_History!H60=TRUE,IF(A323&lt;Career_History!D60,0,MIN(A323,Career_History!E60)-Career_History!D60+1),0))/365.2425</f>
        <v>0.74744861290786258</v>
      </c>
      <c r="BG323" s="9"/>
      <c r="BH323" s="9"/>
      <c r="BI323" s="9"/>
      <c r="BJ323" s="9"/>
      <c r="BK323" s="9"/>
      <c r="BL323" s="9"/>
      <c r="BM323" s="9"/>
      <c r="BN323" s="9"/>
      <c r="BO323" s="9"/>
    </row>
    <row r="324" spans="1:67">
      <c r="A324" s="8">
        <v>44500</v>
      </c>
      <c r="B324" s="9">
        <f t="shared" si="15"/>
        <v>31.236781042731884</v>
      </c>
      <c r="C324" s="9">
        <f t="shared" si="16"/>
        <v>8.2339815328172374</v>
      </c>
      <c r="D324" s="9">
        <f t="shared" si="17"/>
        <v>18.118373409447148</v>
      </c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>
        <f>SUM(IF(Career_History!G43=TRUE,IF(A324&lt;Career_History!D43,0,MIN(A324,Career_History!E43)-Career_History!D43+1),0),IF(Career_History!G44=TRUE,IF(A324&lt;Career_History!D44,0,MIN(A324,Career_History!E44)-Career_History!D44+1),0),IF(Career_History!G45=TRUE,IF(A324&lt;Career_History!D45,0,MIN(A324,Career_History!E45)-Career_History!D45+1),0),IF(Career_History!G46=TRUE,IF(A324&lt;Career_History!D46,0,MIN(A324,Career_History!E46)-Career_History!D46+1),0))/365.2425</f>
        <v>30.338747544439652</v>
      </c>
      <c r="AS324" s="9">
        <f>SUM(IF(Career_History!I43=TRUE,IF(A324&lt;Career_History!D43,0,MIN(A324,Career_History!E43)-Career_History!D43+1),0),IF(Career_History!I44=TRUE,IF(A324&lt;Career_History!D44,0,MIN(A324,Career_History!E44)-Career_History!D44+1),0),IF(Career_History!I45=TRUE,IF(A324&lt;Career_History!D45,0,MIN(A324,Career_History!E45)-Career_History!D45+1),0),IF(Career_History!I46=TRUE,IF(A324&lt;Career_History!D46,0,MIN(A324,Career_History!E46)-Career_History!D46+1),0))/365.2425</f>
        <v>4.0849572544268531</v>
      </c>
      <c r="AT324" s="9">
        <f>SUM(IF(Career_History!H43=TRUE,IF(A324&lt;Career_History!D43,0,MIN(A324,Career_History!E43)-Career_History!D43+1),0),IF(Career_History!H44=TRUE,IF(A324&lt;Career_History!D44,0,MIN(A324,Career_History!E44)-Career_History!D44+1),0),IF(Career_History!H45=TRUE,IF(A324&lt;Career_History!D45,0,MIN(A324,Career_History!E45)-Career_History!D45+1),0),IF(Career_History!H46=TRUE,IF(A324&lt;Career_History!D46,0,MIN(A324,Career_History!E46)-Career_History!D46+1),0))/365.2425</f>
        <v>25.251716325455007</v>
      </c>
      <c r="AU324" s="9">
        <f>SUM(IF(Career_History!G47=TRUE,IF(A324&lt;Career_History!D47,0,MIN(A324,Career_History!E47)-Career_History!D47+1),0),IF(Career_History!G48=TRUE,IF(A324&lt;Career_History!D48,0,MIN(A324,Career_History!E48)-Career_History!D48+1),0),IF(Career_History!G49=TRUE,IF(A324&lt;Career_History!D49,0,MIN(A324,Career_History!E49)-Career_History!D49+1),0))/365.2425</f>
        <v>33.336755717092068</v>
      </c>
      <c r="AV324" s="9">
        <f>SUM(IF(Career_History!I47=TRUE,IF(A324&lt;Career_History!D47,0,MIN(A324,Career_History!E47)-Career_History!D47+1),0),IF(Career_History!I48=TRUE,IF(A324&lt;Career_History!D48,0,MIN(A324,Career_History!E48)-Career_History!D48+1),0),IF(Career_History!I49=TRUE,IF(A324&lt;Career_History!D49,0,MIN(A324,Career_History!E49)-Career_History!D49+1),0))/365.2425</f>
        <v>16.999664606391644</v>
      </c>
      <c r="AW324" s="9">
        <f>SUM(IF(Career_History!H47=TRUE,IF(A324&lt;Career_History!D47,0,MIN(A324,Career_History!E47)-Career_History!D47+1),0),IF(Career_History!H48=TRUE,IF(A324&lt;Career_History!D48,0,MIN(A324,Career_History!E48)-Career_History!D48+1),0),IF(Career_History!H49=TRUE,IF(A324&lt;Career_History!D49,0,MIN(A324,Career_History!E49)-Career_History!D49+1),0))/365.2425</f>
        <v>16.337091110700424</v>
      </c>
      <c r="AX324" s="9">
        <f>SUM(IF(Career_History!G50=TRUE,IF(A324&lt;Career_History!D50,0,MIN(A324,Career_History!E50)-Career_History!D50+1),0),IF(Career_History!G51=TRUE,IF(A324&lt;Career_History!D51,0,MIN(A324,Career_History!E51)-Career_History!D51+1),0),IF(Career_History!G52=TRUE,IF(A324&lt;Career_History!D52,0,MIN(A324,Career_History!E52)-Career_History!D52+1),0))/365.2425</f>
        <v>26.338665407229442</v>
      </c>
      <c r="AY324" s="9">
        <f>SUM(IF(Career_History!I50=TRUE,IF(A324&lt;Career_History!D50,0,MIN(A324,Career_History!E50)-Career_History!D50+1),0),IF(Career_History!I51=TRUE,IF(A324&lt;Career_History!D51,0,MIN(A324,Career_History!E51)-Career_History!D51+1),0),IF(Career_History!I52=TRUE,IF(A324&lt;Career_History!D52,0,MIN(A324,Career_History!E52)-Career_History!D52+1),0))/365.2425</f>
        <v>8.4875117216643731E-2</v>
      </c>
      <c r="AZ324" s="9">
        <f>SUM(IF(Career_History!H50=TRUE,IF(A324&lt;Career_History!D50,0,MIN(A324,Career_History!E50)-Career_History!D50+1),0),IF(Career_History!H51=TRUE,IF(A324&lt;Career_History!D51,0,MIN(A324,Career_History!E51)-Career_History!D51+1),0),IF(Career_History!H52=TRUE,IF(A324&lt;Career_History!D52,0,MIN(A324,Career_History!E52)-Career_History!D52+1),0))/365.2425</f>
        <v>2.8337337522331052</v>
      </c>
      <c r="BA324" s="9">
        <f>SUM(IF(Career_History!G53=TRUE,IF(A324&lt;Career_History!D53,0,MIN(A324,Career_History!E53)-Career_History!D53+1),0),IF(Career_History!G54=TRUE,IF(A324&lt;Career_History!D54,0,MIN(A324,Career_History!E54)-Career_History!D54+1),0),IF(Career_History!G55=TRUE,IF(A324&lt;Career_History!D55,0,MIN(A324,Career_History!E55)-Career_History!D55+1),0),IF(Career_History!G56=TRUE,IF(A324&lt;Career_History!D56,0,MIN(A324,Career_History!E56)-Career_History!D56+1),0),IF(Career_History!G57=TRUE,IF(A324&lt;Career_History!D57,0,MIN(A324,Career_History!E57)-Career_History!D57+1),0))/365.2425</f>
        <v>45.337002128722695</v>
      </c>
      <c r="BB324" s="9">
        <f>SUM(IF(Career_History!I53=TRUE,IF(A324&lt;Career_History!D53,0,MIN(A324,Career_History!E53)-Career_History!D53+1),0),IF(Career_History!I54=TRUE,IF(A324&lt;Career_History!D54,0,MIN(A324,Career_History!E54)-Career_History!D54+1),0),IF(Career_History!I55=TRUE,IF(A324&lt;Career_History!D55,0,MIN(A324,Career_History!E55)-Career_History!D55+1),0),IF(Career_History!I56=TRUE,IF(A324&lt;Career_History!D56,0,MIN(A324,Career_History!E56)-Career_History!D56+1),0),IF(Career_History!I57=TRUE,IF(A324&lt;Career_History!D57,0,MIN(A324,Career_History!E57)-Career_History!D57+1),0))/365.2425</f>
        <v>0</v>
      </c>
      <c r="BC324" s="9">
        <f>SUM(IF(Career_History!H53=TRUE,IF(A324&lt;Career_History!D53,0,MIN(A324,Career_History!E53)-Career_History!D53+1),0),IF(Career_History!H54=TRUE,IF(A324&lt;Career_History!D54,0,MIN(A324,Career_History!E54)-Career_History!D54+1),0),IF(Career_History!H55=TRUE,IF(A324&lt;Career_History!D55,0,MIN(A324,Career_History!E55)-Career_History!D55+1),0),IF(Career_History!H56=TRUE,IF(A324&lt;Career_History!D56,0,MIN(A324,Career_History!E56)-Career_History!D56+1),0),IF(Career_History!H57=TRUE,IF(A324&lt;Career_History!D57,0,MIN(A324,Career_History!E57)-Career_History!D57+1),0))/365.2425</f>
        <v>45.337002128722695</v>
      </c>
      <c r="BD324" s="9">
        <f>SUM(IF(Career_History!G58=TRUE,IF(A324&lt;Career_History!D58,0,MIN(A324,Career_History!E58)-Career_History!D58+1),0),IF(Career_History!G59=TRUE,IF(A324&lt;Career_History!D59,0,MIN(A324,Career_History!E59)-Career_History!D59+1),0),IF(Career_History!G60=TRUE,IF(A324&lt;Career_History!D60,0,MIN(A324,Career_History!E60)-Career_History!D60+1),0))/365.2425</f>
        <v>20.832734416175555</v>
      </c>
      <c r="BE324" s="9">
        <f>SUM(IF(Career_History!I58=TRUE,IF(A324&lt;Career_History!D58,0,MIN(A324,Career_History!E58)-Career_History!D58+1),0),IF(Career_History!I59=TRUE,IF(A324&lt;Career_History!D59,0,MIN(A324,Career_History!E59)-Career_History!D59+1),0),IF(Career_History!I60=TRUE,IF(A324&lt;Career_History!D60,0,MIN(A324,Career_History!E60)-Career_History!D60+1),0))/365.2425</f>
        <v>20.000410686051048</v>
      </c>
      <c r="BF324" s="9">
        <f>SUM(IF(Career_History!H58=TRUE,IF(A324&lt;Career_History!D58,0,MIN(A324,Career_History!E58)-Career_History!D58+1),0),IF(Career_History!H59=TRUE,IF(A324&lt;Career_History!D59,0,MIN(A324,Career_History!E59)-Career_History!D59+1),0),IF(Career_History!H60=TRUE,IF(A324&lt;Career_History!D60,0,MIN(A324,Career_History!E60)-Career_History!D60+1),0))/365.2425</f>
        <v>0.83232373012450633</v>
      </c>
      <c r="BG324" s="9"/>
      <c r="BH324" s="9"/>
      <c r="BI324" s="9"/>
      <c r="BJ324" s="9"/>
      <c r="BK324" s="9"/>
      <c r="BL324" s="9"/>
      <c r="BM324" s="9"/>
      <c r="BN324" s="9"/>
      <c r="BO324" s="9"/>
    </row>
    <row r="325" spans="1:67">
      <c r="A325" s="8">
        <v>44530</v>
      </c>
      <c r="B325" s="9">
        <f t="shared" si="15"/>
        <v>31.318918252941536</v>
      </c>
      <c r="C325" s="9">
        <f t="shared" si="16"/>
        <v>8.2339815328172374</v>
      </c>
      <c r="D325" s="9">
        <f t="shared" si="17"/>
        <v>18.200510619656804</v>
      </c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>
        <f>SUM(IF(Career_History!G43=TRUE,IF(A325&lt;Career_History!D43,0,MIN(A325,Career_History!E43)-Career_History!D43+1),0),IF(Career_History!G44=TRUE,IF(A325&lt;Career_History!D44,0,MIN(A325,Career_History!E44)-Career_History!D44+1),0),IF(Career_History!G45=TRUE,IF(A325&lt;Career_History!D45,0,MIN(A325,Career_History!E45)-Career_History!D45+1),0),IF(Career_History!G46=TRUE,IF(A325&lt;Career_History!D46,0,MIN(A325,Career_History!E46)-Career_History!D46+1),0))/365.2425</f>
        <v>30.420884754649308</v>
      </c>
      <c r="AS325" s="9">
        <f>SUM(IF(Career_History!I43=TRUE,IF(A325&lt;Career_History!D43,0,MIN(A325,Career_History!E43)-Career_History!D43+1),0),IF(Career_History!I44=TRUE,IF(A325&lt;Career_History!D44,0,MIN(A325,Career_History!E44)-Career_History!D44+1),0),IF(Career_History!I45=TRUE,IF(A325&lt;Career_History!D45,0,MIN(A325,Career_History!E45)-Career_History!D45+1),0),IF(Career_History!I46=TRUE,IF(A325&lt;Career_History!D46,0,MIN(A325,Career_History!E46)-Career_History!D46+1),0))/365.2425</f>
        <v>4.0849572544268531</v>
      </c>
      <c r="AT325" s="9">
        <f>SUM(IF(Career_History!H43=TRUE,IF(A325&lt;Career_History!D43,0,MIN(A325,Career_History!E43)-Career_History!D43+1),0),IF(Career_History!H44=TRUE,IF(A325&lt;Career_History!D44,0,MIN(A325,Career_History!E44)-Career_History!D44+1),0),IF(Career_History!H45=TRUE,IF(A325&lt;Career_History!D45,0,MIN(A325,Career_History!E45)-Career_History!D45+1),0),IF(Career_History!H46=TRUE,IF(A325&lt;Career_History!D46,0,MIN(A325,Career_History!E46)-Career_History!D46+1),0))/365.2425</f>
        <v>25.333853535664662</v>
      </c>
      <c r="AU325" s="9">
        <f>SUM(IF(Career_History!G47=TRUE,IF(A325&lt;Career_History!D47,0,MIN(A325,Career_History!E47)-Career_History!D47+1),0),IF(Career_History!G48=TRUE,IF(A325&lt;Career_History!D48,0,MIN(A325,Career_History!E48)-Career_History!D48+1),0),IF(Career_History!G49=TRUE,IF(A325&lt;Career_History!D49,0,MIN(A325,Career_History!E49)-Career_History!D49+1),0))/365.2425</f>
        <v>33.418892927301727</v>
      </c>
      <c r="AV325" s="9">
        <f>SUM(IF(Career_History!I47=TRUE,IF(A325&lt;Career_History!D47,0,MIN(A325,Career_History!E47)-Career_History!D47+1),0),IF(Career_History!I48=TRUE,IF(A325&lt;Career_History!D48,0,MIN(A325,Career_History!E48)-Career_History!D48+1),0),IF(Career_History!I49=TRUE,IF(A325&lt;Career_History!D49,0,MIN(A325,Career_History!E49)-Career_History!D49+1),0))/365.2425</f>
        <v>16.999664606391644</v>
      </c>
      <c r="AW325" s="9">
        <f>SUM(IF(Career_History!H47=TRUE,IF(A325&lt;Career_History!D47,0,MIN(A325,Career_History!E47)-Career_History!D47+1),0),IF(Career_History!H48=TRUE,IF(A325&lt;Career_History!D48,0,MIN(A325,Career_History!E48)-Career_History!D48+1),0),IF(Career_History!H49=TRUE,IF(A325&lt;Career_History!D49,0,MIN(A325,Career_History!E49)-Career_History!D49+1),0))/365.2425</f>
        <v>16.419228320910079</v>
      </c>
      <c r="AX325" s="9">
        <f>SUM(IF(Career_History!G50=TRUE,IF(A325&lt;Career_History!D50,0,MIN(A325,Career_History!E50)-Career_History!D50+1),0),IF(Career_History!G51=TRUE,IF(A325&lt;Career_History!D51,0,MIN(A325,Career_History!E51)-Career_History!D51+1),0),IF(Career_History!G52=TRUE,IF(A325&lt;Career_History!D52,0,MIN(A325,Career_History!E52)-Career_History!D52+1),0))/365.2425</f>
        <v>26.420802617439097</v>
      </c>
      <c r="AY325" s="9">
        <f>SUM(IF(Career_History!I50=TRUE,IF(A325&lt;Career_History!D50,0,MIN(A325,Career_History!E50)-Career_History!D50+1),0),IF(Career_History!I51=TRUE,IF(A325&lt;Career_History!D51,0,MIN(A325,Career_History!E51)-Career_History!D51+1),0),IF(Career_History!I52=TRUE,IF(A325&lt;Career_History!D52,0,MIN(A325,Career_History!E52)-Career_History!D52+1),0))/365.2425</f>
        <v>8.4875117216643731E-2</v>
      </c>
      <c r="AZ325" s="9">
        <f>SUM(IF(Career_History!H50=TRUE,IF(A325&lt;Career_History!D50,0,MIN(A325,Career_History!E50)-Career_History!D50+1),0),IF(Career_History!H51=TRUE,IF(A325&lt;Career_History!D51,0,MIN(A325,Career_History!E51)-Career_History!D51+1),0),IF(Career_History!H52=TRUE,IF(A325&lt;Career_History!D52,0,MIN(A325,Career_History!E52)-Career_History!D52+1),0))/365.2425</f>
        <v>2.9158709624427606</v>
      </c>
      <c r="BA325" s="9">
        <f>SUM(IF(Career_History!G53=TRUE,IF(A325&lt;Career_History!D53,0,MIN(A325,Career_History!E53)-Career_History!D53+1),0),IF(Career_History!G54=TRUE,IF(A325&lt;Career_History!D54,0,MIN(A325,Career_History!E54)-Career_History!D54+1),0),IF(Career_History!G55=TRUE,IF(A325&lt;Career_History!D55,0,MIN(A325,Career_History!E55)-Career_History!D55+1),0),IF(Career_History!G56=TRUE,IF(A325&lt;Career_History!D56,0,MIN(A325,Career_History!E56)-Career_History!D56+1),0),IF(Career_History!G57=TRUE,IF(A325&lt;Career_History!D57,0,MIN(A325,Career_History!E57)-Career_History!D57+1),0))/365.2425</f>
        <v>45.419139338932354</v>
      </c>
      <c r="BB325" s="9">
        <f>SUM(IF(Career_History!I53=TRUE,IF(A325&lt;Career_History!D53,0,MIN(A325,Career_History!E53)-Career_History!D53+1),0),IF(Career_History!I54=TRUE,IF(A325&lt;Career_History!D54,0,MIN(A325,Career_History!E54)-Career_History!D54+1),0),IF(Career_History!I55=TRUE,IF(A325&lt;Career_History!D55,0,MIN(A325,Career_History!E55)-Career_History!D55+1),0),IF(Career_History!I56=TRUE,IF(A325&lt;Career_History!D56,0,MIN(A325,Career_History!E56)-Career_History!D56+1),0),IF(Career_History!I57=TRUE,IF(A325&lt;Career_History!D57,0,MIN(A325,Career_History!E57)-Career_History!D57+1),0))/365.2425</f>
        <v>0</v>
      </c>
      <c r="BC325" s="9">
        <f>SUM(IF(Career_History!H53=TRUE,IF(A325&lt;Career_History!D53,0,MIN(A325,Career_History!E53)-Career_History!D53+1),0),IF(Career_History!H54=TRUE,IF(A325&lt;Career_History!D54,0,MIN(A325,Career_History!E54)-Career_History!D54+1),0),IF(Career_History!H55=TRUE,IF(A325&lt;Career_History!D55,0,MIN(A325,Career_History!E55)-Career_History!D55+1),0),IF(Career_History!H56=TRUE,IF(A325&lt;Career_History!D56,0,MIN(A325,Career_History!E56)-Career_History!D56+1),0),IF(Career_History!H57=TRUE,IF(A325&lt;Career_History!D57,0,MIN(A325,Career_History!E57)-Career_History!D57+1),0))/365.2425</f>
        <v>45.419139338932354</v>
      </c>
      <c r="BD325" s="9">
        <f>SUM(IF(Career_History!G58=TRUE,IF(A325&lt;Career_History!D58,0,MIN(A325,Career_History!E58)-Career_History!D58+1),0),IF(Career_History!G59=TRUE,IF(A325&lt;Career_History!D59,0,MIN(A325,Career_History!E59)-Career_History!D59+1),0),IF(Career_History!G60=TRUE,IF(A325&lt;Career_History!D60,0,MIN(A325,Career_History!E60)-Career_History!D60+1),0))/365.2425</f>
        <v>20.91487162638521</v>
      </c>
      <c r="BE325" s="9">
        <f>SUM(IF(Career_History!I58=TRUE,IF(A325&lt;Career_History!D58,0,MIN(A325,Career_History!E58)-Career_History!D58+1),0),IF(Career_History!I59=TRUE,IF(A325&lt;Career_History!D59,0,MIN(A325,Career_History!E59)-Career_History!D59+1),0),IF(Career_History!I60=TRUE,IF(A325&lt;Career_History!D60,0,MIN(A325,Career_History!E60)-Career_History!D60+1),0))/365.2425</f>
        <v>20.000410686051048</v>
      </c>
      <c r="BF325" s="9">
        <f>SUM(IF(Career_History!H58=TRUE,IF(A325&lt;Career_History!D58,0,MIN(A325,Career_History!E58)-Career_History!D58+1),0),IF(Career_History!H59=TRUE,IF(A325&lt;Career_History!D59,0,MIN(A325,Career_History!E59)-Career_History!D59+1),0),IF(Career_History!H60=TRUE,IF(A325&lt;Career_History!D60,0,MIN(A325,Career_History!E60)-Career_History!D60+1),0))/365.2425</f>
        <v>0.91446094033416159</v>
      </c>
      <c r="BG325" s="9"/>
      <c r="BH325" s="9"/>
      <c r="BI325" s="9"/>
      <c r="BJ325" s="9"/>
      <c r="BK325" s="9"/>
      <c r="BL325" s="9"/>
      <c r="BM325" s="9"/>
      <c r="BN325" s="9"/>
      <c r="BO325" s="9"/>
    </row>
    <row r="326" spans="1:67">
      <c r="A326" s="8">
        <v>44561</v>
      </c>
      <c r="B326" s="9">
        <f t="shared" si="15"/>
        <v>31.403793370158176</v>
      </c>
      <c r="C326" s="9">
        <f t="shared" si="16"/>
        <v>8.2339815328172374</v>
      </c>
      <c r="D326" s="9">
        <f t="shared" si="17"/>
        <v>18.285385736873447</v>
      </c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>
        <f>SUM(IF(Career_History!G43=TRUE,IF(A326&lt;Career_History!D43,0,MIN(A326,Career_History!E43)-Career_History!D43+1),0),IF(Career_History!G44=TRUE,IF(A326&lt;Career_History!D44,0,MIN(A326,Career_History!E44)-Career_History!D44+1),0),IF(Career_History!G45=TRUE,IF(A326&lt;Career_History!D45,0,MIN(A326,Career_History!E45)-Career_History!D45+1),0),IF(Career_History!G46=TRUE,IF(A326&lt;Career_History!D46,0,MIN(A326,Career_History!E46)-Career_History!D46+1),0))/365.2425</f>
        <v>30.505759871865951</v>
      </c>
      <c r="AS326" s="9">
        <f>SUM(IF(Career_History!I43=TRUE,IF(A326&lt;Career_History!D43,0,MIN(A326,Career_History!E43)-Career_History!D43+1),0),IF(Career_History!I44=TRUE,IF(A326&lt;Career_History!D44,0,MIN(A326,Career_History!E44)-Career_History!D44+1),0),IF(Career_History!I45=TRUE,IF(A326&lt;Career_History!D45,0,MIN(A326,Career_History!E45)-Career_History!D45+1),0),IF(Career_History!I46=TRUE,IF(A326&lt;Career_History!D46,0,MIN(A326,Career_History!E46)-Career_History!D46+1),0))/365.2425</f>
        <v>4.0849572544268531</v>
      </c>
      <c r="AT326" s="9">
        <f>SUM(IF(Career_History!H43=TRUE,IF(A326&lt;Career_History!D43,0,MIN(A326,Career_History!E43)-Career_History!D43+1),0),IF(Career_History!H44=TRUE,IF(A326&lt;Career_History!D44,0,MIN(A326,Career_History!E44)-Career_History!D44+1),0),IF(Career_History!H45=TRUE,IF(A326&lt;Career_History!D45,0,MIN(A326,Career_History!E45)-Career_History!D45+1),0),IF(Career_History!H46=TRUE,IF(A326&lt;Career_History!D46,0,MIN(A326,Career_History!E46)-Career_History!D46+1),0))/365.2425</f>
        <v>25.418728652881306</v>
      </c>
      <c r="AU326" s="9">
        <f>SUM(IF(Career_History!G47=TRUE,IF(A326&lt;Career_History!D47,0,MIN(A326,Career_History!E47)-Career_History!D47+1),0),IF(Career_History!G48=TRUE,IF(A326&lt;Career_History!D48,0,MIN(A326,Career_History!E48)-Career_History!D48+1),0),IF(Career_History!G49=TRUE,IF(A326&lt;Career_History!D49,0,MIN(A326,Career_History!E49)-Career_History!D49+1),0))/365.2425</f>
        <v>33.503768044518367</v>
      </c>
      <c r="AV326" s="9">
        <f>SUM(IF(Career_History!I47=TRUE,IF(A326&lt;Career_History!D47,0,MIN(A326,Career_History!E47)-Career_History!D47+1),0),IF(Career_History!I48=TRUE,IF(A326&lt;Career_History!D48,0,MIN(A326,Career_History!E48)-Career_History!D48+1),0),IF(Career_History!I49=TRUE,IF(A326&lt;Career_History!D49,0,MIN(A326,Career_History!E49)-Career_History!D49+1),0))/365.2425</f>
        <v>16.999664606391644</v>
      </c>
      <c r="AW326" s="9">
        <f>SUM(IF(Career_History!H47=TRUE,IF(A326&lt;Career_History!D47,0,MIN(A326,Career_History!E47)-Career_History!D47+1),0),IF(Career_History!H48=TRUE,IF(A326&lt;Career_History!D48,0,MIN(A326,Career_History!E48)-Career_History!D48+1),0),IF(Career_History!H49=TRUE,IF(A326&lt;Career_History!D49,0,MIN(A326,Career_History!E49)-Career_History!D49+1),0))/365.2425</f>
        <v>16.504103438126723</v>
      </c>
      <c r="AX326" s="9">
        <f>SUM(IF(Career_History!G50=TRUE,IF(A326&lt;Career_History!D50,0,MIN(A326,Career_History!E50)-Career_History!D50+1),0),IF(Career_History!G51=TRUE,IF(A326&lt;Career_History!D51,0,MIN(A326,Career_History!E51)-Career_History!D51+1),0),IF(Career_History!G52=TRUE,IF(A326&lt;Career_History!D52,0,MIN(A326,Career_History!E52)-Career_History!D52+1),0))/365.2425</f>
        <v>26.505677734655741</v>
      </c>
      <c r="AY326" s="9">
        <f>SUM(IF(Career_History!I50=TRUE,IF(A326&lt;Career_History!D50,0,MIN(A326,Career_History!E50)-Career_History!D50+1),0),IF(Career_History!I51=TRUE,IF(A326&lt;Career_History!D51,0,MIN(A326,Career_History!E51)-Career_History!D51+1),0),IF(Career_History!I52=TRUE,IF(A326&lt;Career_History!D52,0,MIN(A326,Career_History!E52)-Career_History!D52+1),0))/365.2425</f>
        <v>8.4875117216643731E-2</v>
      </c>
      <c r="AZ326" s="9">
        <f>SUM(IF(Career_History!H50=TRUE,IF(A326&lt;Career_History!D50,0,MIN(A326,Career_History!E50)-Career_History!D50+1),0),IF(Career_History!H51=TRUE,IF(A326&lt;Career_History!D51,0,MIN(A326,Career_History!E51)-Career_History!D51+1),0),IF(Career_History!H52=TRUE,IF(A326&lt;Career_History!D52,0,MIN(A326,Career_History!E52)-Career_History!D52+1),0))/365.2425</f>
        <v>3.0007460796594043</v>
      </c>
      <c r="BA326" s="9">
        <f>SUM(IF(Career_History!G53=TRUE,IF(A326&lt;Career_History!D53,0,MIN(A326,Career_History!E53)-Career_History!D53+1),0),IF(Career_History!G54=TRUE,IF(A326&lt;Career_History!D54,0,MIN(A326,Career_History!E54)-Career_History!D54+1),0),IF(Career_History!G55=TRUE,IF(A326&lt;Career_History!D55,0,MIN(A326,Career_History!E55)-Career_History!D55+1),0),IF(Career_History!G56=TRUE,IF(A326&lt;Career_History!D56,0,MIN(A326,Career_History!E56)-Career_History!D56+1),0),IF(Career_History!G57=TRUE,IF(A326&lt;Career_History!D57,0,MIN(A326,Career_History!E57)-Career_History!D57+1),0))/365.2425</f>
        <v>45.504014456148994</v>
      </c>
      <c r="BB326" s="9">
        <f>SUM(IF(Career_History!I53=TRUE,IF(A326&lt;Career_History!D53,0,MIN(A326,Career_History!E53)-Career_History!D53+1),0),IF(Career_History!I54=TRUE,IF(A326&lt;Career_History!D54,0,MIN(A326,Career_History!E54)-Career_History!D54+1),0),IF(Career_History!I55=TRUE,IF(A326&lt;Career_History!D55,0,MIN(A326,Career_History!E55)-Career_History!D55+1),0),IF(Career_History!I56=TRUE,IF(A326&lt;Career_History!D56,0,MIN(A326,Career_History!E56)-Career_History!D56+1),0),IF(Career_History!I57=TRUE,IF(A326&lt;Career_History!D57,0,MIN(A326,Career_History!E57)-Career_History!D57+1),0))/365.2425</f>
        <v>0</v>
      </c>
      <c r="BC326" s="9">
        <f>SUM(IF(Career_History!H53=TRUE,IF(A326&lt;Career_History!D53,0,MIN(A326,Career_History!E53)-Career_History!D53+1),0),IF(Career_History!H54=TRUE,IF(A326&lt;Career_History!D54,0,MIN(A326,Career_History!E54)-Career_History!D54+1),0),IF(Career_History!H55=TRUE,IF(A326&lt;Career_History!D55,0,MIN(A326,Career_History!E55)-Career_History!D55+1),0),IF(Career_History!H56=TRUE,IF(A326&lt;Career_History!D56,0,MIN(A326,Career_History!E56)-Career_History!D56+1),0),IF(Career_History!H57=TRUE,IF(A326&lt;Career_History!D57,0,MIN(A326,Career_History!E57)-Career_History!D57+1),0))/365.2425</f>
        <v>45.504014456148994</v>
      </c>
      <c r="BD326" s="9">
        <f>SUM(IF(Career_History!G58=TRUE,IF(A326&lt;Career_History!D58,0,MIN(A326,Career_History!E58)-Career_History!D58+1),0),IF(Career_History!G59=TRUE,IF(A326&lt;Career_History!D59,0,MIN(A326,Career_History!E59)-Career_History!D59+1),0),IF(Career_History!G60=TRUE,IF(A326&lt;Career_History!D60,0,MIN(A326,Career_History!E60)-Career_History!D60+1),0))/365.2425</f>
        <v>20.999746743601854</v>
      </c>
      <c r="BE326" s="9">
        <f>SUM(IF(Career_History!I58=TRUE,IF(A326&lt;Career_History!D58,0,MIN(A326,Career_History!E58)-Career_History!D58+1),0),IF(Career_History!I59=TRUE,IF(A326&lt;Career_History!D59,0,MIN(A326,Career_History!E59)-Career_History!D59+1),0),IF(Career_History!I60=TRUE,IF(A326&lt;Career_History!D60,0,MIN(A326,Career_History!E60)-Career_History!D60+1),0))/365.2425</f>
        <v>20.000410686051048</v>
      </c>
      <c r="BF326" s="9">
        <f>SUM(IF(Career_History!H58=TRUE,IF(A326&lt;Career_History!D58,0,MIN(A326,Career_History!E58)-Career_History!D58+1),0),IF(Career_History!H59=TRUE,IF(A326&lt;Career_History!D59,0,MIN(A326,Career_History!E59)-Career_History!D59+1),0),IF(Career_History!H60=TRUE,IF(A326&lt;Career_History!D60,0,MIN(A326,Career_History!E60)-Career_History!D60+1),0))/365.2425</f>
        <v>0.99933605755080523</v>
      </c>
      <c r="BG326" s="9"/>
      <c r="BH326" s="9"/>
      <c r="BI326" s="9"/>
      <c r="BJ326" s="9"/>
      <c r="BK326" s="9"/>
      <c r="BL326" s="9"/>
      <c r="BM326" s="9"/>
      <c r="BN326" s="9"/>
      <c r="BO326" s="9"/>
    </row>
    <row r="327" spans="1:67">
      <c r="A327" s="8">
        <v>44592</v>
      </c>
      <c r="B327" s="9">
        <f t="shared" si="15"/>
        <v>29.387598650211846</v>
      </c>
      <c r="C327" s="9">
        <f t="shared" si="16"/>
        <v>11.417072219142076</v>
      </c>
      <c r="D327" s="9">
        <f t="shared" si="17"/>
        <v>13.286515123513828</v>
      </c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>
        <f>SUM(IF(Career_History!G47=TRUE,IF(A327&lt;Career_History!D47,0,MIN(A327,Career_History!E47)-Career_History!D47+1),0),IF(Career_History!G48=TRUE,IF(A327&lt;Career_History!D48,0,MIN(A327,Career_History!E48)-Career_History!D48+1),0),IF(Career_History!G49=TRUE,IF(A327&lt;Career_History!D49,0,MIN(A327,Career_History!E49)-Career_History!D49+1),0))/365.2425</f>
        <v>33.588643161735014</v>
      </c>
      <c r="AV327" s="9">
        <f>SUM(IF(Career_History!I47=TRUE,IF(A327&lt;Career_History!D47,0,MIN(A327,Career_History!E47)-Career_History!D47+1),0),IF(Career_History!I48=TRUE,IF(A327&lt;Career_History!D48,0,MIN(A327,Career_History!E48)-Career_History!D48+1),0),IF(Career_History!I49=TRUE,IF(A327&lt;Career_History!D49,0,MIN(A327,Career_History!E49)-Career_History!D49+1),0))/365.2425</f>
        <v>16.999664606391644</v>
      </c>
      <c r="AW327" s="9">
        <f>SUM(IF(Career_History!H47=TRUE,IF(A327&lt;Career_History!D47,0,MIN(A327,Career_History!E47)-Career_History!D47+1),0),IF(Career_History!H48=TRUE,IF(A327&lt;Career_History!D48,0,MIN(A327,Career_History!E48)-Career_History!D48+1),0),IF(Career_History!H49=TRUE,IF(A327&lt;Career_History!D49,0,MIN(A327,Career_History!E49)-Career_History!D49+1),0))/365.2425</f>
        <v>16.588978555343367</v>
      </c>
      <c r="AX327" s="9">
        <f>SUM(IF(Career_History!G50=TRUE,IF(A327&lt;Career_History!D50,0,MIN(A327,Career_History!E50)-Career_History!D50+1),0),IF(Career_History!G51=TRUE,IF(A327&lt;Career_History!D51,0,MIN(A327,Career_History!E51)-Career_History!D51+1),0),IF(Career_History!G52=TRUE,IF(A327&lt;Career_History!D52,0,MIN(A327,Career_History!E52)-Career_History!D52+1),0))/365.2425</f>
        <v>26.590552851872385</v>
      </c>
      <c r="AY327" s="9">
        <f>SUM(IF(Career_History!I50=TRUE,IF(A327&lt;Career_History!D50,0,MIN(A327,Career_History!E50)-Career_History!D50+1),0),IF(Career_History!I51=TRUE,IF(A327&lt;Career_History!D51,0,MIN(A327,Career_History!E51)-Career_History!D51+1),0),IF(Career_History!I52=TRUE,IF(A327&lt;Career_History!D52,0,MIN(A327,Career_History!E52)-Career_History!D52+1),0))/365.2425</f>
        <v>8.4875117216643731E-2</v>
      </c>
      <c r="AZ327" s="9">
        <f>SUM(IF(Career_History!H50=TRUE,IF(A327&lt;Career_History!D50,0,MIN(A327,Career_History!E50)-Career_History!D50+1),0),IF(Career_History!H51=TRUE,IF(A327&lt;Career_History!D51,0,MIN(A327,Career_History!E51)-Career_History!D51+1),0),IF(Career_History!H52=TRUE,IF(A327&lt;Career_History!D52,0,MIN(A327,Career_History!E52)-Career_History!D52+1),0))/365.2425</f>
        <v>3.0856211968760481</v>
      </c>
      <c r="BA327" s="9">
        <f>SUM(IF(Career_History!G53=TRUE,IF(A327&lt;Career_History!D53,0,MIN(A327,Career_History!E53)-Career_History!D53+1),0),IF(Career_History!G54=TRUE,IF(A327&lt;Career_History!D54,0,MIN(A327,Career_History!E54)-Career_History!D54+1),0),IF(Career_History!G55=TRUE,IF(A327&lt;Career_History!D55,0,MIN(A327,Career_History!E55)-Career_History!D55+1),0),IF(Career_History!G56=TRUE,IF(A327&lt;Career_History!D56,0,MIN(A327,Career_History!E56)-Career_History!D56+1),0),IF(Career_History!G57=TRUE,IF(A327&lt;Career_History!D57,0,MIN(A327,Career_History!E57)-Career_History!D57+1),0))/365.2425</f>
        <v>45.588889573365641</v>
      </c>
      <c r="BB327" s="9">
        <f>SUM(IF(Career_History!I53=TRUE,IF(A327&lt;Career_History!D53,0,MIN(A327,Career_History!E53)-Career_History!D53+1),0),IF(Career_History!I54=TRUE,IF(A327&lt;Career_History!D54,0,MIN(A327,Career_History!E54)-Career_History!D54+1),0),IF(Career_History!I55=TRUE,IF(A327&lt;Career_History!D55,0,MIN(A327,Career_History!E55)-Career_History!D55+1),0),IF(Career_History!I56=TRUE,IF(A327&lt;Career_History!D56,0,MIN(A327,Career_History!E56)-Career_History!D56+1),0),IF(Career_History!I57=TRUE,IF(A327&lt;Career_History!D57,0,MIN(A327,Career_History!E57)-Career_History!D57+1),0))/365.2425</f>
        <v>0</v>
      </c>
      <c r="BC327" s="9">
        <f>SUM(IF(Career_History!H53=TRUE,IF(A327&lt;Career_History!D53,0,MIN(A327,Career_History!E53)-Career_History!D53+1),0),IF(Career_History!H54=TRUE,IF(A327&lt;Career_History!D54,0,MIN(A327,Career_History!E54)-Career_History!D54+1),0),IF(Career_History!H55=TRUE,IF(A327&lt;Career_History!D55,0,MIN(A327,Career_History!E55)-Career_History!D55+1),0),IF(Career_History!H56=TRUE,IF(A327&lt;Career_History!D56,0,MIN(A327,Career_History!E56)-Career_History!D56+1),0),IF(Career_History!H57=TRUE,IF(A327&lt;Career_History!D57,0,MIN(A327,Career_History!E57)-Career_History!D57+1),0))/365.2425</f>
        <v>45.588889573365641</v>
      </c>
      <c r="BD327" s="9">
        <f>SUM(IF(Career_History!G58=TRUE,IF(A327&lt;Career_History!D58,0,MIN(A327,Career_History!E58)-Career_History!D58+1),0),IF(Career_History!G59=TRUE,IF(A327&lt;Career_History!D59,0,MIN(A327,Career_History!E59)-Career_History!D59+1),0),IF(Career_History!G60=TRUE,IF(A327&lt;Career_History!D60,0,MIN(A327,Career_History!E60)-Career_History!D60+1),0))/365.2425</f>
        <v>21.084621860818498</v>
      </c>
      <c r="BE327" s="9">
        <f>SUM(IF(Career_History!I58=TRUE,IF(A327&lt;Career_History!D58,0,MIN(A327,Career_History!E58)-Career_History!D58+1),0),IF(Career_History!I59=TRUE,IF(A327&lt;Career_History!D59,0,MIN(A327,Career_History!E59)-Career_History!D59+1),0),IF(Career_History!I60=TRUE,IF(A327&lt;Career_History!D60,0,MIN(A327,Career_History!E60)-Career_History!D60+1),0))/365.2425</f>
        <v>20.000410686051048</v>
      </c>
      <c r="BF327" s="9">
        <f>SUM(IF(Career_History!H58=TRUE,IF(A327&lt;Career_History!D58,0,MIN(A327,Career_History!E58)-Career_History!D58+1),0),IF(Career_History!H59=TRUE,IF(A327&lt;Career_History!D59,0,MIN(A327,Career_History!E59)-Career_History!D59+1),0),IF(Career_History!H60=TRUE,IF(A327&lt;Career_History!D60,0,MIN(A327,Career_History!E60)-Career_History!D60+1),0))/365.2425</f>
        <v>1.084211174767449</v>
      </c>
      <c r="BG327" s="9">
        <f>SUM(IF(Career_History!G61=TRUE,IF(A327&lt;Career_History!D61,0,MIN(A327,Career_History!E61)-Career_History!D61+1),0),IF(Career_History!G62=TRUE,IF(A327&lt;Career_History!D62,0,MIN(A327,Career_History!E62)-Career_History!D62+1),0),IF(Career_History!G63=TRUE,IF(A327&lt;Career_History!D63,0,MIN(A327,Career_History!E63)-Career_History!D63+1),0))/365.2425</f>
        <v>20.085285803267691</v>
      </c>
      <c r="BH327" s="9">
        <f>SUM(IF(Career_History!I61=TRUE,IF(A327&lt;Career_History!D61,0,MIN(A327,Career_History!E61)-Career_History!D61+1),0),IF(Career_History!I62=TRUE,IF(A327&lt;Career_History!D62,0,MIN(A327,Career_History!E62)-Career_History!D62+1),0),IF(Career_History!I63=TRUE,IF(A327&lt;Career_History!D63,0,MIN(A327,Career_History!E63)-Career_History!D63+1),0))/365.2425</f>
        <v>20.000410686051048</v>
      </c>
      <c r="BI327" s="9">
        <f>SUM(IF(Career_History!H61=TRUE,IF(A327&lt;Career_History!D61,0,MIN(A327,Career_History!E61)-Career_History!D61+1),0),IF(Career_History!H62=TRUE,IF(A327&lt;Career_History!D62,0,MIN(A327,Career_History!E62)-Career_History!D62+1),0),IF(Career_History!H63=TRUE,IF(A327&lt;Career_History!D63,0,MIN(A327,Career_History!E63)-Career_History!D63+1),0))/365.2425</f>
        <v>8.4875117216643731E-2</v>
      </c>
      <c r="BJ327" s="9"/>
      <c r="BK327" s="9"/>
      <c r="BL327" s="9"/>
      <c r="BM327" s="9"/>
      <c r="BN327" s="9"/>
      <c r="BO327" s="9"/>
    </row>
    <row r="328" spans="1:67">
      <c r="A328" s="8">
        <v>44620</v>
      </c>
      <c r="B328" s="9">
        <f t="shared" si="15"/>
        <v>29.464260046407524</v>
      </c>
      <c r="C328" s="9">
        <f t="shared" si="16"/>
        <v>11.417072219142076</v>
      </c>
      <c r="D328" s="9">
        <f t="shared" si="17"/>
        <v>13.363176519709503</v>
      </c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>
        <f>SUM(IF(Career_History!G47=TRUE,IF(A328&lt;Career_History!D47,0,MIN(A328,Career_History!E47)-Career_History!D47+1),0),IF(Career_History!G48=TRUE,IF(A328&lt;Career_History!D48,0,MIN(A328,Career_History!E48)-Career_History!D48+1),0),IF(Career_History!G49=TRUE,IF(A328&lt;Career_History!D49,0,MIN(A328,Career_History!E49)-Career_History!D49+1),0))/365.2425</f>
        <v>33.665304557930689</v>
      </c>
      <c r="AV328" s="9">
        <f>SUM(IF(Career_History!I47=TRUE,IF(A328&lt;Career_History!D47,0,MIN(A328,Career_History!E47)-Career_History!D47+1),0),IF(Career_History!I48=TRUE,IF(A328&lt;Career_History!D48,0,MIN(A328,Career_History!E48)-Career_History!D48+1),0),IF(Career_History!I49=TRUE,IF(A328&lt;Career_History!D49,0,MIN(A328,Career_History!E49)-Career_History!D49+1),0))/365.2425</f>
        <v>16.999664606391644</v>
      </c>
      <c r="AW328" s="9">
        <f>SUM(IF(Career_History!H47=TRUE,IF(A328&lt;Career_History!D47,0,MIN(A328,Career_History!E47)-Career_History!D47+1),0),IF(Career_History!H48=TRUE,IF(A328&lt;Career_History!D48,0,MIN(A328,Career_History!E48)-Career_History!D48+1),0),IF(Career_History!H49=TRUE,IF(A328&lt;Career_History!D49,0,MIN(A328,Career_History!E49)-Career_History!D49+1),0))/365.2425</f>
        <v>16.665639951539045</v>
      </c>
      <c r="AX328" s="9">
        <f>SUM(IF(Career_History!G50=TRUE,IF(A328&lt;Career_History!D50,0,MIN(A328,Career_History!E50)-Career_History!D50+1),0),IF(Career_History!G51=TRUE,IF(A328&lt;Career_History!D51,0,MIN(A328,Career_History!E51)-Career_History!D51+1),0),IF(Career_History!G52=TRUE,IF(A328&lt;Career_History!D52,0,MIN(A328,Career_History!E52)-Career_History!D52+1),0))/365.2425</f>
        <v>26.667214248068063</v>
      </c>
      <c r="AY328" s="9">
        <f>SUM(IF(Career_History!I50=TRUE,IF(A328&lt;Career_History!D50,0,MIN(A328,Career_History!E50)-Career_History!D50+1),0),IF(Career_History!I51=TRUE,IF(A328&lt;Career_History!D51,0,MIN(A328,Career_History!E51)-Career_History!D51+1),0),IF(Career_History!I52=TRUE,IF(A328&lt;Career_History!D52,0,MIN(A328,Career_History!E52)-Career_History!D52+1),0))/365.2425</f>
        <v>8.4875117216643731E-2</v>
      </c>
      <c r="AZ328" s="9">
        <f>SUM(IF(Career_History!H50=TRUE,IF(A328&lt;Career_History!D50,0,MIN(A328,Career_History!E50)-Career_History!D50+1),0),IF(Career_History!H51=TRUE,IF(A328&lt;Career_History!D51,0,MIN(A328,Career_History!E51)-Career_History!D51+1),0),IF(Career_History!H52=TRUE,IF(A328&lt;Career_History!D52,0,MIN(A328,Career_History!E52)-Career_History!D52+1),0))/365.2425</f>
        <v>3.1622825930717262</v>
      </c>
      <c r="BA328" s="9">
        <f>SUM(IF(Career_History!G53=TRUE,IF(A328&lt;Career_History!D53,0,MIN(A328,Career_History!E53)-Career_History!D53+1),0),IF(Career_History!G54=TRUE,IF(A328&lt;Career_History!D54,0,MIN(A328,Career_History!E54)-Career_History!D54+1),0),IF(Career_History!G55=TRUE,IF(A328&lt;Career_History!D55,0,MIN(A328,Career_History!E55)-Career_History!D55+1),0),IF(Career_History!G56=TRUE,IF(A328&lt;Career_History!D56,0,MIN(A328,Career_History!E56)-Career_History!D56+1),0),IF(Career_History!G57=TRUE,IF(A328&lt;Career_History!D57,0,MIN(A328,Career_History!E57)-Career_History!D57+1),0))/365.2425</f>
        <v>45.665550969561316</v>
      </c>
      <c r="BB328" s="9">
        <f>SUM(IF(Career_History!I53=TRUE,IF(A328&lt;Career_History!D53,0,MIN(A328,Career_History!E53)-Career_History!D53+1),0),IF(Career_History!I54=TRUE,IF(A328&lt;Career_History!D54,0,MIN(A328,Career_History!E54)-Career_History!D54+1),0),IF(Career_History!I55=TRUE,IF(A328&lt;Career_History!D55,0,MIN(A328,Career_History!E55)-Career_History!D55+1),0),IF(Career_History!I56=TRUE,IF(A328&lt;Career_History!D56,0,MIN(A328,Career_History!E56)-Career_History!D56+1),0),IF(Career_History!I57=TRUE,IF(A328&lt;Career_History!D57,0,MIN(A328,Career_History!E57)-Career_History!D57+1),0))/365.2425</f>
        <v>0</v>
      </c>
      <c r="BC328" s="9">
        <f>SUM(IF(Career_History!H53=TRUE,IF(A328&lt;Career_History!D53,0,MIN(A328,Career_History!E53)-Career_History!D53+1),0),IF(Career_History!H54=TRUE,IF(A328&lt;Career_History!D54,0,MIN(A328,Career_History!E54)-Career_History!D54+1),0),IF(Career_History!H55=TRUE,IF(A328&lt;Career_History!D55,0,MIN(A328,Career_History!E55)-Career_History!D55+1),0),IF(Career_History!H56=TRUE,IF(A328&lt;Career_History!D56,0,MIN(A328,Career_History!E56)-Career_History!D56+1),0),IF(Career_History!H57=TRUE,IF(A328&lt;Career_History!D57,0,MIN(A328,Career_History!E57)-Career_History!D57+1),0))/365.2425</f>
        <v>45.665550969561316</v>
      </c>
      <c r="BD328" s="9">
        <f>SUM(IF(Career_History!G58=TRUE,IF(A328&lt;Career_History!D58,0,MIN(A328,Career_History!E58)-Career_History!D58+1),0),IF(Career_History!G59=TRUE,IF(A328&lt;Career_History!D59,0,MIN(A328,Career_History!E59)-Career_History!D59+1),0),IF(Career_History!G60=TRUE,IF(A328&lt;Career_History!D60,0,MIN(A328,Career_History!E60)-Career_History!D60+1),0))/365.2425</f>
        <v>21.161283257014176</v>
      </c>
      <c r="BE328" s="9">
        <f>SUM(IF(Career_History!I58=TRUE,IF(A328&lt;Career_History!D58,0,MIN(A328,Career_History!E58)-Career_History!D58+1),0),IF(Career_History!I59=TRUE,IF(A328&lt;Career_History!D59,0,MIN(A328,Career_History!E59)-Career_History!D59+1),0),IF(Career_History!I60=TRUE,IF(A328&lt;Career_History!D60,0,MIN(A328,Career_History!E60)-Career_History!D60+1),0))/365.2425</f>
        <v>20.000410686051048</v>
      </c>
      <c r="BF328" s="9">
        <f>SUM(IF(Career_History!H58=TRUE,IF(A328&lt;Career_History!D58,0,MIN(A328,Career_History!E58)-Career_History!D58+1),0),IF(Career_History!H59=TRUE,IF(A328&lt;Career_History!D59,0,MIN(A328,Career_History!E59)-Career_History!D59+1),0),IF(Career_History!H60=TRUE,IF(A328&lt;Career_History!D60,0,MIN(A328,Career_History!E60)-Career_History!D60+1),0))/365.2425</f>
        <v>1.1608725709631271</v>
      </c>
      <c r="BG328" s="9">
        <f>SUM(IF(Career_History!G61=TRUE,IF(A328&lt;Career_History!D61,0,MIN(A328,Career_History!E61)-Career_History!D61+1),0),IF(Career_History!G62=TRUE,IF(A328&lt;Career_History!D62,0,MIN(A328,Career_History!E62)-Career_History!D62+1),0),IF(Career_History!G63=TRUE,IF(A328&lt;Career_History!D63,0,MIN(A328,Career_History!E63)-Career_History!D63+1),0))/365.2425</f>
        <v>20.16194719946337</v>
      </c>
      <c r="BH328" s="9">
        <f>SUM(IF(Career_History!I61=TRUE,IF(A328&lt;Career_History!D61,0,MIN(A328,Career_History!E61)-Career_History!D61+1),0),IF(Career_History!I62=TRUE,IF(A328&lt;Career_History!D62,0,MIN(A328,Career_History!E62)-Career_History!D62+1),0),IF(Career_History!I63=TRUE,IF(A328&lt;Career_History!D63,0,MIN(A328,Career_History!E63)-Career_History!D63+1),0))/365.2425</f>
        <v>20.000410686051048</v>
      </c>
      <c r="BI328" s="9">
        <f>SUM(IF(Career_History!H61=TRUE,IF(A328&lt;Career_History!D61,0,MIN(A328,Career_History!E61)-Career_History!D61+1),0),IF(Career_History!H62=TRUE,IF(A328&lt;Career_History!D62,0,MIN(A328,Career_History!E62)-Career_History!D62+1),0),IF(Career_History!H63=TRUE,IF(A328&lt;Career_History!D63,0,MIN(A328,Career_History!E63)-Career_History!D63+1),0))/365.2425</f>
        <v>0.16153651341232195</v>
      </c>
      <c r="BJ328" s="9"/>
      <c r="BK328" s="9"/>
      <c r="BL328" s="9"/>
      <c r="BM328" s="9"/>
      <c r="BN328" s="9"/>
      <c r="BO328" s="9"/>
    </row>
    <row r="329" spans="1:67">
      <c r="A329" s="8">
        <v>44651</v>
      </c>
      <c r="B329" s="9">
        <f t="shared" si="15"/>
        <v>29.549135163624168</v>
      </c>
      <c r="C329" s="9">
        <f t="shared" si="16"/>
        <v>11.417072219142076</v>
      </c>
      <c r="D329" s="9">
        <f t="shared" si="17"/>
        <v>13.448051636926152</v>
      </c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>
        <f>SUM(IF(Career_History!G47=TRUE,IF(A329&lt;Career_History!D47,0,MIN(A329,Career_History!E47)-Career_History!D47+1),0),IF(Career_History!G48=TRUE,IF(A329&lt;Career_History!D48,0,MIN(A329,Career_History!E48)-Career_History!D48+1),0),IF(Career_History!G49=TRUE,IF(A329&lt;Career_History!D49,0,MIN(A329,Career_History!E49)-Career_History!D49+1),0))/365.2425</f>
        <v>33.750179675147336</v>
      </c>
      <c r="AV329" s="9">
        <f>SUM(IF(Career_History!I47=TRUE,IF(A329&lt;Career_History!D47,0,MIN(A329,Career_History!E47)-Career_History!D47+1),0),IF(Career_History!I48=TRUE,IF(A329&lt;Career_History!D48,0,MIN(A329,Career_History!E48)-Career_History!D48+1),0),IF(Career_History!I49=TRUE,IF(A329&lt;Career_History!D49,0,MIN(A329,Career_History!E49)-Career_History!D49+1),0))/365.2425</f>
        <v>16.999664606391644</v>
      </c>
      <c r="AW329" s="9">
        <f>SUM(IF(Career_History!H47=TRUE,IF(A329&lt;Career_History!D47,0,MIN(A329,Career_History!E47)-Career_History!D47+1),0),IF(Career_History!H48=TRUE,IF(A329&lt;Career_History!D48,0,MIN(A329,Career_History!E48)-Career_History!D48+1),0),IF(Career_History!H49=TRUE,IF(A329&lt;Career_History!D49,0,MIN(A329,Career_History!E49)-Career_History!D49+1),0))/365.2425</f>
        <v>16.750515068755689</v>
      </c>
      <c r="AX329" s="9">
        <f>SUM(IF(Career_History!G50=TRUE,IF(A329&lt;Career_History!D50,0,MIN(A329,Career_History!E50)-Career_History!D50+1),0),IF(Career_History!G51=TRUE,IF(A329&lt;Career_History!D51,0,MIN(A329,Career_History!E51)-Career_History!D51+1),0),IF(Career_History!G52=TRUE,IF(A329&lt;Career_History!D52,0,MIN(A329,Career_History!E52)-Career_History!D52+1),0))/365.2425</f>
        <v>26.752089365284707</v>
      </c>
      <c r="AY329" s="9">
        <f>SUM(IF(Career_History!I50=TRUE,IF(A329&lt;Career_History!D50,0,MIN(A329,Career_History!E50)-Career_History!D50+1),0),IF(Career_History!I51=TRUE,IF(A329&lt;Career_History!D51,0,MIN(A329,Career_History!E51)-Career_History!D51+1),0),IF(Career_History!I52=TRUE,IF(A329&lt;Career_History!D52,0,MIN(A329,Career_History!E52)-Career_History!D52+1),0))/365.2425</f>
        <v>8.4875117216643731E-2</v>
      </c>
      <c r="AZ329" s="9">
        <f>SUM(IF(Career_History!H50=TRUE,IF(A329&lt;Career_History!D50,0,MIN(A329,Career_History!E50)-Career_History!D50+1),0),IF(Career_History!H51=TRUE,IF(A329&lt;Career_History!D51,0,MIN(A329,Career_History!E51)-Career_History!D51+1),0),IF(Career_History!H52=TRUE,IF(A329&lt;Career_History!D52,0,MIN(A329,Career_History!E52)-Career_History!D52+1),0))/365.2425</f>
        <v>3.24715771028837</v>
      </c>
      <c r="BA329" s="9">
        <f>SUM(IF(Career_History!G53=TRUE,IF(A329&lt;Career_History!D53,0,MIN(A329,Career_History!E53)-Career_History!D53+1),0),IF(Career_History!G54=TRUE,IF(A329&lt;Career_History!D54,0,MIN(A329,Career_History!E54)-Career_History!D54+1),0),IF(Career_History!G55=TRUE,IF(A329&lt;Career_History!D55,0,MIN(A329,Career_History!E55)-Career_History!D55+1),0),IF(Career_History!G56=TRUE,IF(A329&lt;Career_History!D56,0,MIN(A329,Career_History!E56)-Career_History!D56+1),0),IF(Career_History!G57=TRUE,IF(A329&lt;Career_History!D57,0,MIN(A329,Career_History!E57)-Career_History!D57+1),0))/365.2425</f>
        <v>45.750426086777964</v>
      </c>
      <c r="BB329" s="9">
        <f>SUM(IF(Career_History!I53=TRUE,IF(A329&lt;Career_History!D53,0,MIN(A329,Career_History!E53)-Career_History!D53+1),0),IF(Career_History!I54=TRUE,IF(A329&lt;Career_History!D54,0,MIN(A329,Career_History!E54)-Career_History!D54+1),0),IF(Career_History!I55=TRUE,IF(A329&lt;Career_History!D55,0,MIN(A329,Career_History!E55)-Career_History!D55+1),0),IF(Career_History!I56=TRUE,IF(A329&lt;Career_History!D56,0,MIN(A329,Career_History!E56)-Career_History!D56+1),0),IF(Career_History!I57=TRUE,IF(A329&lt;Career_History!D57,0,MIN(A329,Career_History!E57)-Career_History!D57+1),0))/365.2425</f>
        <v>0</v>
      </c>
      <c r="BC329" s="9">
        <f>SUM(IF(Career_History!H53=TRUE,IF(A329&lt;Career_History!D53,0,MIN(A329,Career_History!E53)-Career_History!D53+1),0),IF(Career_History!H54=TRUE,IF(A329&lt;Career_History!D54,0,MIN(A329,Career_History!E54)-Career_History!D54+1),0),IF(Career_History!H55=TRUE,IF(A329&lt;Career_History!D55,0,MIN(A329,Career_History!E55)-Career_History!D55+1),0),IF(Career_History!H56=TRUE,IF(A329&lt;Career_History!D56,0,MIN(A329,Career_History!E56)-Career_History!D56+1),0),IF(Career_History!H57=TRUE,IF(A329&lt;Career_History!D57,0,MIN(A329,Career_History!E57)-Career_History!D57+1),0))/365.2425</f>
        <v>45.750426086777964</v>
      </c>
      <c r="BD329" s="9">
        <f>SUM(IF(Career_History!G58=TRUE,IF(A329&lt;Career_History!D58,0,MIN(A329,Career_History!E58)-Career_History!D58+1),0),IF(Career_History!G59=TRUE,IF(A329&lt;Career_History!D59,0,MIN(A329,Career_History!E59)-Career_History!D59+1),0),IF(Career_History!G60=TRUE,IF(A329&lt;Career_History!D60,0,MIN(A329,Career_History!E60)-Career_History!D60+1),0))/365.2425</f>
        <v>21.24615837423082</v>
      </c>
      <c r="BE329" s="9">
        <f>SUM(IF(Career_History!I58=TRUE,IF(A329&lt;Career_History!D58,0,MIN(A329,Career_History!E58)-Career_History!D58+1),0),IF(Career_History!I59=TRUE,IF(A329&lt;Career_History!D59,0,MIN(A329,Career_History!E59)-Career_History!D59+1),0),IF(Career_History!I60=TRUE,IF(A329&lt;Career_History!D60,0,MIN(A329,Career_History!E60)-Career_History!D60+1),0))/365.2425</f>
        <v>20.000410686051048</v>
      </c>
      <c r="BF329" s="9">
        <f>SUM(IF(Career_History!H58=TRUE,IF(A329&lt;Career_History!D58,0,MIN(A329,Career_History!E58)-Career_History!D58+1),0),IF(Career_History!H59=TRUE,IF(A329&lt;Career_History!D59,0,MIN(A329,Career_History!E59)-Career_History!D59+1),0),IF(Career_History!H60=TRUE,IF(A329&lt;Career_History!D60,0,MIN(A329,Career_History!E60)-Career_History!D60+1),0))/365.2425</f>
        <v>1.2457476881797709</v>
      </c>
      <c r="BG329" s="9">
        <f>SUM(IF(Career_History!G61=TRUE,IF(A329&lt;Career_History!D61,0,MIN(A329,Career_History!E61)-Career_History!D61+1),0),IF(Career_History!G62=TRUE,IF(A329&lt;Career_History!D62,0,MIN(A329,Career_History!E62)-Career_History!D62+1),0),IF(Career_History!G63=TRUE,IF(A329&lt;Career_History!D63,0,MIN(A329,Career_History!E63)-Career_History!D63+1),0))/365.2425</f>
        <v>20.246822316680014</v>
      </c>
      <c r="BH329" s="9">
        <f>SUM(IF(Career_History!I61=TRUE,IF(A329&lt;Career_History!D61,0,MIN(A329,Career_History!E61)-Career_History!D61+1),0),IF(Career_History!I62=TRUE,IF(A329&lt;Career_History!D62,0,MIN(A329,Career_History!E62)-Career_History!D62+1),0),IF(Career_History!I63=TRUE,IF(A329&lt;Career_History!D63,0,MIN(A329,Career_History!E63)-Career_History!D63+1),0))/365.2425</f>
        <v>20.000410686051048</v>
      </c>
      <c r="BI329" s="9">
        <f>SUM(IF(Career_History!H61=TRUE,IF(A329&lt;Career_History!D61,0,MIN(A329,Career_History!E61)-Career_History!D61+1),0),IF(Career_History!H62=TRUE,IF(A329&lt;Career_History!D62,0,MIN(A329,Career_History!E62)-Career_History!D62+1),0),IF(Career_History!H63=TRUE,IF(A329&lt;Career_History!D63,0,MIN(A329,Career_History!E63)-Career_History!D63+1),0))/365.2425</f>
        <v>0.24641163062896568</v>
      </c>
      <c r="BJ329" s="9"/>
      <c r="BK329" s="9"/>
      <c r="BL329" s="9"/>
      <c r="BM329" s="9"/>
      <c r="BN329" s="9"/>
      <c r="BO329" s="9"/>
    </row>
    <row r="330" spans="1:67">
      <c r="A330" s="8">
        <v>44681</v>
      </c>
      <c r="B330" s="9">
        <f t="shared" si="15"/>
        <v>29.63127237383382</v>
      </c>
      <c r="C330" s="9">
        <f t="shared" si="16"/>
        <v>11.417072219142076</v>
      </c>
      <c r="D330" s="9">
        <f t="shared" si="17"/>
        <v>13.530188847135808</v>
      </c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>
        <f>SUM(IF(Career_History!G47=TRUE,IF(A330&lt;Career_History!D47,0,MIN(A330,Career_History!E47)-Career_History!D47+1),0),IF(Career_History!G48=TRUE,IF(A330&lt;Career_History!D48,0,MIN(A330,Career_History!E48)-Career_History!D48+1),0),IF(Career_History!G49=TRUE,IF(A330&lt;Career_History!D49,0,MIN(A330,Career_History!E49)-Career_History!D49+1),0))/365.2425</f>
        <v>33.832316885356988</v>
      </c>
      <c r="AV330" s="9">
        <f>SUM(IF(Career_History!I47=TRUE,IF(A330&lt;Career_History!D47,0,MIN(A330,Career_History!E47)-Career_History!D47+1),0),IF(Career_History!I48=TRUE,IF(A330&lt;Career_History!D48,0,MIN(A330,Career_History!E48)-Career_History!D48+1),0),IF(Career_History!I49=TRUE,IF(A330&lt;Career_History!D49,0,MIN(A330,Career_History!E49)-Career_History!D49+1),0))/365.2425</f>
        <v>16.999664606391644</v>
      </c>
      <c r="AW330" s="9">
        <f>SUM(IF(Career_History!H47=TRUE,IF(A330&lt;Career_History!D47,0,MIN(A330,Career_History!E47)-Career_History!D47+1),0),IF(Career_History!H48=TRUE,IF(A330&lt;Career_History!D48,0,MIN(A330,Career_History!E48)-Career_History!D48+1),0),IF(Career_History!H49=TRUE,IF(A330&lt;Career_History!D49,0,MIN(A330,Career_History!E49)-Career_History!D49+1),0))/365.2425</f>
        <v>16.832652278965345</v>
      </c>
      <c r="AX330" s="9">
        <f>SUM(IF(Career_History!G50=TRUE,IF(A330&lt;Career_History!D50,0,MIN(A330,Career_History!E50)-Career_History!D50+1),0),IF(Career_History!G51=TRUE,IF(A330&lt;Career_History!D51,0,MIN(A330,Career_History!E51)-Career_History!D51+1),0),IF(Career_History!G52=TRUE,IF(A330&lt;Career_History!D52,0,MIN(A330,Career_History!E52)-Career_History!D52+1),0))/365.2425</f>
        <v>26.834226575494363</v>
      </c>
      <c r="AY330" s="9">
        <f>SUM(IF(Career_History!I50=TRUE,IF(A330&lt;Career_History!D50,0,MIN(A330,Career_History!E50)-Career_History!D50+1),0),IF(Career_History!I51=TRUE,IF(A330&lt;Career_History!D51,0,MIN(A330,Career_History!E51)-Career_History!D51+1),0),IF(Career_History!I52=TRUE,IF(A330&lt;Career_History!D52,0,MIN(A330,Career_History!E52)-Career_History!D52+1),0))/365.2425</f>
        <v>8.4875117216643731E-2</v>
      </c>
      <c r="AZ330" s="9">
        <f>SUM(IF(Career_History!H50=TRUE,IF(A330&lt;Career_History!D50,0,MIN(A330,Career_History!E50)-Career_History!D50+1),0),IF(Career_History!H51=TRUE,IF(A330&lt;Career_History!D51,0,MIN(A330,Career_History!E51)-Career_History!D51+1),0),IF(Career_History!H52=TRUE,IF(A330&lt;Career_History!D52,0,MIN(A330,Career_History!E52)-Career_History!D52+1),0))/365.2425</f>
        <v>3.3292949204980253</v>
      </c>
      <c r="BA330" s="9">
        <f>SUM(IF(Career_History!G53=TRUE,IF(A330&lt;Career_History!D53,0,MIN(A330,Career_History!E53)-Career_History!D53+1),0),IF(Career_History!G54=TRUE,IF(A330&lt;Career_History!D54,0,MIN(A330,Career_History!E54)-Career_History!D54+1),0),IF(Career_History!G55=TRUE,IF(A330&lt;Career_History!D55,0,MIN(A330,Career_History!E55)-Career_History!D55+1),0),IF(Career_History!G56=TRUE,IF(A330&lt;Career_History!D56,0,MIN(A330,Career_History!E56)-Career_History!D56+1),0),IF(Career_History!G57=TRUE,IF(A330&lt;Career_History!D57,0,MIN(A330,Career_History!E57)-Career_History!D57+1),0))/365.2425</f>
        <v>45.832563296987615</v>
      </c>
      <c r="BB330" s="9">
        <f>SUM(IF(Career_History!I53=TRUE,IF(A330&lt;Career_History!D53,0,MIN(A330,Career_History!E53)-Career_History!D53+1),0),IF(Career_History!I54=TRUE,IF(A330&lt;Career_History!D54,0,MIN(A330,Career_History!E54)-Career_History!D54+1),0),IF(Career_History!I55=TRUE,IF(A330&lt;Career_History!D55,0,MIN(A330,Career_History!E55)-Career_History!D55+1),0),IF(Career_History!I56=TRUE,IF(A330&lt;Career_History!D56,0,MIN(A330,Career_History!E56)-Career_History!D56+1),0),IF(Career_History!I57=TRUE,IF(A330&lt;Career_History!D57,0,MIN(A330,Career_History!E57)-Career_History!D57+1),0))/365.2425</f>
        <v>0</v>
      </c>
      <c r="BC330" s="9">
        <f>SUM(IF(Career_History!H53=TRUE,IF(A330&lt;Career_History!D53,0,MIN(A330,Career_History!E53)-Career_History!D53+1),0),IF(Career_History!H54=TRUE,IF(A330&lt;Career_History!D54,0,MIN(A330,Career_History!E54)-Career_History!D54+1),0),IF(Career_History!H55=TRUE,IF(A330&lt;Career_History!D55,0,MIN(A330,Career_History!E55)-Career_History!D55+1),0),IF(Career_History!H56=TRUE,IF(A330&lt;Career_History!D56,0,MIN(A330,Career_History!E56)-Career_History!D56+1),0),IF(Career_History!H57=TRUE,IF(A330&lt;Career_History!D57,0,MIN(A330,Career_History!E57)-Career_History!D57+1),0))/365.2425</f>
        <v>45.832563296987615</v>
      </c>
      <c r="BD330" s="9">
        <f>SUM(IF(Career_History!G58=TRUE,IF(A330&lt;Career_History!D58,0,MIN(A330,Career_History!E58)-Career_History!D58+1),0),IF(Career_History!G59=TRUE,IF(A330&lt;Career_History!D59,0,MIN(A330,Career_History!E59)-Career_History!D59+1),0),IF(Career_History!G60=TRUE,IF(A330&lt;Career_History!D60,0,MIN(A330,Career_History!E60)-Career_History!D60+1),0))/365.2425</f>
        <v>21.328295584440475</v>
      </c>
      <c r="BE330" s="9">
        <f>SUM(IF(Career_History!I58=TRUE,IF(A330&lt;Career_History!D58,0,MIN(A330,Career_History!E58)-Career_History!D58+1),0),IF(Career_History!I59=TRUE,IF(A330&lt;Career_History!D59,0,MIN(A330,Career_History!E59)-Career_History!D59+1),0),IF(Career_History!I60=TRUE,IF(A330&lt;Career_History!D60,0,MIN(A330,Career_History!E60)-Career_History!D60+1),0))/365.2425</f>
        <v>20.000410686051048</v>
      </c>
      <c r="BF330" s="9">
        <f>SUM(IF(Career_History!H58=TRUE,IF(A330&lt;Career_History!D58,0,MIN(A330,Career_History!E58)-Career_History!D58+1),0),IF(Career_History!H59=TRUE,IF(A330&lt;Career_History!D59,0,MIN(A330,Career_History!E59)-Career_History!D59+1),0),IF(Career_History!H60=TRUE,IF(A330&lt;Career_History!D60,0,MIN(A330,Career_History!E60)-Career_History!D60+1),0))/365.2425</f>
        <v>1.3278848983894262</v>
      </c>
      <c r="BG330" s="9">
        <f>SUM(IF(Career_History!G61=TRUE,IF(A330&lt;Career_History!D61,0,MIN(A330,Career_History!E61)-Career_History!D61+1),0),IF(Career_History!G62=TRUE,IF(A330&lt;Career_History!D62,0,MIN(A330,Career_History!E62)-Career_History!D62+1),0),IF(Career_History!G63=TRUE,IF(A330&lt;Career_History!D63,0,MIN(A330,Career_History!E63)-Career_History!D63+1),0))/365.2425</f>
        <v>20.328959526889669</v>
      </c>
      <c r="BH330" s="9">
        <f>SUM(IF(Career_History!I61=TRUE,IF(A330&lt;Career_History!D61,0,MIN(A330,Career_History!E61)-Career_History!D61+1),0),IF(Career_History!I62=TRUE,IF(A330&lt;Career_History!D62,0,MIN(A330,Career_History!E62)-Career_History!D62+1),0),IF(Career_History!I63=TRUE,IF(A330&lt;Career_History!D63,0,MIN(A330,Career_History!E63)-Career_History!D63+1),0))/365.2425</f>
        <v>20.000410686051048</v>
      </c>
      <c r="BI330" s="9">
        <f>SUM(IF(Career_History!H61=TRUE,IF(A330&lt;Career_History!D61,0,MIN(A330,Career_History!E61)-Career_History!D61+1),0),IF(Career_History!H62=TRUE,IF(A330&lt;Career_History!D62,0,MIN(A330,Career_History!E62)-Career_History!D62+1),0),IF(Career_History!H63=TRUE,IF(A330&lt;Career_History!D63,0,MIN(A330,Career_History!E63)-Career_History!D63+1),0))/365.2425</f>
        <v>0.3285488408386209</v>
      </c>
      <c r="BJ330" s="9"/>
      <c r="BK330" s="9"/>
      <c r="BL330" s="9"/>
      <c r="BM330" s="9"/>
      <c r="BN330" s="9"/>
      <c r="BO330" s="9"/>
    </row>
    <row r="331" spans="1:67">
      <c r="A331" s="8">
        <v>44712</v>
      </c>
      <c r="B331" s="9">
        <f t="shared" si="15"/>
        <v>29.716147491050471</v>
      </c>
      <c r="C331" s="9">
        <f t="shared" si="16"/>
        <v>11.417072219142076</v>
      </c>
      <c r="D331" s="9">
        <f t="shared" si="17"/>
        <v>13.61506396435245</v>
      </c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>
        <f>SUM(IF(Career_History!G47=TRUE,IF(A331&lt;Career_History!D47,0,MIN(A331,Career_History!E47)-Career_History!D47+1),0),IF(Career_History!G48=TRUE,IF(A331&lt;Career_History!D48,0,MIN(A331,Career_History!E48)-Career_History!D48+1),0),IF(Career_History!G49=TRUE,IF(A331&lt;Career_History!D49,0,MIN(A331,Career_History!E49)-Career_History!D49+1),0))/365.2425</f>
        <v>33.917192002573628</v>
      </c>
      <c r="AV331" s="9">
        <f>SUM(IF(Career_History!I47=TRUE,IF(A331&lt;Career_History!D47,0,MIN(A331,Career_History!E47)-Career_History!D47+1),0),IF(Career_History!I48=TRUE,IF(A331&lt;Career_History!D48,0,MIN(A331,Career_History!E48)-Career_History!D48+1),0),IF(Career_History!I49=TRUE,IF(A331&lt;Career_History!D49,0,MIN(A331,Career_History!E49)-Career_History!D49+1),0))/365.2425</f>
        <v>16.999664606391644</v>
      </c>
      <c r="AW331" s="9">
        <f>SUM(IF(Career_History!H47=TRUE,IF(A331&lt;Career_History!D47,0,MIN(A331,Career_History!E47)-Career_History!D47+1),0),IF(Career_History!H48=TRUE,IF(A331&lt;Career_History!D48,0,MIN(A331,Career_History!E48)-Career_History!D48+1),0),IF(Career_History!H49=TRUE,IF(A331&lt;Career_History!D49,0,MIN(A331,Career_History!E49)-Career_History!D49+1),0))/365.2425</f>
        <v>16.917527396181988</v>
      </c>
      <c r="AX331" s="9">
        <f>SUM(IF(Career_History!G50=TRUE,IF(A331&lt;Career_History!D50,0,MIN(A331,Career_History!E50)-Career_History!D50+1),0),IF(Career_History!G51=TRUE,IF(A331&lt;Career_History!D51,0,MIN(A331,Career_History!E51)-Career_History!D51+1),0),IF(Career_History!G52=TRUE,IF(A331&lt;Career_History!D52,0,MIN(A331,Career_History!E52)-Career_History!D52+1),0))/365.2425</f>
        <v>26.919101692711006</v>
      </c>
      <c r="AY331" s="9">
        <f>SUM(IF(Career_History!I50=TRUE,IF(A331&lt;Career_History!D50,0,MIN(A331,Career_History!E50)-Career_History!D50+1),0),IF(Career_History!I51=TRUE,IF(A331&lt;Career_History!D51,0,MIN(A331,Career_History!E51)-Career_History!D51+1),0),IF(Career_History!I52=TRUE,IF(A331&lt;Career_History!D52,0,MIN(A331,Career_History!E52)-Career_History!D52+1),0))/365.2425</f>
        <v>8.4875117216643731E-2</v>
      </c>
      <c r="AZ331" s="9">
        <f>SUM(IF(Career_History!H50=TRUE,IF(A331&lt;Career_History!D50,0,MIN(A331,Career_History!E50)-Career_History!D50+1),0),IF(Career_History!H51=TRUE,IF(A331&lt;Career_History!D51,0,MIN(A331,Career_History!E51)-Career_History!D51+1),0),IF(Career_History!H52=TRUE,IF(A331&lt;Career_History!D52,0,MIN(A331,Career_History!E52)-Career_History!D52+1),0))/365.2425</f>
        <v>3.4141700377146691</v>
      </c>
      <c r="BA331" s="9">
        <f>SUM(IF(Career_History!G53=TRUE,IF(A331&lt;Career_History!D53,0,MIN(A331,Career_History!E53)-Career_History!D53+1),0),IF(Career_History!G54=TRUE,IF(A331&lt;Career_History!D54,0,MIN(A331,Career_History!E54)-Career_History!D54+1),0),IF(Career_History!G55=TRUE,IF(A331&lt;Career_History!D55,0,MIN(A331,Career_History!E55)-Career_History!D55+1),0),IF(Career_History!G56=TRUE,IF(A331&lt;Career_History!D56,0,MIN(A331,Career_History!E56)-Career_History!D56+1),0),IF(Career_History!G57=TRUE,IF(A331&lt;Career_History!D57,0,MIN(A331,Career_History!E57)-Career_History!D57+1),0))/365.2425</f>
        <v>45.917438414204263</v>
      </c>
      <c r="BB331" s="9">
        <f>SUM(IF(Career_History!I53=TRUE,IF(A331&lt;Career_History!D53,0,MIN(A331,Career_History!E53)-Career_History!D53+1),0),IF(Career_History!I54=TRUE,IF(A331&lt;Career_History!D54,0,MIN(A331,Career_History!E54)-Career_History!D54+1),0),IF(Career_History!I55=TRUE,IF(A331&lt;Career_History!D55,0,MIN(A331,Career_History!E55)-Career_History!D55+1),0),IF(Career_History!I56=TRUE,IF(A331&lt;Career_History!D56,0,MIN(A331,Career_History!E56)-Career_History!D56+1),0),IF(Career_History!I57=TRUE,IF(A331&lt;Career_History!D57,0,MIN(A331,Career_History!E57)-Career_History!D57+1),0))/365.2425</f>
        <v>0</v>
      </c>
      <c r="BC331" s="9">
        <f>SUM(IF(Career_History!H53=TRUE,IF(A331&lt;Career_History!D53,0,MIN(A331,Career_History!E53)-Career_History!D53+1),0),IF(Career_History!H54=TRUE,IF(A331&lt;Career_History!D54,0,MIN(A331,Career_History!E54)-Career_History!D54+1),0),IF(Career_History!H55=TRUE,IF(A331&lt;Career_History!D55,0,MIN(A331,Career_History!E55)-Career_History!D55+1),0),IF(Career_History!H56=TRUE,IF(A331&lt;Career_History!D56,0,MIN(A331,Career_History!E56)-Career_History!D56+1),0),IF(Career_History!H57=TRUE,IF(A331&lt;Career_History!D57,0,MIN(A331,Career_History!E57)-Career_History!D57+1),0))/365.2425</f>
        <v>45.917438414204263</v>
      </c>
      <c r="BD331" s="9">
        <f>SUM(IF(Career_History!G58=TRUE,IF(A331&lt;Career_History!D58,0,MIN(A331,Career_History!E58)-Career_History!D58+1),0),IF(Career_History!G59=TRUE,IF(A331&lt;Career_History!D59,0,MIN(A331,Career_History!E59)-Career_History!D59+1),0),IF(Career_History!G60=TRUE,IF(A331&lt;Career_History!D60,0,MIN(A331,Career_History!E60)-Career_History!D60+1),0))/365.2425</f>
        <v>21.413170701657119</v>
      </c>
      <c r="BE331" s="9">
        <f>SUM(IF(Career_History!I58=TRUE,IF(A331&lt;Career_History!D58,0,MIN(A331,Career_History!E58)-Career_History!D58+1),0),IF(Career_History!I59=TRUE,IF(A331&lt;Career_History!D59,0,MIN(A331,Career_History!E59)-Career_History!D59+1),0),IF(Career_History!I60=TRUE,IF(A331&lt;Career_History!D60,0,MIN(A331,Career_History!E60)-Career_History!D60+1),0))/365.2425</f>
        <v>20.000410686051048</v>
      </c>
      <c r="BF331" s="9">
        <f>SUM(IF(Career_History!H58=TRUE,IF(A331&lt;Career_History!D58,0,MIN(A331,Career_History!E58)-Career_History!D58+1),0),IF(Career_History!H59=TRUE,IF(A331&lt;Career_History!D59,0,MIN(A331,Career_History!E59)-Career_History!D59+1),0),IF(Career_History!H60=TRUE,IF(A331&lt;Career_History!D60,0,MIN(A331,Career_History!E60)-Career_History!D60+1),0))/365.2425</f>
        <v>1.41276001560607</v>
      </c>
      <c r="BG331" s="9">
        <f>SUM(IF(Career_History!G61=TRUE,IF(A331&lt;Career_History!D61,0,MIN(A331,Career_History!E61)-Career_History!D61+1),0),IF(Career_History!G62=TRUE,IF(A331&lt;Career_History!D62,0,MIN(A331,Career_History!E62)-Career_History!D62+1),0),IF(Career_History!G63=TRUE,IF(A331&lt;Career_History!D63,0,MIN(A331,Career_History!E63)-Career_History!D63+1),0))/365.2425</f>
        <v>20.413834644106313</v>
      </c>
      <c r="BH331" s="9">
        <f>SUM(IF(Career_History!I61=TRUE,IF(A331&lt;Career_History!D61,0,MIN(A331,Career_History!E61)-Career_History!D61+1),0),IF(Career_History!I62=TRUE,IF(A331&lt;Career_History!D62,0,MIN(A331,Career_History!E62)-Career_History!D62+1),0),IF(Career_History!I63=TRUE,IF(A331&lt;Career_History!D63,0,MIN(A331,Career_History!E63)-Career_History!D63+1),0))/365.2425</f>
        <v>20.000410686051048</v>
      </c>
      <c r="BI331" s="9">
        <f>SUM(IF(Career_History!H61=TRUE,IF(A331&lt;Career_History!D61,0,MIN(A331,Career_History!E61)-Career_History!D61+1),0),IF(Career_History!H62=TRUE,IF(A331&lt;Career_History!D62,0,MIN(A331,Career_History!E62)-Career_History!D62+1),0),IF(Career_History!H63=TRUE,IF(A331&lt;Career_History!D63,0,MIN(A331,Career_History!E63)-Career_History!D63+1),0))/365.2425</f>
        <v>0.41342395805526466</v>
      </c>
      <c r="BJ331" s="9"/>
      <c r="BK331" s="9"/>
      <c r="BL331" s="9"/>
      <c r="BM331" s="9"/>
      <c r="BN331" s="9"/>
      <c r="BO331" s="9"/>
    </row>
    <row r="332" spans="1:67">
      <c r="A332" s="8">
        <v>44742</v>
      </c>
      <c r="B332" s="9">
        <f t="shared" si="15"/>
        <v>29.798284701260123</v>
      </c>
      <c r="C332" s="9">
        <f t="shared" si="16"/>
        <v>11.417072219142076</v>
      </c>
      <c r="D332" s="9">
        <f t="shared" si="17"/>
        <v>13.697201174562105</v>
      </c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>
        <f>SUM(IF(Career_History!G47=TRUE,IF(A332&lt;Career_History!D47,0,MIN(A332,Career_History!E47)-Career_History!D47+1),0),IF(Career_History!G48=TRUE,IF(A332&lt;Career_History!D48,0,MIN(A332,Career_History!E48)-Career_History!D48+1),0),IF(Career_History!G49=TRUE,IF(A332&lt;Career_History!D49,0,MIN(A332,Career_History!E49)-Career_History!D49+1),0))/365.2425</f>
        <v>33.999329212783287</v>
      </c>
      <c r="AV332" s="9">
        <f>SUM(IF(Career_History!I47=TRUE,IF(A332&lt;Career_History!D47,0,MIN(A332,Career_History!E47)-Career_History!D47+1),0),IF(Career_History!I48=TRUE,IF(A332&lt;Career_History!D48,0,MIN(A332,Career_History!E48)-Career_History!D48+1),0),IF(Career_History!I49=TRUE,IF(A332&lt;Career_History!D49,0,MIN(A332,Career_History!E49)-Career_History!D49+1),0))/365.2425</f>
        <v>16.999664606391644</v>
      </c>
      <c r="AW332" s="9">
        <f>SUM(IF(Career_History!H47=TRUE,IF(A332&lt;Career_History!D47,0,MIN(A332,Career_History!E47)-Career_History!D47+1),0),IF(Career_History!H48=TRUE,IF(A332&lt;Career_History!D48,0,MIN(A332,Career_History!E48)-Career_History!D48+1),0),IF(Career_History!H49=TRUE,IF(A332&lt;Career_History!D49,0,MIN(A332,Career_History!E49)-Career_History!D49+1),0))/365.2425</f>
        <v>16.999664606391644</v>
      </c>
      <c r="AX332" s="9">
        <f>SUM(IF(Career_History!G50=TRUE,IF(A332&lt;Career_History!D50,0,MIN(A332,Career_History!E50)-Career_History!D50+1),0),IF(Career_History!G51=TRUE,IF(A332&lt;Career_History!D51,0,MIN(A332,Career_History!E51)-Career_History!D51+1),0),IF(Career_History!G52=TRUE,IF(A332&lt;Career_History!D52,0,MIN(A332,Career_History!E52)-Career_History!D52+1),0))/365.2425</f>
        <v>27.001238902920662</v>
      </c>
      <c r="AY332" s="9">
        <f>SUM(IF(Career_History!I50=TRUE,IF(A332&lt;Career_History!D50,0,MIN(A332,Career_History!E50)-Career_History!D50+1),0),IF(Career_History!I51=TRUE,IF(A332&lt;Career_History!D51,0,MIN(A332,Career_History!E51)-Career_History!D51+1),0),IF(Career_History!I52=TRUE,IF(A332&lt;Career_History!D52,0,MIN(A332,Career_History!E52)-Career_History!D52+1),0))/365.2425</f>
        <v>8.4875117216643731E-2</v>
      </c>
      <c r="AZ332" s="9">
        <f>SUM(IF(Career_History!H50=TRUE,IF(A332&lt;Career_History!D50,0,MIN(A332,Career_History!E50)-Career_History!D50+1),0),IF(Career_History!H51=TRUE,IF(A332&lt;Career_History!D51,0,MIN(A332,Career_History!E51)-Career_History!D51+1),0),IF(Career_History!H52=TRUE,IF(A332&lt;Career_History!D52,0,MIN(A332,Career_History!E52)-Career_History!D52+1),0))/365.2425</f>
        <v>3.496307247924324</v>
      </c>
      <c r="BA332" s="9">
        <f>SUM(IF(Career_History!G53=TRUE,IF(A332&lt;Career_History!D53,0,MIN(A332,Career_History!E53)-Career_History!D53+1),0),IF(Career_History!G54=TRUE,IF(A332&lt;Career_History!D54,0,MIN(A332,Career_History!E54)-Career_History!D54+1),0),IF(Career_History!G55=TRUE,IF(A332&lt;Career_History!D55,0,MIN(A332,Career_History!E55)-Career_History!D55+1),0),IF(Career_History!G56=TRUE,IF(A332&lt;Career_History!D56,0,MIN(A332,Career_History!E56)-Career_History!D56+1),0),IF(Career_History!G57=TRUE,IF(A332&lt;Career_History!D57,0,MIN(A332,Career_History!E57)-Career_History!D57+1),0))/365.2425</f>
        <v>45.999575624413914</v>
      </c>
      <c r="BB332" s="9">
        <f>SUM(IF(Career_History!I53=TRUE,IF(A332&lt;Career_History!D53,0,MIN(A332,Career_History!E53)-Career_History!D53+1),0),IF(Career_History!I54=TRUE,IF(A332&lt;Career_History!D54,0,MIN(A332,Career_History!E54)-Career_History!D54+1),0),IF(Career_History!I55=TRUE,IF(A332&lt;Career_History!D55,0,MIN(A332,Career_History!E55)-Career_History!D55+1),0),IF(Career_History!I56=TRUE,IF(A332&lt;Career_History!D56,0,MIN(A332,Career_History!E56)-Career_History!D56+1),0),IF(Career_History!I57=TRUE,IF(A332&lt;Career_History!D57,0,MIN(A332,Career_History!E57)-Career_History!D57+1),0))/365.2425</f>
        <v>0</v>
      </c>
      <c r="BC332" s="9">
        <f>SUM(IF(Career_History!H53=TRUE,IF(A332&lt;Career_History!D53,0,MIN(A332,Career_History!E53)-Career_History!D53+1),0),IF(Career_History!H54=TRUE,IF(A332&lt;Career_History!D54,0,MIN(A332,Career_History!E54)-Career_History!D54+1),0),IF(Career_History!H55=TRUE,IF(A332&lt;Career_History!D55,0,MIN(A332,Career_History!E55)-Career_History!D55+1),0),IF(Career_History!H56=TRUE,IF(A332&lt;Career_History!D56,0,MIN(A332,Career_History!E56)-Career_History!D56+1),0),IF(Career_History!H57=TRUE,IF(A332&lt;Career_History!D57,0,MIN(A332,Career_History!E57)-Career_History!D57+1),0))/365.2425</f>
        <v>45.999575624413914</v>
      </c>
      <c r="BD332" s="9">
        <f>SUM(IF(Career_History!G58=TRUE,IF(A332&lt;Career_History!D58,0,MIN(A332,Career_History!E58)-Career_History!D58+1),0),IF(Career_History!G59=TRUE,IF(A332&lt;Career_History!D59,0,MIN(A332,Career_History!E59)-Career_History!D59+1),0),IF(Career_History!G60=TRUE,IF(A332&lt;Career_History!D60,0,MIN(A332,Career_History!E60)-Career_History!D60+1),0))/365.2425</f>
        <v>21.495307911866774</v>
      </c>
      <c r="BE332" s="9">
        <f>SUM(IF(Career_History!I58=TRUE,IF(A332&lt;Career_History!D58,0,MIN(A332,Career_History!E58)-Career_History!D58+1),0),IF(Career_History!I59=TRUE,IF(A332&lt;Career_History!D59,0,MIN(A332,Career_History!E59)-Career_History!D59+1),0),IF(Career_History!I60=TRUE,IF(A332&lt;Career_History!D60,0,MIN(A332,Career_History!E60)-Career_History!D60+1),0))/365.2425</f>
        <v>20.000410686051048</v>
      </c>
      <c r="BF332" s="9">
        <f>SUM(IF(Career_History!H58=TRUE,IF(A332&lt;Career_History!D58,0,MIN(A332,Career_History!E58)-Career_History!D58+1),0),IF(Career_History!H59=TRUE,IF(A332&lt;Career_History!D59,0,MIN(A332,Career_History!E59)-Career_History!D59+1),0),IF(Career_History!H60=TRUE,IF(A332&lt;Career_History!D60,0,MIN(A332,Career_History!E60)-Career_History!D60+1),0))/365.2425</f>
        <v>1.4948972258157252</v>
      </c>
      <c r="BG332" s="9">
        <f>SUM(IF(Career_History!G61=TRUE,IF(A332&lt;Career_History!D61,0,MIN(A332,Career_History!E61)-Career_History!D61+1),0),IF(Career_History!G62=TRUE,IF(A332&lt;Career_History!D62,0,MIN(A332,Career_History!E62)-Career_History!D62+1),0),IF(Career_History!G63=TRUE,IF(A332&lt;Career_History!D63,0,MIN(A332,Career_History!E63)-Career_History!D63+1),0))/365.2425</f>
        <v>20.495971854315968</v>
      </c>
      <c r="BH332" s="9">
        <f>SUM(IF(Career_History!I61=TRUE,IF(A332&lt;Career_History!D61,0,MIN(A332,Career_History!E61)-Career_History!D61+1),0),IF(Career_History!I62=TRUE,IF(A332&lt;Career_History!D62,0,MIN(A332,Career_History!E62)-Career_History!D62+1),0),IF(Career_History!I63=TRUE,IF(A332&lt;Career_History!D63,0,MIN(A332,Career_History!E63)-Career_History!D63+1),0))/365.2425</f>
        <v>20.000410686051048</v>
      </c>
      <c r="BI332" s="9">
        <f>SUM(IF(Career_History!H61=TRUE,IF(A332&lt;Career_History!D61,0,MIN(A332,Career_History!E61)-Career_History!D61+1),0),IF(Career_History!H62=TRUE,IF(A332&lt;Career_History!D62,0,MIN(A332,Career_History!E62)-Career_History!D62+1),0),IF(Career_History!H63=TRUE,IF(A332&lt;Career_History!D63,0,MIN(A332,Career_History!E63)-Career_History!D63+1),0))/365.2425</f>
        <v>0.49556116826491986</v>
      </c>
      <c r="BJ332" s="9"/>
      <c r="BK332" s="9"/>
      <c r="BL332" s="9"/>
      <c r="BM332" s="9"/>
      <c r="BN332" s="9"/>
      <c r="BO332" s="9"/>
    </row>
    <row r="333" spans="1:67">
      <c r="A333" s="8">
        <v>44773</v>
      </c>
      <c r="B333" s="9">
        <f t="shared" si="15"/>
        <v>29.88315981847677</v>
      </c>
      <c r="C333" s="9">
        <f t="shared" si="16"/>
        <v>11.417072219142076</v>
      </c>
      <c r="D333" s="9">
        <f t="shared" si="17"/>
        <v>13.782076291778754</v>
      </c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>
        <f>SUM(IF(Career_History!G47=TRUE,IF(A333&lt;Career_History!D47,0,MIN(A333,Career_History!E47)-Career_History!D47+1),0),IF(Career_History!G48=TRUE,IF(A333&lt;Career_History!D48,0,MIN(A333,Career_History!E48)-Career_History!D48+1),0),IF(Career_History!G49=TRUE,IF(A333&lt;Career_History!D49,0,MIN(A333,Career_History!E49)-Career_History!D49+1),0))/365.2425</f>
        <v>34.084204329999928</v>
      </c>
      <c r="AV333" s="9">
        <f>SUM(IF(Career_History!I47=TRUE,IF(A333&lt;Career_History!D47,0,MIN(A333,Career_History!E47)-Career_History!D47+1),0),IF(Career_History!I48=TRUE,IF(A333&lt;Career_History!D48,0,MIN(A333,Career_History!E48)-Career_History!D48+1),0),IF(Career_History!I49=TRUE,IF(A333&lt;Career_History!D49,0,MIN(A333,Career_History!E49)-Career_History!D49+1),0))/365.2425</f>
        <v>16.999664606391644</v>
      </c>
      <c r="AW333" s="9">
        <f>SUM(IF(Career_History!H47=TRUE,IF(A333&lt;Career_History!D47,0,MIN(A333,Career_History!E47)-Career_History!D47+1),0),IF(Career_History!H48=TRUE,IF(A333&lt;Career_History!D48,0,MIN(A333,Career_History!E48)-Career_History!D48+1),0),IF(Career_History!H49=TRUE,IF(A333&lt;Career_History!D49,0,MIN(A333,Career_History!E49)-Career_History!D49+1),0))/365.2425</f>
        <v>17.084539723608287</v>
      </c>
      <c r="AX333" s="9">
        <f>SUM(IF(Career_History!G50=TRUE,IF(A333&lt;Career_History!D50,0,MIN(A333,Career_History!E50)-Career_History!D50+1),0),IF(Career_History!G51=TRUE,IF(A333&lt;Career_History!D51,0,MIN(A333,Career_History!E51)-Career_History!D51+1),0),IF(Career_History!G52=TRUE,IF(A333&lt;Career_History!D52,0,MIN(A333,Career_History!E52)-Career_History!D52+1),0))/365.2425</f>
        <v>27.086114020137305</v>
      </c>
      <c r="AY333" s="9">
        <f>SUM(IF(Career_History!I50=TRUE,IF(A333&lt;Career_History!D50,0,MIN(A333,Career_History!E50)-Career_History!D50+1),0),IF(Career_History!I51=TRUE,IF(A333&lt;Career_History!D51,0,MIN(A333,Career_History!E51)-Career_History!D51+1),0),IF(Career_History!I52=TRUE,IF(A333&lt;Career_History!D52,0,MIN(A333,Career_History!E52)-Career_History!D52+1),0))/365.2425</f>
        <v>8.4875117216643731E-2</v>
      </c>
      <c r="AZ333" s="9">
        <f>SUM(IF(Career_History!H50=TRUE,IF(A333&lt;Career_History!D50,0,MIN(A333,Career_History!E50)-Career_History!D50+1),0),IF(Career_History!H51=TRUE,IF(A333&lt;Career_History!D51,0,MIN(A333,Career_History!E51)-Career_History!D51+1),0),IF(Career_History!H52=TRUE,IF(A333&lt;Career_History!D52,0,MIN(A333,Career_History!E52)-Career_History!D52+1),0))/365.2425</f>
        <v>3.5811823651409678</v>
      </c>
      <c r="BA333" s="9">
        <f>SUM(IF(Career_History!G53=TRUE,IF(A333&lt;Career_History!D53,0,MIN(A333,Career_History!E53)-Career_History!D53+1),0),IF(Career_History!G54=TRUE,IF(A333&lt;Career_History!D54,0,MIN(A333,Career_History!E54)-Career_History!D54+1),0),IF(Career_History!G55=TRUE,IF(A333&lt;Career_History!D55,0,MIN(A333,Career_History!E55)-Career_History!D55+1),0),IF(Career_History!G56=TRUE,IF(A333&lt;Career_History!D56,0,MIN(A333,Career_History!E56)-Career_History!D56+1),0),IF(Career_History!G57=TRUE,IF(A333&lt;Career_History!D57,0,MIN(A333,Career_History!E57)-Career_History!D57+1),0))/365.2425</f>
        <v>46.084450741630562</v>
      </c>
      <c r="BB333" s="9">
        <f>SUM(IF(Career_History!I53=TRUE,IF(A333&lt;Career_History!D53,0,MIN(A333,Career_History!E53)-Career_History!D53+1),0),IF(Career_History!I54=TRUE,IF(A333&lt;Career_History!D54,0,MIN(A333,Career_History!E54)-Career_History!D54+1),0),IF(Career_History!I55=TRUE,IF(A333&lt;Career_History!D55,0,MIN(A333,Career_History!E55)-Career_History!D55+1),0),IF(Career_History!I56=TRUE,IF(A333&lt;Career_History!D56,0,MIN(A333,Career_History!E56)-Career_History!D56+1),0),IF(Career_History!I57=TRUE,IF(A333&lt;Career_History!D57,0,MIN(A333,Career_History!E57)-Career_History!D57+1),0))/365.2425</f>
        <v>0</v>
      </c>
      <c r="BC333" s="9">
        <f>SUM(IF(Career_History!H53=TRUE,IF(A333&lt;Career_History!D53,0,MIN(A333,Career_History!E53)-Career_History!D53+1),0),IF(Career_History!H54=TRUE,IF(A333&lt;Career_History!D54,0,MIN(A333,Career_History!E54)-Career_History!D54+1),0),IF(Career_History!H55=TRUE,IF(A333&lt;Career_History!D55,0,MIN(A333,Career_History!E55)-Career_History!D55+1),0),IF(Career_History!H56=TRUE,IF(A333&lt;Career_History!D56,0,MIN(A333,Career_History!E56)-Career_History!D56+1),0),IF(Career_History!H57=TRUE,IF(A333&lt;Career_History!D57,0,MIN(A333,Career_History!E57)-Career_History!D57+1),0))/365.2425</f>
        <v>46.084450741630562</v>
      </c>
      <c r="BD333" s="9">
        <f>SUM(IF(Career_History!G58=TRUE,IF(A333&lt;Career_History!D58,0,MIN(A333,Career_History!E58)-Career_History!D58+1),0),IF(Career_History!G59=TRUE,IF(A333&lt;Career_History!D59,0,MIN(A333,Career_History!E59)-Career_History!D59+1),0),IF(Career_History!G60=TRUE,IF(A333&lt;Career_History!D60,0,MIN(A333,Career_History!E60)-Career_History!D60+1),0))/365.2425</f>
        <v>21.580183029083418</v>
      </c>
      <c r="BE333" s="9">
        <f>SUM(IF(Career_History!I58=TRUE,IF(A333&lt;Career_History!D58,0,MIN(A333,Career_History!E58)-Career_History!D58+1),0),IF(Career_History!I59=TRUE,IF(A333&lt;Career_History!D59,0,MIN(A333,Career_History!E59)-Career_History!D59+1),0),IF(Career_History!I60=TRUE,IF(A333&lt;Career_History!D60,0,MIN(A333,Career_History!E60)-Career_History!D60+1),0))/365.2425</f>
        <v>20.000410686051048</v>
      </c>
      <c r="BF333" s="9">
        <f>SUM(IF(Career_History!H58=TRUE,IF(A333&lt;Career_History!D58,0,MIN(A333,Career_History!E58)-Career_History!D58+1),0),IF(Career_History!H59=TRUE,IF(A333&lt;Career_History!D59,0,MIN(A333,Career_History!E59)-Career_History!D59+1),0),IF(Career_History!H60=TRUE,IF(A333&lt;Career_History!D60,0,MIN(A333,Career_History!E60)-Career_History!D60+1),0))/365.2425</f>
        <v>1.5797723430323689</v>
      </c>
      <c r="BG333" s="9">
        <f>SUM(IF(Career_History!G61=TRUE,IF(A333&lt;Career_History!D61,0,MIN(A333,Career_History!E61)-Career_History!D61+1),0),IF(Career_History!G62=TRUE,IF(A333&lt;Career_History!D62,0,MIN(A333,Career_History!E62)-Career_History!D62+1),0),IF(Career_History!G63=TRUE,IF(A333&lt;Career_History!D63,0,MIN(A333,Career_History!E63)-Career_History!D63+1),0))/365.2425</f>
        <v>20.580846971532612</v>
      </c>
      <c r="BH333" s="9">
        <f>SUM(IF(Career_History!I61=TRUE,IF(A333&lt;Career_History!D61,0,MIN(A333,Career_History!E61)-Career_History!D61+1),0),IF(Career_History!I62=TRUE,IF(A333&lt;Career_History!D62,0,MIN(A333,Career_History!E62)-Career_History!D62+1),0),IF(Career_History!I63=TRUE,IF(A333&lt;Career_History!D63,0,MIN(A333,Career_History!E63)-Career_History!D63+1),0))/365.2425</f>
        <v>20.000410686051048</v>
      </c>
      <c r="BI333" s="9">
        <f>SUM(IF(Career_History!H61=TRUE,IF(A333&lt;Career_History!D61,0,MIN(A333,Career_History!E61)-Career_History!D61+1),0),IF(Career_History!H62=TRUE,IF(A333&lt;Career_History!D62,0,MIN(A333,Career_History!E62)-Career_History!D62+1),0),IF(Career_History!H63=TRUE,IF(A333&lt;Career_History!D63,0,MIN(A333,Career_History!E63)-Career_History!D63+1),0))/365.2425</f>
        <v>0.58043628548156356</v>
      </c>
      <c r="BJ333" s="9"/>
      <c r="BK333" s="9"/>
      <c r="BL333" s="9"/>
      <c r="BM333" s="9"/>
      <c r="BN333" s="9"/>
      <c r="BO333" s="9"/>
    </row>
    <row r="334" spans="1:67">
      <c r="A334" s="8">
        <v>44804</v>
      </c>
      <c r="B334" s="9">
        <f t="shared" si="15"/>
        <v>29.968034935693407</v>
      </c>
      <c r="C334" s="9">
        <f t="shared" si="16"/>
        <v>11.417072219142076</v>
      </c>
      <c r="D334" s="9">
        <f t="shared" si="17"/>
        <v>13.866951408995394</v>
      </c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  <c r="AU334" s="9">
        <f>SUM(IF(Career_History!G47=TRUE,IF(A334&lt;Career_History!D47,0,MIN(A334,Career_History!E47)-Career_History!D47+1),0),IF(Career_History!G48=TRUE,IF(A334&lt;Career_History!D48,0,MIN(A334,Career_History!E48)-Career_History!D48+1),0),IF(Career_History!G49=TRUE,IF(A334&lt;Career_History!D49,0,MIN(A334,Career_History!E49)-Career_History!D49+1),0))/365.2425</f>
        <v>34.169079447216575</v>
      </c>
      <c r="AV334" s="9">
        <f>SUM(IF(Career_History!I47=TRUE,IF(A334&lt;Career_History!D47,0,MIN(A334,Career_History!E47)-Career_History!D47+1),0),IF(Career_History!I48=TRUE,IF(A334&lt;Career_History!D48,0,MIN(A334,Career_History!E48)-Career_History!D48+1),0),IF(Career_History!I49=TRUE,IF(A334&lt;Career_History!D49,0,MIN(A334,Career_History!E49)-Career_History!D49+1),0))/365.2425</f>
        <v>16.999664606391644</v>
      </c>
      <c r="AW334" s="9">
        <f>SUM(IF(Career_History!H47=TRUE,IF(A334&lt;Career_History!D47,0,MIN(A334,Career_History!E47)-Career_History!D47+1),0),IF(Career_History!H48=TRUE,IF(A334&lt;Career_History!D48,0,MIN(A334,Career_History!E48)-Career_History!D48+1),0),IF(Career_History!H49=TRUE,IF(A334&lt;Career_History!D49,0,MIN(A334,Career_History!E49)-Career_History!D49+1),0))/365.2425</f>
        <v>17.169414840824931</v>
      </c>
      <c r="AX334" s="9">
        <f>SUM(IF(Career_History!G50=TRUE,IF(A334&lt;Career_History!D50,0,MIN(A334,Career_History!E50)-Career_History!D50+1),0),IF(Career_History!G51=TRUE,IF(A334&lt;Career_History!D51,0,MIN(A334,Career_History!E51)-Career_History!D51+1),0),IF(Career_History!G52=TRUE,IF(A334&lt;Career_History!D52,0,MIN(A334,Career_History!E52)-Career_History!D52+1),0))/365.2425</f>
        <v>27.170989137353949</v>
      </c>
      <c r="AY334" s="9">
        <f>SUM(IF(Career_History!I50=TRUE,IF(A334&lt;Career_History!D50,0,MIN(A334,Career_History!E50)-Career_History!D50+1),0),IF(Career_History!I51=TRUE,IF(A334&lt;Career_History!D51,0,MIN(A334,Career_History!E51)-Career_History!D51+1),0),IF(Career_History!I52=TRUE,IF(A334&lt;Career_History!D52,0,MIN(A334,Career_History!E52)-Career_History!D52+1),0))/365.2425</f>
        <v>8.4875117216643731E-2</v>
      </c>
      <c r="AZ334" s="9">
        <f>SUM(IF(Career_History!H50=TRUE,IF(A334&lt;Career_History!D50,0,MIN(A334,Career_History!E50)-Career_History!D50+1),0),IF(Career_History!H51=TRUE,IF(A334&lt;Career_History!D51,0,MIN(A334,Career_History!E51)-Career_History!D51+1),0),IF(Career_History!H52=TRUE,IF(A334&lt;Career_History!D52,0,MIN(A334,Career_History!E52)-Career_History!D52+1),0))/365.2425</f>
        <v>3.6660574823576115</v>
      </c>
      <c r="BA334" s="9">
        <f>SUM(IF(Career_History!G53=TRUE,IF(A334&lt;Career_History!D53,0,MIN(A334,Career_History!E53)-Career_History!D53+1),0),IF(Career_History!G54=TRUE,IF(A334&lt;Career_History!D54,0,MIN(A334,Career_History!E54)-Career_History!D54+1),0),IF(Career_History!G55=TRUE,IF(A334&lt;Career_History!D55,0,MIN(A334,Career_History!E55)-Career_History!D55+1),0),IF(Career_History!G56=TRUE,IF(A334&lt;Career_History!D56,0,MIN(A334,Career_History!E56)-Career_History!D56+1),0),IF(Career_History!G57=TRUE,IF(A334&lt;Career_History!D57,0,MIN(A334,Career_History!E57)-Career_History!D57+1),0))/365.2425</f>
        <v>46.169325858847202</v>
      </c>
      <c r="BB334" s="9">
        <f>SUM(IF(Career_History!I53=TRUE,IF(A334&lt;Career_History!D53,0,MIN(A334,Career_History!E53)-Career_History!D53+1),0),IF(Career_History!I54=TRUE,IF(A334&lt;Career_History!D54,0,MIN(A334,Career_History!E54)-Career_History!D54+1),0),IF(Career_History!I55=TRUE,IF(A334&lt;Career_History!D55,0,MIN(A334,Career_History!E55)-Career_History!D55+1),0),IF(Career_History!I56=TRUE,IF(A334&lt;Career_History!D56,0,MIN(A334,Career_History!E56)-Career_History!D56+1),0),IF(Career_History!I57=TRUE,IF(A334&lt;Career_History!D57,0,MIN(A334,Career_History!E57)-Career_History!D57+1),0))/365.2425</f>
        <v>0</v>
      </c>
      <c r="BC334" s="9">
        <f>SUM(IF(Career_History!H53=TRUE,IF(A334&lt;Career_History!D53,0,MIN(A334,Career_History!E53)-Career_History!D53+1),0),IF(Career_History!H54=TRUE,IF(A334&lt;Career_History!D54,0,MIN(A334,Career_History!E54)-Career_History!D54+1),0),IF(Career_History!H55=TRUE,IF(A334&lt;Career_History!D55,0,MIN(A334,Career_History!E55)-Career_History!D55+1),0),IF(Career_History!H56=TRUE,IF(A334&lt;Career_History!D56,0,MIN(A334,Career_History!E56)-Career_History!D56+1),0),IF(Career_History!H57=TRUE,IF(A334&lt;Career_History!D57,0,MIN(A334,Career_History!E57)-Career_History!D57+1),0))/365.2425</f>
        <v>46.169325858847202</v>
      </c>
      <c r="BD334" s="9">
        <f>SUM(IF(Career_History!G58=TRUE,IF(A334&lt;Career_History!D58,0,MIN(A334,Career_History!E58)-Career_History!D58+1),0),IF(Career_History!G59=TRUE,IF(A334&lt;Career_History!D59,0,MIN(A334,Career_History!E59)-Career_History!D59+1),0),IF(Career_History!G60=TRUE,IF(A334&lt;Career_History!D60,0,MIN(A334,Career_History!E60)-Career_History!D60+1),0))/365.2425</f>
        <v>21.665058146300062</v>
      </c>
      <c r="BE334" s="9">
        <f>SUM(IF(Career_History!I58=TRUE,IF(A334&lt;Career_History!D58,0,MIN(A334,Career_History!E58)-Career_History!D58+1),0),IF(Career_History!I59=TRUE,IF(A334&lt;Career_History!D59,0,MIN(A334,Career_History!E59)-Career_History!D59+1),0),IF(Career_History!I60=TRUE,IF(A334&lt;Career_History!D60,0,MIN(A334,Career_History!E60)-Career_History!D60+1),0))/365.2425</f>
        <v>20.000410686051048</v>
      </c>
      <c r="BF334" s="9">
        <f>SUM(IF(Career_History!H58=TRUE,IF(A334&lt;Career_History!D58,0,MIN(A334,Career_History!E58)-Career_History!D58+1),0),IF(Career_History!H59=TRUE,IF(A334&lt;Career_History!D59,0,MIN(A334,Career_History!E59)-Career_History!D59+1),0),IF(Career_History!H60=TRUE,IF(A334&lt;Career_History!D60,0,MIN(A334,Career_History!E60)-Career_History!D60+1),0))/365.2425</f>
        <v>1.6646474602490127</v>
      </c>
      <c r="BG334" s="9">
        <f>SUM(IF(Career_History!G61=TRUE,IF(A334&lt;Career_History!D61,0,MIN(A334,Career_History!E61)-Career_History!D61+1),0),IF(Career_History!G62=TRUE,IF(A334&lt;Career_History!D62,0,MIN(A334,Career_History!E62)-Career_History!D62+1),0),IF(Career_History!G63=TRUE,IF(A334&lt;Career_History!D63,0,MIN(A334,Career_History!E63)-Career_History!D63+1),0))/365.2425</f>
        <v>20.665722088749256</v>
      </c>
      <c r="BH334" s="9">
        <f>SUM(IF(Career_History!I61=TRUE,IF(A334&lt;Career_History!D61,0,MIN(A334,Career_History!E61)-Career_History!D61+1),0),IF(Career_History!I62=TRUE,IF(A334&lt;Career_History!D62,0,MIN(A334,Career_History!E62)-Career_History!D62+1),0),IF(Career_History!I63=TRUE,IF(A334&lt;Career_History!D63,0,MIN(A334,Career_History!E63)-Career_History!D63+1),0))/365.2425</f>
        <v>20.000410686051048</v>
      </c>
      <c r="BI334" s="9">
        <f>SUM(IF(Career_History!H61=TRUE,IF(A334&lt;Career_History!D61,0,MIN(A334,Career_History!E61)-Career_History!D61+1),0),IF(Career_History!H62=TRUE,IF(A334&lt;Career_History!D62,0,MIN(A334,Career_History!E62)-Career_History!D62+1),0),IF(Career_History!H63=TRUE,IF(A334&lt;Career_History!D63,0,MIN(A334,Career_History!E63)-Career_History!D63+1),0))/365.2425</f>
        <v>0.66531140269820732</v>
      </c>
      <c r="BJ334" s="9"/>
      <c r="BK334" s="9"/>
      <c r="BL334" s="9"/>
      <c r="BM334" s="9"/>
      <c r="BN334" s="9"/>
      <c r="BO334" s="9"/>
    </row>
    <row r="335" spans="1:67">
      <c r="A335" s="8">
        <v>44834</v>
      </c>
      <c r="B335" s="9">
        <f t="shared" si="15"/>
        <v>30.050172145903058</v>
      </c>
      <c r="C335" s="9">
        <f t="shared" si="16"/>
        <v>11.417072219142076</v>
      </c>
      <c r="D335" s="9">
        <f t="shared" si="17"/>
        <v>13.949088619205048</v>
      </c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  <c r="AU335" s="9">
        <f>SUM(IF(Career_History!G47=TRUE,IF(A335&lt;Career_History!D47,0,MIN(A335,Career_History!E47)-Career_History!D47+1),0),IF(Career_History!G48=TRUE,IF(A335&lt;Career_History!D48,0,MIN(A335,Career_History!E48)-Career_History!D48+1),0),IF(Career_History!G49=TRUE,IF(A335&lt;Career_History!D49,0,MIN(A335,Career_History!E49)-Career_History!D49+1),0))/365.2425</f>
        <v>34.251216657426227</v>
      </c>
      <c r="AV335" s="9">
        <f>SUM(IF(Career_History!I47=TRUE,IF(A335&lt;Career_History!D47,0,MIN(A335,Career_History!E47)-Career_History!D47+1),0),IF(Career_History!I48=TRUE,IF(A335&lt;Career_History!D48,0,MIN(A335,Career_History!E48)-Career_History!D48+1),0),IF(Career_History!I49=TRUE,IF(A335&lt;Career_History!D49,0,MIN(A335,Career_History!E49)-Career_History!D49+1),0))/365.2425</f>
        <v>16.999664606391644</v>
      </c>
      <c r="AW335" s="9">
        <f>SUM(IF(Career_History!H47=TRUE,IF(A335&lt;Career_History!D47,0,MIN(A335,Career_History!E47)-Career_History!D47+1),0),IF(Career_History!H48=TRUE,IF(A335&lt;Career_History!D48,0,MIN(A335,Career_History!E48)-Career_History!D48+1),0),IF(Career_History!H49=TRUE,IF(A335&lt;Career_History!D49,0,MIN(A335,Career_History!E49)-Career_History!D49+1),0))/365.2425</f>
        <v>17.251552051034587</v>
      </c>
      <c r="AX335" s="9">
        <f>SUM(IF(Career_History!G50=TRUE,IF(A335&lt;Career_History!D50,0,MIN(A335,Career_History!E50)-Career_History!D50+1),0),IF(Career_History!G51=TRUE,IF(A335&lt;Career_History!D51,0,MIN(A335,Career_History!E51)-Career_History!D51+1),0),IF(Career_History!G52=TRUE,IF(A335&lt;Career_History!D52,0,MIN(A335,Career_History!E52)-Career_History!D52+1),0))/365.2425</f>
        <v>27.253126347563605</v>
      </c>
      <c r="AY335" s="9">
        <f>SUM(IF(Career_History!I50=TRUE,IF(A335&lt;Career_History!D50,0,MIN(A335,Career_History!E50)-Career_History!D50+1),0),IF(Career_History!I51=TRUE,IF(A335&lt;Career_History!D51,0,MIN(A335,Career_History!E51)-Career_History!D51+1),0),IF(Career_History!I52=TRUE,IF(A335&lt;Career_History!D52,0,MIN(A335,Career_History!E52)-Career_History!D52+1),0))/365.2425</f>
        <v>8.4875117216643731E-2</v>
      </c>
      <c r="AZ335" s="9">
        <f>SUM(IF(Career_History!H50=TRUE,IF(A335&lt;Career_History!D50,0,MIN(A335,Career_History!E50)-Career_History!D50+1),0),IF(Career_History!H51=TRUE,IF(A335&lt;Career_History!D51,0,MIN(A335,Career_History!E51)-Career_History!D51+1),0),IF(Career_History!H52=TRUE,IF(A335&lt;Career_History!D52,0,MIN(A335,Career_History!E52)-Career_History!D52+1),0))/365.2425</f>
        <v>3.7481946925672669</v>
      </c>
      <c r="BA335" s="9">
        <f>SUM(IF(Career_History!G53=TRUE,IF(A335&lt;Career_History!D53,0,MIN(A335,Career_History!E53)-Career_History!D53+1),0),IF(Career_History!G54=TRUE,IF(A335&lt;Career_History!D54,0,MIN(A335,Career_History!E54)-Career_History!D54+1),0),IF(Career_History!G55=TRUE,IF(A335&lt;Career_History!D55,0,MIN(A335,Career_History!E55)-Career_History!D55+1),0),IF(Career_History!G56=TRUE,IF(A335&lt;Career_History!D56,0,MIN(A335,Career_History!E56)-Career_History!D56+1),0),IF(Career_History!G57=TRUE,IF(A335&lt;Career_History!D57,0,MIN(A335,Career_History!E57)-Career_History!D57+1),0))/365.2425</f>
        <v>46.251463069056861</v>
      </c>
      <c r="BB335" s="9">
        <f>SUM(IF(Career_History!I53=TRUE,IF(A335&lt;Career_History!D53,0,MIN(A335,Career_History!E53)-Career_History!D53+1),0),IF(Career_History!I54=TRUE,IF(A335&lt;Career_History!D54,0,MIN(A335,Career_History!E54)-Career_History!D54+1),0),IF(Career_History!I55=TRUE,IF(A335&lt;Career_History!D55,0,MIN(A335,Career_History!E55)-Career_History!D55+1),0),IF(Career_History!I56=TRUE,IF(A335&lt;Career_History!D56,0,MIN(A335,Career_History!E56)-Career_History!D56+1),0),IF(Career_History!I57=TRUE,IF(A335&lt;Career_History!D57,0,MIN(A335,Career_History!E57)-Career_History!D57+1),0))/365.2425</f>
        <v>0</v>
      </c>
      <c r="BC335" s="9">
        <f>SUM(IF(Career_History!H53=TRUE,IF(A335&lt;Career_History!D53,0,MIN(A335,Career_History!E53)-Career_History!D53+1),0),IF(Career_History!H54=TRUE,IF(A335&lt;Career_History!D54,0,MIN(A335,Career_History!E54)-Career_History!D54+1),0),IF(Career_History!H55=TRUE,IF(A335&lt;Career_History!D55,0,MIN(A335,Career_History!E55)-Career_History!D55+1),0),IF(Career_History!H56=TRUE,IF(A335&lt;Career_History!D56,0,MIN(A335,Career_History!E56)-Career_History!D56+1),0),IF(Career_History!H57=TRUE,IF(A335&lt;Career_History!D57,0,MIN(A335,Career_History!E57)-Career_History!D57+1),0))/365.2425</f>
        <v>46.251463069056861</v>
      </c>
      <c r="BD335" s="9">
        <f>SUM(IF(Career_History!G58=TRUE,IF(A335&lt;Career_History!D58,0,MIN(A335,Career_History!E58)-Career_History!D58+1),0),IF(Career_History!G59=TRUE,IF(A335&lt;Career_History!D59,0,MIN(A335,Career_History!E59)-Career_History!D59+1),0),IF(Career_History!G60=TRUE,IF(A335&lt;Career_History!D60,0,MIN(A335,Career_History!E60)-Career_History!D60+1),0))/365.2425</f>
        <v>21.747195356509717</v>
      </c>
      <c r="BE335" s="9">
        <f>SUM(IF(Career_History!I58=TRUE,IF(A335&lt;Career_History!D58,0,MIN(A335,Career_History!E58)-Career_History!D58+1),0),IF(Career_History!I59=TRUE,IF(A335&lt;Career_History!D59,0,MIN(A335,Career_History!E59)-Career_History!D59+1),0),IF(Career_History!I60=TRUE,IF(A335&lt;Career_History!D60,0,MIN(A335,Career_History!E60)-Career_History!D60+1),0))/365.2425</f>
        <v>20.000410686051048</v>
      </c>
      <c r="BF335" s="9">
        <f>SUM(IF(Career_History!H58=TRUE,IF(A335&lt;Career_History!D58,0,MIN(A335,Career_History!E58)-Career_History!D58+1),0),IF(Career_History!H59=TRUE,IF(A335&lt;Career_History!D59,0,MIN(A335,Career_History!E59)-Career_History!D59+1),0),IF(Career_History!H60=TRUE,IF(A335&lt;Career_History!D60,0,MIN(A335,Career_History!E60)-Career_History!D60+1),0))/365.2425</f>
        <v>1.7467846704586678</v>
      </c>
      <c r="BG335" s="9">
        <f>SUM(IF(Career_History!G61=TRUE,IF(A335&lt;Career_History!D61,0,MIN(A335,Career_History!E61)-Career_History!D61+1),0),IF(Career_History!G62=TRUE,IF(A335&lt;Career_History!D62,0,MIN(A335,Career_History!E62)-Career_History!D62+1),0),IF(Career_History!G63=TRUE,IF(A335&lt;Career_History!D63,0,MIN(A335,Career_History!E63)-Career_History!D63+1),0))/365.2425</f>
        <v>20.747859298958911</v>
      </c>
      <c r="BH335" s="9">
        <f>SUM(IF(Career_History!I61=TRUE,IF(A335&lt;Career_History!D61,0,MIN(A335,Career_History!E61)-Career_History!D61+1),0),IF(Career_History!I62=TRUE,IF(A335&lt;Career_History!D62,0,MIN(A335,Career_History!E62)-Career_History!D62+1),0),IF(Career_History!I63=TRUE,IF(A335&lt;Career_History!D63,0,MIN(A335,Career_History!E63)-Career_History!D63+1),0))/365.2425</f>
        <v>20.000410686051048</v>
      </c>
      <c r="BI335" s="9">
        <f>SUM(IF(Career_History!H61=TRUE,IF(A335&lt;Career_History!D61,0,MIN(A335,Career_History!E61)-Career_History!D61+1),0),IF(Career_History!H62=TRUE,IF(A335&lt;Career_History!D62,0,MIN(A335,Career_History!E62)-Career_History!D62+1),0),IF(Career_History!H63=TRUE,IF(A335&lt;Career_History!D63,0,MIN(A335,Career_History!E63)-Career_History!D63+1),0))/365.2425</f>
        <v>0.74744861290786258</v>
      </c>
      <c r="BJ335" s="9"/>
      <c r="BK335" s="9"/>
      <c r="BL335" s="9"/>
      <c r="BM335" s="9"/>
      <c r="BN335" s="9"/>
      <c r="BO335" s="9"/>
    </row>
    <row r="336" spans="1:67">
      <c r="A336" s="8">
        <v>44865</v>
      </c>
      <c r="B336" s="9">
        <f t="shared" si="15"/>
        <v>30.135047263119709</v>
      </c>
      <c r="C336" s="9">
        <f t="shared" si="16"/>
        <v>11.417072219142076</v>
      </c>
      <c r="D336" s="9">
        <f t="shared" si="17"/>
        <v>14.033963736421692</v>
      </c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  <c r="AU336" s="9">
        <f>SUM(IF(Career_History!G47=TRUE,IF(A336&lt;Career_History!D47,0,MIN(A336,Career_History!E47)-Career_History!D47+1),0),IF(Career_History!G48=TRUE,IF(A336&lt;Career_History!D48,0,MIN(A336,Career_History!E48)-Career_History!D48+1),0),IF(Career_History!G49=TRUE,IF(A336&lt;Career_History!D49,0,MIN(A336,Career_History!E49)-Career_History!D49+1),0))/365.2425</f>
        <v>34.336091774642874</v>
      </c>
      <c r="AV336" s="9">
        <f>SUM(IF(Career_History!I47=TRUE,IF(A336&lt;Career_History!D47,0,MIN(A336,Career_History!E47)-Career_History!D47+1),0),IF(Career_History!I48=TRUE,IF(A336&lt;Career_History!D48,0,MIN(A336,Career_History!E48)-Career_History!D48+1),0),IF(Career_History!I49=TRUE,IF(A336&lt;Career_History!D49,0,MIN(A336,Career_History!E49)-Career_History!D49+1),0))/365.2425</f>
        <v>16.999664606391644</v>
      </c>
      <c r="AW336" s="9">
        <f>SUM(IF(Career_History!H47=TRUE,IF(A336&lt;Career_History!D47,0,MIN(A336,Career_History!E47)-Career_History!D47+1),0),IF(Career_History!H48=TRUE,IF(A336&lt;Career_History!D48,0,MIN(A336,Career_History!E48)-Career_History!D48+1),0),IF(Career_History!H49=TRUE,IF(A336&lt;Career_History!D49,0,MIN(A336,Career_History!E49)-Career_History!D49+1),0))/365.2425</f>
        <v>17.33642716825123</v>
      </c>
      <c r="AX336" s="9">
        <f>SUM(IF(Career_History!G50=TRUE,IF(A336&lt;Career_History!D50,0,MIN(A336,Career_History!E50)-Career_History!D50+1),0),IF(Career_History!G51=TRUE,IF(A336&lt;Career_History!D51,0,MIN(A336,Career_History!E51)-Career_History!D51+1),0),IF(Career_History!G52=TRUE,IF(A336&lt;Career_History!D52,0,MIN(A336,Career_History!E52)-Career_History!D52+1),0))/365.2425</f>
        <v>27.338001464780248</v>
      </c>
      <c r="AY336" s="9">
        <f>SUM(IF(Career_History!I50=TRUE,IF(A336&lt;Career_History!D50,0,MIN(A336,Career_History!E50)-Career_History!D50+1),0),IF(Career_History!I51=TRUE,IF(A336&lt;Career_History!D51,0,MIN(A336,Career_History!E51)-Career_History!D51+1),0),IF(Career_History!I52=TRUE,IF(A336&lt;Career_History!D52,0,MIN(A336,Career_History!E52)-Career_History!D52+1),0))/365.2425</f>
        <v>8.4875117216643731E-2</v>
      </c>
      <c r="AZ336" s="9">
        <f>SUM(IF(Career_History!H50=TRUE,IF(A336&lt;Career_History!D50,0,MIN(A336,Career_History!E50)-Career_History!D50+1),0),IF(Career_History!H51=TRUE,IF(A336&lt;Career_History!D51,0,MIN(A336,Career_History!E51)-Career_History!D51+1),0),IF(Career_History!H52=TRUE,IF(A336&lt;Career_History!D52,0,MIN(A336,Career_History!E52)-Career_History!D52+1),0))/365.2425</f>
        <v>3.8330698097839107</v>
      </c>
      <c r="BA336" s="9">
        <f>SUM(IF(Career_History!G53=TRUE,IF(A336&lt;Career_History!D53,0,MIN(A336,Career_History!E53)-Career_History!D53+1),0),IF(Career_History!G54=TRUE,IF(A336&lt;Career_History!D54,0,MIN(A336,Career_History!E54)-Career_History!D54+1),0),IF(Career_History!G55=TRUE,IF(A336&lt;Career_History!D55,0,MIN(A336,Career_History!E55)-Career_History!D55+1),0),IF(Career_History!G56=TRUE,IF(A336&lt;Career_History!D56,0,MIN(A336,Career_History!E56)-Career_History!D56+1),0),IF(Career_History!G57=TRUE,IF(A336&lt;Career_History!D57,0,MIN(A336,Career_History!E57)-Career_History!D57+1),0))/365.2425</f>
        <v>46.336338186273501</v>
      </c>
      <c r="BB336" s="9">
        <f>SUM(IF(Career_History!I53=TRUE,IF(A336&lt;Career_History!D53,0,MIN(A336,Career_History!E53)-Career_History!D53+1),0),IF(Career_History!I54=TRUE,IF(A336&lt;Career_History!D54,0,MIN(A336,Career_History!E54)-Career_History!D54+1),0),IF(Career_History!I55=TRUE,IF(A336&lt;Career_History!D55,0,MIN(A336,Career_History!E55)-Career_History!D55+1),0),IF(Career_History!I56=TRUE,IF(A336&lt;Career_History!D56,0,MIN(A336,Career_History!E56)-Career_History!D56+1),0),IF(Career_History!I57=TRUE,IF(A336&lt;Career_History!D57,0,MIN(A336,Career_History!E57)-Career_History!D57+1),0))/365.2425</f>
        <v>0</v>
      </c>
      <c r="BC336" s="9">
        <f>SUM(IF(Career_History!H53=TRUE,IF(A336&lt;Career_History!D53,0,MIN(A336,Career_History!E53)-Career_History!D53+1),0),IF(Career_History!H54=TRUE,IF(A336&lt;Career_History!D54,0,MIN(A336,Career_History!E54)-Career_History!D54+1),0),IF(Career_History!H55=TRUE,IF(A336&lt;Career_History!D55,0,MIN(A336,Career_History!E55)-Career_History!D55+1),0),IF(Career_History!H56=TRUE,IF(A336&lt;Career_History!D56,0,MIN(A336,Career_History!E56)-Career_History!D56+1),0),IF(Career_History!H57=TRUE,IF(A336&lt;Career_History!D57,0,MIN(A336,Career_History!E57)-Career_History!D57+1),0))/365.2425</f>
        <v>46.336338186273501</v>
      </c>
      <c r="BD336" s="9">
        <f>SUM(IF(Career_History!G58=TRUE,IF(A336&lt;Career_History!D58,0,MIN(A336,Career_History!E58)-Career_History!D58+1),0),IF(Career_History!G59=TRUE,IF(A336&lt;Career_History!D59,0,MIN(A336,Career_History!E59)-Career_History!D59+1),0),IF(Career_History!G60=TRUE,IF(A336&lt;Career_History!D60,0,MIN(A336,Career_History!E60)-Career_History!D60+1),0))/365.2425</f>
        <v>21.832070473726361</v>
      </c>
      <c r="BE336" s="9">
        <f>SUM(IF(Career_History!I58=TRUE,IF(A336&lt;Career_History!D58,0,MIN(A336,Career_History!E58)-Career_History!D58+1),0),IF(Career_History!I59=TRUE,IF(A336&lt;Career_History!D59,0,MIN(A336,Career_History!E59)-Career_History!D59+1),0),IF(Career_History!I60=TRUE,IF(A336&lt;Career_History!D60,0,MIN(A336,Career_History!E60)-Career_History!D60+1),0))/365.2425</f>
        <v>20.000410686051048</v>
      </c>
      <c r="BF336" s="9">
        <f>SUM(IF(Career_History!H58=TRUE,IF(A336&lt;Career_History!D58,0,MIN(A336,Career_History!E58)-Career_History!D58+1),0),IF(Career_History!H59=TRUE,IF(A336&lt;Career_History!D59,0,MIN(A336,Career_History!E59)-Career_History!D59+1),0),IF(Career_History!H60=TRUE,IF(A336&lt;Career_History!D60,0,MIN(A336,Career_History!E60)-Career_History!D60+1),0))/365.2425</f>
        <v>1.8316597876753116</v>
      </c>
      <c r="BG336" s="9">
        <f>SUM(IF(Career_History!G61=TRUE,IF(A336&lt;Career_History!D61,0,MIN(A336,Career_History!E61)-Career_History!D61+1),0),IF(Career_History!G62=TRUE,IF(A336&lt;Career_History!D62,0,MIN(A336,Career_History!E62)-Career_History!D62+1),0),IF(Career_History!G63=TRUE,IF(A336&lt;Career_History!D63,0,MIN(A336,Career_History!E63)-Career_History!D63+1),0))/365.2425</f>
        <v>20.832734416175555</v>
      </c>
      <c r="BH336" s="9">
        <f>SUM(IF(Career_History!I61=TRUE,IF(A336&lt;Career_History!D61,0,MIN(A336,Career_History!E61)-Career_History!D61+1),0),IF(Career_History!I62=TRUE,IF(A336&lt;Career_History!D62,0,MIN(A336,Career_History!E62)-Career_History!D62+1),0),IF(Career_History!I63=TRUE,IF(A336&lt;Career_History!D63,0,MIN(A336,Career_History!E63)-Career_History!D63+1),0))/365.2425</f>
        <v>20.000410686051048</v>
      </c>
      <c r="BI336" s="9">
        <f>SUM(IF(Career_History!H61=TRUE,IF(A336&lt;Career_History!D61,0,MIN(A336,Career_History!E61)-Career_History!D61+1),0),IF(Career_History!H62=TRUE,IF(A336&lt;Career_History!D62,0,MIN(A336,Career_History!E62)-Career_History!D62+1),0),IF(Career_History!H63=TRUE,IF(A336&lt;Career_History!D63,0,MIN(A336,Career_History!E63)-Career_History!D63+1),0))/365.2425</f>
        <v>0.83232373012450633</v>
      </c>
      <c r="BJ336" s="9"/>
      <c r="BK336" s="9"/>
      <c r="BL336" s="9"/>
      <c r="BM336" s="9"/>
      <c r="BN336" s="9"/>
      <c r="BO336" s="9"/>
    </row>
    <row r="337" spans="1:67">
      <c r="A337" s="8">
        <v>44895</v>
      </c>
      <c r="B337" s="9">
        <f t="shared" si="15"/>
        <v>30.217184473329361</v>
      </c>
      <c r="C337" s="9">
        <f t="shared" si="16"/>
        <v>11.417072219142076</v>
      </c>
      <c r="D337" s="9">
        <f t="shared" si="17"/>
        <v>14.116100946631349</v>
      </c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  <c r="AU337" s="9">
        <f>SUM(IF(Career_History!G47=TRUE,IF(A337&lt;Career_History!D47,0,MIN(A337,Career_History!E47)-Career_History!D47+1),0),IF(Career_History!G48=TRUE,IF(A337&lt;Career_History!D48,0,MIN(A337,Career_History!E48)-Career_History!D48+1),0),IF(Career_History!G49=TRUE,IF(A337&lt;Career_History!D49,0,MIN(A337,Career_History!E49)-Career_History!D49+1),0))/365.2425</f>
        <v>34.418228984852526</v>
      </c>
      <c r="AV337" s="9">
        <f>SUM(IF(Career_History!I47=TRUE,IF(A337&lt;Career_History!D47,0,MIN(A337,Career_History!E47)-Career_History!D47+1),0),IF(Career_History!I48=TRUE,IF(A337&lt;Career_History!D48,0,MIN(A337,Career_History!E48)-Career_History!D48+1),0),IF(Career_History!I49=TRUE,IF(A337&lt;Career_History!D49,0,MIN(A337,Career_History!E49)-Career_History!D49+1),0))/365.2425</f>
        <v>16.999664606391644</v>
      </c>
      <c r="AW337" s="9">
        <f>SUM(IF(Career_History!H47=TRUE,IF(A337&lt;Career_History!D47,0,MIN(A337,Career_History!E47)-Career_History!D47+1),0),IF(Career_History!H48=TRUE,IF(A337&lt;Career_History!D48,0,MIN(A337,Career_History!E48)-Career_History!D48+1),0),IF(Career_History!H49=TRUE,IF(A337&lt;Career_History!D49,0,MIN(A337,Career_History!E49)-Career_History!D49+1),0))/365.2425</f>
        <v>17.418564378460886</v>
      </c>
      <c r="AX337" s="9">
        <f>SUM(IF(Career_History!G50=TRUE,IF(A337&lt;Career_History!D50,0,MIN(A337,Career_History!E50)-Career_History!D50+1),0),IF(Career_History!G51=TRUE,IF(A337&lt;Career_History!D51,0,MIN(A337,Career_History!E51)-Career_History!D51+1),0),IF(Career_History!G52=TRUE,IF(A337&lt;Career_History!D52,0,MIN(A337,Career_History!E52)-Career_History!D52+1),0))/365.2425</f>
        <v>27.420138674989904</v>
      </c>
      <c r="AY337" s="9">
        <f>SUM(IF(Career_History!I50=TRUE,IF(A337&lt;Career_History!D50,0,MIN(A337,Career_History!E50)-Career_History!D50+1),0),IF(Career_History!I51=TRUE,IF(A337&lt;Career_History!D51,0,MIN(A337,Career_History!E51)-Career_History!D51+1),0),IF(Career_History!I52=TRUE,IF(A337&lt;Career_History!D52,0,MIN(A337,Career_History!E52)-Career_History!D52+1),0))/365.2425</f>
        <v>8.4875117216643731E-2</v>
      </c>
      <c r="AZ337" s="9">
        <f>SUM(IF(Career_History!H50=TRUE,IF(A337&lt;Career_History!D50,0,MIN(A337,Career_History!E50)-Career_History!D50+1),0),IF(Career_History!H51=TRUE,IF(A337&lt;Career_History!D51,0,MIN(A337,Career_History!E51)-Career_History!D51+1),0),IF(Career_History!H52=TRUE,IF(A337&lt;Career_History!D52,0,MIN(A337,Career_History!E52)-Career_History!D52+1),0))/365.2425</f>
        <v>3.915207019993566</v>
      </c>
      <c r="BA337" s="9">
        <f>SUM(IF(Career_History!G53=TRUE,IF(A337&lt;Career_History!D53,0,MIN(A337,Career_History!E53)-Career_History!D53+1),0),IF(Career_History!G54=TRUE,IF(A337&lt;Career_History!D54,0,MIN(A337,Career_History!E54)-Career_History!D54+1),0),IF(Career_History!G55=TRUE,IF(A337&lt;Career_History!D55,0,MIN(A337,Career_History!E55)-Career_History!D55+1),0),IF(Career_History!G56=TRUE,IF(A337&lt;Career_History!D56,0,MIN(A337,Career_History!E56)-Career_History!D56+1),0),IF(Career_History!G57=TRUE,IF(A337&lt;Career_History!D57,0,MIN(A337,Career_History!E57)-Career_History!D57+1),0))/365.2425</f>
        <v>46.41847539648316</v>
      </c>
      <c r="BB337" s="9">
        <f>SUM(IF(Career_History!I53=TRUE,IF(A337&lt;Career_History!D53,0,MIN(A337,Career_History!E53)-Career_History!D53+1),0),IF(Career_History!I54=TRUE,IF(A337&lt;Career_History!D54,0,MIN(A337,Career_History!E54)-Career_History!D54+1),0),IF(Career_History!I55=TRUE,IF(A337&lt;Career_History!D55,0,MIN(A337,Career_History!E55)-Career_History!D55+1),0),IF(Career_History!I56=TRUE,IF(A337&lt;Career_History!D56,0,MIN(A337,Career_History!E56)-Career_History!D56+1),0),IF(Career_History!I57=TRUE,IF(A337&lt;Career_History!D57,0,MIN(A337,Career_History!E57)-Career_History!D57+1),0))/365.2425</f>
        <v>0</v>
      </c>
      <c r="BC337" s="9">
        <f>SUM(IF(Career_History!H53=TRUE,IF(A337&lt;Career_History!D53,0,MIN(A337,Career_History!E53)-Career_History!D53+1),0),IF(Career_History!H54=TRUE,IF(A337&lt;Career_History!D54,0,MIN(A337,Career_History!E54)-Career_History!D54+1),0),IF(Career_History!H55=TRUE,IF(A337&lt;Career_History!D55,0,MIN(A337,Career_History!E55)-Career_History!D55+1),0),IF(Career_History!H56=TRUE,IF(A337&lt;Career_History!D56,0,MIN(A337,Career_History!E56)-Career_History!D56+1),0),IF(Career_History!H57=TRUE,IF(A337&lt;Career_History!D57,0,MIN(A337,Career_History!E57)-Career_History!D57+1),0))/365.2425</f>
        <v>46.41847539648316</v>
      </c>
      <c r="BD337" s="9">
        <f>SUM(IF(Career_History!G58=TRUE,IF(A337&lt;Career_History!D58,0,MIN(A337,Career_History!E58)-Career_History!D58+1),0),IF(Career_History!G59=TRUE,IF(A337&lt;Career_History!D59,0,MIN(A337,Career_History!E59)-Career_History!D59+1),0),IF(Career_History!G60=TRUE,IF(A337&lt;Career_History!D60,0,MIN(A337,Career_History!E60)-Career_History!D60+1),0))/365.2425</f>
        <v>21.914207683936013</v>
      </c>
      <c r="BE337" s="9">
        <f>SUM(IF(Career_History!I58=TRUE,IF(A337&lt;Career_History!D58,0,MIN(A337,Career_History!E58)-Career_History!D58+1),0),IF(Career_History!I59=TRUE,IF(A337&lt;Career_History!D59,0,MIN(A337,Career_History!E59)-Career_History!D59+1),0),IF(Career_History!I60=TRUE,IF(A337&lt;Career_History!D60,0,MIN(A337,Career_History!E60)-Career_History!D60+1),0))/365.2425</f>
        <v>20.000410686051048</v>
      </c>
      <c r="BF337" s="9">
        <f>SUM(IF(Career_History!H58=TRUE,IF(A337&lt;Career_History!D58,0,MIN(A337,Career_History!E58)-Career_History!D58+1),0),IF(Career_History!H59=TRUE,IF(A337&lt;Career_History!D59,0,MIN(A337,Career_History!E59)-Career_History!D59+1),0),IF(Career_History!H60=TRUE,IF(A337&lt;Career_History!D60,0,MIN(A337,Career_History!E60)-Career_History!D60+1),0))/365.2425</f>
        <v>1.9137969978849667</v>
      </c>
      <c r="BG337" s="9">
        <f>SUM(IF(Career_History!G61=TRUE,IF(A337&lt;Career_History!D61,0,MIN(A337,Career_History!E61)-Career_History!D61+1),0),IF(Career_History!G62=TRUE,IF(A337&lt;Career_History!D62,0,MIN(A337,Career_History!E62)-Career_History!D62+1),0),IF(Career_History!G63=TRUE,IF(A337&lt;Career_History!D63,0,MIN(A337,Career_History!E63)-Career_History!D63+1),0))/365.2425</f>
        <v>20.91487162638521</v>
      </c>
      <c r="BH337" s="9">
        <f>SUM(IF(Career_History!I61=TRUE,IF(A337&lt;Career_History!D61,0,MIN(A337,Career_History!E61)-Career_History!D61+1),0),IF(Career_History!I62=TRUE,IF(A337&lt;Career_History!D62,0,MIN(A337,Career_History!E62)-Career_History!D62+1),0),IF(Career_History!I63=TRUE,IF(A337&lt;Career_History!D63,0,MIN(A337,Career_History!E63)-Career_History!D63+1),0))/365.2425</f>
        <v>20.000410686051048</v>
      </c>
      <c r="BI337" s="9">
        <f>SUM(IF(Career_History!H61=TRUE,IF(A337&lt;Career_History!D61,0,MIN(A337,Career_History!E61)-Career_History!D61+1),0),IF(Career_History!H62=TRUE,IF(A337&lt;Career_History!D62,0,MIN(A337,Career_History!E62)-Career_History!D62+1),0),IF(Career_History!H63=TRUE,IF(A337&lt;Career_History!D63,0,MIN(A337,Career_History!E63)-Career_History!D63+1),0))/365.2425</f>
        <v>0.91446094033416159</v>
      </c>
      <c r="BJ337" s="9"/>
      <c r="BK337" s="9"/>
      <c r="BL337" s="9"/>
      <c r="BM337" s="9"/>
      <c r="BN337" s="9"/>
      <c r="BO337" s="9"/>
    </row>
    <row r="338" spans="1:67">
      <c r="A338" s="8">
        <v>44926</v>
      </c>
      <c r="B338" s="9">
        <f t="shared" si="15"/>
        <v>30.302059590546008</v>
      </c>
      <c r="C338" s="9">
        <f t="shared" si="16"/>
        <v>11.417072219142076</v>
      </c>
      <c r="D338" s="9">
        <f t="shared" si="17"/>
        <v>14.200976063847992</v>
      </c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  <c r="AN338" s="9"/>
      <c r="AO338" s="9"/>
      <c r="AP338" s="9"/>
      <c r="AQ338" s="9"/>
      <c r="AR338" s="9"/>
      <c r="AS338" s="9"/>
      <c r="AT338" s="9"/>
      <c r="AU338" s="9">
        <f>SUM(IF(Career_History!G47=TRUE,IF(A338&lt;Career_History!D47,0,MIN(A338,Career_History!E47)-Career_History!D47+1),0),IF(Career_History!G48=TRUE,IF(A338&lt;Career_History!D48,0,MIN(A338,Career_History!E48)-Career_History!D48+1),0),IF(Career_History!G49=TRUE,IF(A338&lt;Career_History!D49,0,MIN(A338,Career_History!E49)-Career_History!D49+1),0))/365.2425</f>
        <v>34.503104102069173</v>
      </c>
      <c r="AV338" s="9">
        <f>SUM(IF(Career_History!I47=TRUE,IF(A338&lt;Career_History!D47,0,MIN(A338,Career_History!E47)-Career_History!D47+1),0),IF(Career_History!I48=TRUE,IF(A338&lt;Career_History!D48,0,MIN(A338,Career_History!E48)-Career_History!D48+1),0),IF(Career_History!I49=TRUE,IF(A338&lt;Career_History!D49,0,MIN(A338,Career_History!E49)-Career_History!D49+1),0))/365.2425</f>
        <v>16.999664606391644</v>
      </c>
      <c r="AW338" s="9">
        <f>SUM(IF(Career_History!H47=TRUE,IF(A338&lt;Career_History!D47,0,MIN(A338,Career_History!E47)-Career_History!D47+1),0),IF(Career_History!H48=TRUE,IF(A338&lt;Career_History!D48,0,MIN(A338,Career_History!E48)-Career_History!D48+1),0),IF(Career_History!H49=TRUE,IF(A338&lt;Career_History!D49,0,MIN(A338,Career_History!E49)-Career_History!D49+1),0))/365.2425</f>
        <v>17.503439495677529</v>
      </c>
      <c r="AX338" s="9">
        <f>SUM(IF(Career_History!G50=TRUE,IF(A338&lt;Career_History!D50,0,MIN(A338,Career_History!E50)-Career_History!D50+1),0),IF(Career_History!G51=TRUE,IF(A338&lt;Career_History!D51,0,MIN(A338,Career_History!E51)-Career_History!D51+1),0),IF(Career_History!G52=TRUE,IF(A338&lt;Career_History!D52,0,MIN(A338,Career_History!E52)-Career_History!D52+1),0))/365.2425</f>
        <v>27.505013792206547</v>
      </c>
      <c r="AY338" s="9">
        <f>SUM(IF(Career_History!I50=TRUE,IF(A338&lt;Career_History!D50,0,MIN(A338,Career_History!E50)-Career_History!D50+1),0),IF(Career_History!I51=TRUE,IF(A338&lt;Career_History!D51,0,MIN(A338,Career_History!E51)-Career_History!D51+1),0),IF(Career_History!I52=TRUE,IF(A338&lt;Career_History!D52,0,MIN(A338,Career_History!E52)-Career_History!D52+1),0))/365.2425</f>
        <v>8.4875117216643731E-2</v>
      </c>
      <c r="AZ338" s="9">
        <f>SUM(IF(Career_History!H50=TRUE,IF(A338&lt;Career_History!D50,0,MIN(A338,Career_History!E50)-Career_History!D50+1),0),IF(Career_History!H51=TRUE,IF(A338&lt;Career_History!D51,0,MIN(A338,Career_History!E51)-Career_History!D51+1),0),IF(Career_History!H52=TRUE,IF(A338&lt;Career_History!D52,0,MIN(A338,Career_History!E52)-Career_History!D52+1),0))/365.2425</f>
        <v>4.0000821372102093</v>
      </c>
      <c r="BA338" s="9">
        <f>SUM(IF(Career_History!G53=TRUE,IF(A338&lt;Career_History!D53,0,MIN(A338,Career_History!E53)-Career_History!D53+1),0),IF(Career_History!G54=TRUE,IF(A338&lt;Career_History!D54,0,MIN(A338,Career_History!E54)-Career_History!D54+1),0),IF(Career_History!G55=TRUE,IF(A338&lt;Career_History!D55,0,MIN(A338,Career_History!E55)-Career_History!D55+1),0),IF(Career_History!G56=TRUE,IF(A338&lt;Career_History!D56,0,MIN(A338,Career_History!E56)-Career_History!D56+1),0),IF(Career_History!G57=TRUE,IF(A338&lt;Career_History!D57,0,MIN(A338,Career_History!E57)-Career_History!D57+1),0))/365.2425</f>
        <v>46.5033505136998</v>
      </c>
      <c r="BB338" s="9">
        <f>SUM(IF(Career_History!I53=TRUE,IF(A338&lt;Career_History!D53,0,MIN(A338,Career_History!E53)-Career_History!D53+1),0),IF(Career_History!I54=TRUE,IF(A338&lt;Career_History!D54,0,MIN(A338,Career_History!E54)-Career_History!D54+1),0),IF(Career_History!I55=TRUE,IF(A338&lt;Career_History!D55,0,MIN(A338,Career_History!E55)-Career_History!D55+1),0),IF(Career_History!I56=TRUE,IF(A338&lt;Career_History!D56,0,MIN(A338,Career_History!E56)-Career_History!D56+1),0),IF(Career_History!I57=TRUE,IF(A338&lt;Career_History!D57,0,MIN(A338,Career_History!E57)-Career_History!D57+1),0))/365.2425</f>
        <v>0</v>
      </c>
      <c r="BC338" s="9">
        <f>SUM(IF(Career_History!H53=TRUE,IF(A338&lt;Career_History!D53,0,MIN(A338,Career_History!E53)-Career_History!D53+1),0),IF(Career_History!H54=TRUE,IF(A338&lt;Career_History!D54,0,MIN(A338,Career_History!E54)-Career_History!D54+1),0),IF(Career_History!H55=TRUE,IF(A338&lt;Career_History!D55,0,MIN(A338,Career_History!E55)-Career_History!D55+1),0),IF(Career_History!H56=TRUE,IF(A338&lt;Career_History!D56,0,MIN(A338,Career_History!E56)-Career_History!D56+1),0),IF(Career_History!H57=TRUE,IF(A338&lt;Career_History!D57,0,MIN(A338,Career_History!E57)-Career_History!D57+1),0))/365.2425</f>
        <v>46.5033505136998</v>
      </c>
      <c r="BD338" s="9">
        <f>SUM(IF(Career_History!G58=TRUE,IF(A338&lt;Career_History!D58,0,MIN(A338,Career_History!E58)-Career_History!D58+1),0),IF(Career_History!G59=TRUE,IF(A338&lt;Career_History!D59,0,MIN(A338,Career_History!E59)-Career_History!D59+1),0),IF(Career_History!G60=TRUE,IF(A338&lt;Career_History!D60,0,MIN(A338,Career_History!E60)-Career_History!D60+1),0))/365.2425</f>
        <v>21.999082801152657</v>
      </c>
      <c r="BE338" s="9">
        <f>SUM(IF(Career_History!I58=TRUE,IF(A338&lt;Career_History!D58,0,MIN(A338,Career_History!E58)-Career_History!D58+1),0),IF(Career_History!I59=TRUE,IF(A338&lt;Career_History!D59,0,MIN(A338,Career_History!E59)-Career_History!D59+1),0),IF(Career_History!I60=TRUE,IF(A338&lt;Career_History!D60,0,MIN(A338,Career_History!E60)-Career_History!D60+1),0))/365.2425</f>
        <v>20.000410686051048</v>
      </c>
      <c r="BF338" s="9">
        <f>SUM(IF(Career_History!H58=TRUE,IF(A338&lt;Career_History!D58,0,MIN(A338,Career_History!E58)-Career_History!D58+1),0),IF(Career_History!H59=TRUE,IF(A338&lt;Career_History!D59,0,MIN(A338,Career_History!E59)-Career_History!D59+1),0),IF(Career_History!H60=TRUE,IF(A338&lt;Career_History!D60,0,MIN(A338,Career_History!E60)-Career_History!D60+1),0))/365.2425</f>
        <v>1.9986721151016105</v>
      </c>
      <c r="BG338" s="9">
        <f>SUM(IF(Career_History!G61=TRUE,IF(A338&lt;Career_History!D61,0,MIN(A338,Career_History!E61)-Career_History!D61+1),0),IF(Career_History!G62=TRUE,IF(A338&lt;Career_History!D62,0,MIN(A338,Career_History!E62)-Career_History!D62+1),0),IF(Career_History!G63=TRUE,IF(A338&lt;Career_History!D63,0,MIN(A338,Career_History!E63)-Career_History!D63+1),0))/365.2425</f>
        <v>20.999746743601854</v>
      </c>
      <c r="BH338" s="9">
        <f>SUM(IF(Career_History!I61=TRUE,IF(A338&lt;Career_History!D61,0,MIN(A338,Career_History!E61)-Career_History!D61+1),0),IF(Career_History!I62=TRUE,IF(A338&lt;Career_History!D62,0,MIN(A338,Career_History!E62)-Career_History!D62+1),0),IF(Career_History!I63=TRUE,IF(A338&lt;Career_History!D63,0,MIN(A338,Career_History!E63)-Career_History!D63+1),0))/365.2425</f>
        <v>20.000410686051048</v>
      </c>
      <c r="BI338" s="9">
        <f>SUM(IF(Career_History!H61=TRUE,IF(A338&lt;Career_History!D61,0,MIN(A338,Career_History!E61)-Career_History!D61+1),0),IF(Career_History!H62=TRUE,IF(A338&lt;Career_History!D62,0,MIN(A338,Career_History!E62)-Career_History!D62+1),0),IF(Career_History!H63=TRUE,IF(A338&lt;Career_History!D63,0,MIN(A338,Career_History!E63)-Career_History!D63+1),0))/365.2425</f>
        <v>0.99933605755080523</v>
      </c>
      <c r="BJ338" s="9"/>
      <c r="BK338" s="9"/>
      <c r="BL338" s="9"/>
      <c r="BM338" s="9"/>
      <c r="BN338" s="9"/>
      <c r="BO338" s="9"/>
    </row>
    <row r="339" spans="1:67">
      <c r="A339" s="8">
        <v>44957</v>
      </c>
      <c r="B339" s="9">
        <f t="shared" si="15"/>
        <v>27.685715654667785</v>
      </c>
      <c r="C339" s="9">
        <f t="shared" si="16"/>
        <v>13.899258711677856</v>
      </c>
      <c r="D339" s="9">
        <f t="shared" si="17"/>
        <v>13.786456942989933</v>
      </c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  <c r="AJ339" s="9"/>
      <c r="AK339" s="9"/>
      <c r="AL339" s="9"/>
      <c r="AM339" s="9"/>
      <c r="AN339" s="9"/>
      <c r="AO339" s="9"/>
      <c r="AP339" s="9"/>
      <c r="AQ339" s="9"/>
      <c r="AR339" s="9"/>
      <c r="AS339" s="9"/>
      <c r="AT339" s="9"/>
      <c r="AU339" s="9">
        <f>SUM(IF(Career_History!G47=TRUE,IF(A339&lt;Career_History!D47,0,MIN(A339,Career_History!E47)-Career_History!D47+1),0),IF(Career_History!G48=TRUE,IF(A339&lt;Career_History!D48,0,MIN(A339,Career_History!E48)-Career_History!D48+1),0),IF(Career_History!G49=TRUE,IF(A339&lt;Career_History!D49,0,MIN(A339,Career_History!E49)-Career_History!D49+1),0))/365.2425</f>
        <v>34.587979219285813</v>
      </c>
      <c r="AV339" s="9">
        <f>SUM(IF(Career_History!I47=TRUE,IF(A339&lt;Career_History!D47,0,MIN(A339,Career_History!E47)-Career_History!D47+1),0),IF(Career_History!I48=TRUE,IF(A339&lt;Career_History!D48,0,MIN(A339,Career_History!E48)-Career_History!D48+1),0),IF(Career_History!I49=TRUE,IF(A339&lt;Career_History!D49,0,MIN(A339,Career_History!E49)-Career_History!D49+1),0))/365.2425</f>
        <v>16.999664606391644</v>
      </c>
      <c r="AW339" s="9">
        <f>SUM(IF(Career_History!H47=TRUE,IF(A339&lt;Career_History!D47,0,MIN(A339,Career_History!E47)-Career_History!D47+1),0),IF(Career_History!H48=TRUE,IF(A339&lt;Career_History!D48,0,MIN(A339,Career_History!E48)-Career_History!D48+1),0),IF(Career_History!H49=TRUE,IF(A339&lt;Career_History!D49,0,MIN(A339,Career_History!E49)-Career_History!D49+1),0))/365.2425</f>
        <v>17.588314612894173</v>
      </c>
      <c r="AX339" s="9"/>
      <c r="AY339" s="9"/>
      <c r="AZ339" s="9"/>
      <c r="BA339" s="9">
        <f>SUM(IF(Career_History!G53=TRUE,IF(A339&lt;Career_History!D53,0,MIN(A339,Career_History!E53)-Career_History!D53+1),0),IF(Career_History!G54=TRUE,IF(A339&lt;Career_History!D54,0,MIN(A339,Career_History!E54)-Career_History!D54+1),0),IF(Career_History!G55=TRUE,IF(A339&lt;Career_History!D55,0,MIN(A339,Career_History!E55)-Career_History!D55+1),0),IF(Career_History!G56=TRUE,IF(A339&lt;Career_History!D56,0,MIN(A339,Career_History!E56)-Career_History!D56+1),0),IF(Career_History!G57=TRUE,IF(A339&lt;Career_History!D57,0,MIN(A339,Career_History!E57)-Career_History!D57+1),0))/365.2425</f>
        <v>46.588225630916448</v>
      </c>
      <c r="BB339" s="9">
        <f>SUM(IF(Career_History!I53=TRUE,IF(A339&lt;Career_History!D53,0,MIN(A339,Career_History!E53)-Career_History!D53+1),0),IF(Career_History!I54=TRUE,IF(A339&lt;Career_History!D54,0,MIN(A339,Career_History!E54)-Career_History!D54+1),0),IF(Career_History!I55=TRUE,IF(A339&lt;Career_History!D55,0,MIN(A339,Career_History!E55)-Career_History!D55+1),0),IF(Career_History!I56=TRUE,IF(A339&lt;Career_History!D56,0,MIN(A339,Career_History!E56)-Career_History!D56+1),0),IF(Career_History!I57=TRUE,IF(A339&lt;Career_History!D57,0,MIN(A339,Career_History!E57)-Career_History!D57+1),0))/365.2425</f>
        <v>0</v>
      </c>
      <c r="BC339" s="9">
        <f>SUM(IF(Career_History!H53=TRUE,IF(A339&lt;Career_History!D53,0,MIN(A339,Career_History!E53)-Career_History!D53+1),0),IF(Career_History!H54=TRUE,IF(A339&lt;Career_History!D54,0,MIN(A339,Career_History!E54)-Career_History!D54+1),0),IF(Career_History!H55=TRUE,IF(A339&lt;Career_History!D55,0,MIN(A339,Career_History!E55)-Career_History!D55+1),0),IF(Career_History!H56=TRUE,IF(A339&lt;Career_History!D56,0,MIN(A339,Career_History!E56)-Career_History!D56+1),0),IF(Career_History!H57=TRUE,IF(A339&lt;Career_History!D57,0,MIN(A339,Career_History!E57)-Career_History!D57+1),0))/365.2425</f>
        <v>46.588225630916448</v>
      </c>
      <c r="BD339" s="9">
        <f>SUM(IF(Career_History!G58=TRUE,IF(A339&lt;Career_History!D58,0,MIN(A339,Career_History!E58)-Career_History!D58+1),0),IF(Career_History!G59=TRUE,IF(A339&lt;Career_History!D59,0,MIN(A339,Career_History!E59)-Career_History!D59+1),0),IF(Career_History!G60=TRUE,IF(A339&lt;Career_History!D60,0,MIN(A339,Career_History!E60)-Career_History!D60+1),0))/365.2425</f>
        <v>22.0839579183693</v>
      </c>
      <c r="BE339" s="9">
        <f>SUM(IF(Career_History!I58=TRUE,IF(A339&lt;Career_History!D58,0,MIN(A339,Career_History!E58)-Career_History!D58+1),0),IF(Career_History!I59=TRUE,IF(A339&lt;Career_History!D59,0,MIN(A339,Career_History!E59)-Career_History!D59+1),0),IF(Career_History!I60=TRUE,IF(A339&lt;Career_History!D60,0,MIN(A339,Career_History!E60)-Career_History!D60+1),0))/365.2425</f>
        <v>20.000410686051048</v>
      </c>
      <c r="BF339" s="9">
        <f>SUM(IF(Career_History!H58=TRUE,IF(A339&lt;Career_History!D58,0,MIN(A339,Career_History!E58)-Career_History!D58+1),0),IF(Career_History!H59=TRUE,IF(A339&lt;Career_History!D59,0,MIN(A339,Career_History!E59)-Career_History!D59+1),0),IF(Career_History!H60=TRUE,IF(A339&lt;Career_History!D60,0,MIN(A339,Career_History!E60)-Career_History!D60+1),0))/365.2425</f>
        <v>2.0835472323182542</v>
      </c>
      <c r="BG339" s="9">
        <f>SUM(IF(Career_History!G61=TRUE,IF(A339&lt;Career_History!D61,0,MIN(A339,Career_History!E61)-Career_History!D61+1),0),IF(Career_History!G62=TRUE,IF(A339&lt;Career_History!D62,0,MIN(A339,Career_History!E62)-Career_History!D62+1),0),IF(Career_History!G63=TRUE,IF(A339&lt;Career_History!D63,0,MIN(A339,Career_History!E63)-Career_History!D63+1),0))/365.2425</f>
        <v>21.084621860818498</v>
      </c>
      <c r="BH339" s="9">
        <f>SUM(IF(Career_History!I61=TRUE,IF(A339&lt;Career_History!D61,0,MIN(A339,Career_History!E61)-Career_History!D61+1),0),IF(Career_History!I62=TRUE,IF(A339&lt;Career_History!D62,0,MIN(A339,Career_History!E62)-Career_History!D62+1),0),IF(Career_History!I63=TRUE,IF(A339&lt;Career_History!D63,0,MIN(A339,Career_History!E63)-Career_History!D63+1),0))/365.2425</f>
        <v>20.000410686051048</v>
      </c>
      <c r="BI339" s="9">
        <f>SUM(IF(Career_History!H61=TRUE,IF(A339&lt;Career_History!D61,0,MIN(A339,Career_History!E61)-Career_History!D61+1),0),IF(Career_History!H62=TRUE,IF(A339&lt;Career_History!D62,0,MIN(A339,Career_History!E62)-Career_History!D62+1),0),IF(Career_History!H63=TRUE,IF(A339&lt;Career_History!D63,0,MIN(A339,Career_History!E63)-Career_History!D63+1),0))/365.2425</f>
        <v>1.084211174767449</v>
      </c>
      <c r="BJ339" s="9">
        <f>SUM(IF(Career_History!G64=TRUE,IF(A339&lt;Career_History!D64,0,MIN(A339,Career_History!E64)-Career_History!D64+1),0),IF(Career_History!G65=TRUE,IF(A339&lt;Career_History!D65,0,MIN(A339,Career_History!E65)-Career_History!D65+1),0),IF(Career_History!G66=TRUE,IF(A339&lt;Career_History!D66,0,MIN(A339,Career_History!E66)-Career_History!D66+1),0),IF(Career_History!G67=TRUE,IF(A339&lt;Career_History!D67,0,MIN(A339,Career_History!E67)-Career_History!D67+1),0))/365.2425</f>
        <v>14.083793643948884</v>
      </c>
      <c r="BK339" s="9">
        <f>SUM(IF(Career_History!I64=TRUE,IF(A339&lt;Career_History!D64,0,MIN(A339,Career_History!E64)-Career_History!D64+1),0),IF(Career_History!I65=TRUE,IF(A339&lt;Career_History!D65,0,MIN(A339,Career_History!E65)-Career_History!D65+1),0),IF(Career_History!I66=TRUE,IF(A339&lt;Career_History!D66,0,MIN(A339,Career_History!E66)-Career_History!D66+1),0),IF(Career_History!I67=TRUE,IF(A339&lt;Career_History!D67,0,MIN(A339,Career_History!E67)-Career_History!D67+1),0))/365.2425</f>
        <v>12.495807579895549</v>
      </c>
      <c r="BL339" s="9">
        <f>SUM(IF(Career_History!H64=TRUE,IF(A339&lt;Career_History!D64,0,MIN(A339,Career_History!E64)-Career_History!D64+1),0),IF(Career_History!H65=TRUE,IF(A339&lt;Career_History!D65,0,MIN(A339,Career_History!E65)-Career_History!D65+1),0),IF(Career_History!H66=TRUE,IF(A339&lt;Career_History!D66,0,MIN(A339,Career_History!E66)-Career_History!D66+1),0),IF(Career_History!H67=TRUE,IF(A339&lt;Career_History!D67,0,MIN(A339,Career_History!E67)-Career_History!D67+1),0))/365.2425</f>
        <v>1.5879860640533343</v>
      </c>
      <c r="BM339" s="9"/>
      <c r="BN339" s="9"/>
      <c r="BO339" s="9"/>
    </row>
    <row r="340" spans="1:67">
      <c r="A340" s="8">
        <v>44985</v>
      </c>
      <c r="B340" s="9">
        <f t="shared" si="15"/>
        <v>27.762377050863467</v>
      </c>
      <c r="C340" s="9">
        <f t="shared" si="16"/>
        <v>13.899258711677856</v>
      </c>
      <c r="D340" s="9">
        <f t="shared" si="17"/>
        <v>13.863118339185608</v>
      </c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  <c r="AJ340" s="9"/>
      <c r="AK340" s="9"/>
      <c r="AL340" s="9"/>
      <c r="AM340" s="9"/>
      <c r="AN340" s="9"/>
      <c r="AO340" s="9"/>
      <c r="AP340" s="9"/>
      <c r="AQ340" s="9"/>
      <c r="AR340" s="9"/>
      <c r="AS340" s="9"/>
      <c r="AT340" s="9"/>
      <c r="AU340" s="9">
        <f>SUM(IF(Career_History!G47=TRUE,IF(A340&lt;Career_History!D47,0,MIN(A340,Career_History!E47)-Career_History!D47+1),0),IF(Career_History!G48=TRUE,IF(A340&lt;Career_History!D48,0,MIN(A340,Career_History!E48)-Career_History!D48+1),0),IF(Career_History!G49=TRUE,IF(A340&lt;Career_History!D49,0,MIN(A340,Career_History!E49)-Career_History!D49+1),0))/365.2425</f>
        <v>34.664640615481495</v>
      </c>
      <c r="AV340" s="9">
        <f>SUM(IF(Career_History!I47=TRUE,IF(A340&lt;Career_History!D47,0,MIN(A340,Career_History!E47)-Career_History!D47+1),0),IF(Career_History!I48=TRUE,IF(A340&lt;Career_History!D48,0,MIN(A340,Career_History!E48)-Career_History!D48+1),0),IF(Career_History!I49=TRUE,IF(A340&lt;Career_History!D49,0,MIN(A340,Career_History!E49)-Career_History!D49+1),0))/365.2425</f>
        <v>16.999664606391644</v>
      </c>
      <c r="AW340" s="9">
        <f>SUM(IF(Career_History!H47=TRUE,IF(A340&lt;Career_History!D47,0,MIN(A340,Career_History!E47)-Career_History!D47+1),0),IF(Career_History!H48=TRUE,IF(A340&lt;Career_History!D48,0,MIN(A340,Career_History!E48)-Career_History!D48+1),0),IF(Career_History!H49=TRUE,IF(A340&lt;Career_History!D49,0,MIN(A340,Career_History!E49)-Career_History!D49+1),0))/365.2425</f>
        <v>17.664976009089852</v>
      </c>
      <c r="AX340" s="9"/>
      <c r="AY340" s="9"/>
      <c r="AZ340" s="9"/>
      <c r="BA340" s="9">
        <f>SUM(IF(Career_History!G53=TRUE,IF(A340&lt;Career_History!D53,0,MIN(A340,Career_History!E53)-Career_History!D53+1),0),IF(Career_History!G54=TRUE,IF(A340&lt;Career_History!D54,0,MIN(A340,Career_History!E54)-Career_History!D54+1),0),IF(Career_History!G55=TRUE,IF(A340&lt;Career_History!D55,0,MIN(A340,Career_History!E55)-Career_History!D55+1),0),IF(Career_History!G56=TRUE,IF(A340&lt;Career_History!D56,0,MIN(A340,Career_History!E56)-Career_History!D56+1),0),IF(Career_History!G57=TRUE,IF(A340&lt;Career_History!D57,0,MIN(A340,Career_History!E57)-Career_History!D57+1),0))/365.2425</f>
        <v>46.664887027112123</v>
      </c>
      <c r="BB340" s="9">
        <f>SUM(IF(Career_History!I53=TRUE,IF(A340&lt;Career_History!D53,0,MIN(A340,Career_History!E53)-Career_History!D53+1),0),IF(Career_History!I54=TRUE,IF(A340&lt;Career_History!D54,0,MIN(A340,Career_History!E54)-Career_History!D54+1),0),IF(Career_History!I55=TRUE,IF(A340&lt;Career_History!D55,0,MIN(A340,Career_History!E55)-Career_History!D55+1),0),IF(Career_History!I56=TRUE,IF(A340&lt;Career_History!D56,0,MIN(A340,Career_History!E56)-Career_History!D56+1),0),IF(Career_History!I57=TRUE,IF(A340&lt;Career_History!D57,0,MIN(A340,Career_History!E57)-Career_History!D57+1),0))/365.2425</f>
        <v>0</v>
      </c>
      <c r="BC340" s="9">
        <f>SUM(IF(Career_History!H53=TRUE,IF(A340&lt;Career_History!D53,0,MIN(A340,Career_History!E53)-Career_History!D53+1),0),IF(Career_History!H54=TRUE,IF(A340&lt;Career_History!D54,0,MIN(A340,Career_History!E54)-Career_History!D54+1),0),IF(Career_History!H55=TRUE,IF(A340&lt;Career_History!D55,0,MIN(A340,Career_History!E55)-Career_History!D55+1),0),IF(Career_History!H56=TRUE,IF(A340&lt;Career_History!D56,0,MIN(A340,Career_History!E56)-Career_History!D56+1),0),IF(Career_History!H57=TRUE,IF(A340&lt;Career_History!D57,0,MIN(A340,Career_History!E57)-Career_History!D57+1),0))/365.2425</f>
        <v>46.664887027112123</v>
      </c>
      <c r="BD340" s="9">
        <f>SUM(IF(Career_History!G58=TRUE,IF(A340&lt;Career_History!D58,0,MIN(A340,Career_History!E58)-Career_History!D58+1),0),IF(Career_History!G59=TRUE,IF(A340&lt;Career_History!D59,0,MIN(A340,Career_History!E59)-Career_History!D59+1),0),IF(Career_History!G60=TRUE,IF(A340&lt;Career_History!D60,0,MIN(A340,Career_History!E60)-Career_History!D60+1),0))/365.2425</f>
        <v>22.160619314564979</v>
      </c>
      <c r="BE340" s="9">
        <f>SUM(IF(Career_History!I58=TRUE,IF(A340&lt;Career_History!D58,0,MIN(A340,Career_History!E58)-Career_History!D58+1),0),IF(Career_History!I59=TRUE,IF(A340&lt;Career_History!D59,0,MIN(A340,Career_History!E59)-Career_History!D59+1),0),IF(Career_History!I60=TRUE,IF(A340&lt;Career_History!D60,0,MIN(A340,Career_History!E60)-Career_History!D60+1),0))/365.2425</f>
        <v>20.000410686051048</v>
      </c>
      <c r="BF340" s="9">
        <f>SUM(IF(Career_History!H58=TRUE,IF(A340&lt;Career_History!D58,0,MIN(A340,Career_History!E58)-Career_History!D58+1),0),IF(Career_History!H59=TRUE,IF(A340&lt;Career_History!D59,0,MIN(A340,Career_History!E59)-Career_History!D59+1),0),IF(Career_History!H60=TRUE,IF(A340&lt;Career_History!D60,0,MIN(A340,Career_History!E60)-Career_History!D60+1),0))/365.2425</f>
        <v>2.1602086285139324</v>
      </c>
      <c r="BG340" s="9">
        <f>SUM(IF(Career_History!G61=TRUE,IF(A340&lt;Career_History!D61,0,MIN(A340,Career_History!E61)-Career_History!D61+1),0),IF(Career_History!G62=TRUE,IF(A340&lt;Career_History!D62,0,MIN(A340,Career_History!E62)-Career_History!D62+1),0),IF(Career_History!G63=TRUE,IF(A340&lt;Career_History!D63,0,MIN(A340,Career_History!E63)-Career_History!D63+1),0))/365.2425</f>
        <v>21.161283257014176</v>
      </c>
      <c r="BH340" s="9">
        <f>SUM(IF(Career_History!I61=TRUE,IF(A340&lt;Career_History!D61,0,MIN(A340,Career_History!E61)-Career_History!D61+1),0),IF(Career_History!I62=TRUE,IF(A340&lt;Career_History!D62,0,MIN(A340,Career_History!E62)-Career_History!D62+1),0),IF(Career_History!I63=TRUE,IF(A340&lt;Career_History!D63,0,MIN(A340,Career_History!E63)-Career_History!D63+1),0))/365.2425</f>
        <v>20.000410686051048</v>
      </c>
      <c r="BI340" s="9">
        <f>SUM(IF(Career_History!H61=TRUE,IF(A340&lt;Career_History!D61,0,MIN(A340,Career_History!E61)-Career_History!D61+1),0),IF(Career_History!H62=TRUE,IF(A340&lt;Career_History!D62,0,MIN(A340,Career_History!E62)-Career_History!D62+1),0),IF(Career_History!H63=TRUE,IF(A340&lt;Career_History!D63,0,MIN(A340,Career_History!E63)-Career_History!D63+1),0))/365.2425</f>
        <v>1.1608725709631271</v>
      </c>
      <c r="BJ340" s="9">
        <f>SUM(IF(Career_History!G64=TRUE,IF(A340&lt;Career_History!D64,0,MIN(A340,Career_History!E64)-Career_History!D64+1),0),IF(Career_History!G65=TRUE,IF(A340&lt;Career_History!D65,0,MIN(A340,Career_History!E65)-Career_History!D65+1),0),IF(Career_History!G66=TRUE,IF(A340&lt;Career_History!D66,0,MIN(A340,Career_History!E66)-Career_History!D66+1),0),IF(Career_History!G67=TRUE,IF(A340&lt;Career_History!D67,0,MIN(A340,Career_History!E67)-Career_History!D67+1),0))/365.2425</f>
        <v>14.16045504014456</v>
      </c>
      <c r="BK340" s="9">
        <f>SUM(IF(Career_History!I64=TRUE,IF(A340&lt;Career_History!D64,0,MIN(A340,Career_History!E64)-Career_History!D64+1),0),IF(Career_History!I65=TRUE,IF(A340&lt;Career_History!D65,0,MIN(A340,Career_History!E65)-Career_History!D65+1),0),IF(Career_History!I66=TRUE,IF(A340&lt;Career_History!D66,0,MIN(A340,Career_History!E66)-Career_History!D66+1),0),IF(Career_History!I67=TRUE,IF(A340&lt;Career_History!D67,0,MIN(A340,Career_History!E67)-Career_History!D67+1),0))/365.2425</f>
        <v>12.495807579895549</v>
      </c>
      <c r="BL340" s="9">
        <f>SUM(IF(Career_History!H64=TRUE,IF(A340&lt;Career_History!D64,0,MIN(A340,Career_History!E64)-Career_History!D64+1),0),IF(Career_History!H65=TRUE,IF(A340&lt;Career_History!D65,0,MIN(A340,Career_History!E65)-Career_History!D65+1),0),IF(Career_History!H66=TRUE,IF(A340&lt;Career_History!D66,0,MIN(A340,Career_History!E66)-Career_History!D66+1),0),IF(Career_History!H67=TRUE,IF(A340&lt;Career_History!D67,0,MIN(A340,Career_History!E67)-Career_History!D67+1),0))/365.2425</f>
        <v>1.6646474602490127</v>
      </c>
      <c r="BM340" s="9"/>
      <c r="BN340" s="9"/>
      <c r="BO340" s="9"/>
    </row>
    <row r="341" spans="1:67">
      <c r="A341" s="8">
        <v>45016</v>
      </c>
      <c r="B341" s="9">
        <f t="shared" si="15"/>
        <v>27.847252168080111</v>
      </c>
      <c r="C341" s="9">
        <f t="shared" si="16"/>
        <v>13.899258711677856</v>
      </c>
      <c r="D341" s="9">
        <f t="shared" si="17"/>
        <v>13.947993456402255</v>
      </c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  <c r="AJ341" s="9"/>
      <c r="AK341" s="9"/>
      <c r="AL341" s="9"/>
      <c r="AM341" s="9"/>
      <c r="AN341" s="9"/>
      <c r="AO341" s="9"/>
      <c r="AP341" s="9"/>
      <c r="AQ341" s="9"/>
      <c r="AR341" s="9"/>
      <c r="AS341" s="9"/>
      <c r="AT341" s="9"/>
      <c r="AU341" s="9">
        <f>SUM(IF(Career_History!G47=TRUE,IF(A341&lt;Career_History!D47,0,MIN(A341,Career_History!E47)-Career_History!D47+1),0),IF(Career_History!G48=TRUE,IF(A341&lt;Career_History!D48,0,MIN(A341,Career_History!E48)-Career_History!D48+1),0),IF(Career_History!G49=TRUE,IF(A341&lt;Career_History!D49,0,MIN(A341,Career_History!E49)-Career_History!D49+1),0))/365.2425</f>
        <v>34.749515732698136</v>
      </c>
      <c r="AV341" s="9">
        <f>SUM(IF(Career_History!I47=TRUE,IF(A341&lt;Career_History!D47,0,MIN(A341,Career_History!E47)-Career_History!D47+1),0),IF(Career_History!I48=TRUE,IF(A341&lt;Career_History!D48,0,MIN(A341,Career_History!E48)-Career_History!D48+1),0),IF(Career_History!I49=TRUE,IF(A341&lt;Career_History!D49,0,MIN(A341,Career_History!E49)-Career_History!D49+1),0))/365.2425</f>
        <v>16.999664606391644</v>
      </c>
      <c r="AW341" s="9">
        <f>SUM(IF(Career_History!H47=TRUE,IF(A341&lt;Career_History!D47,0,MIN(A341,Career_History!E47)-Career_History!D47+1),0),IF(Career_History!H48=TRUE,IF(A341&lt;Career_History!D48,0,MIN(A341,Career_History!E48)-Career_History!D48+1),0),IF(Career_History!H49=TRUE,IF(A341&lt;Career_History!D49,0,MIN(A341,Career_History!E49)-Career_History!D49+1),0))/365.2425</f>
        <v>17.749851126306496</v>
      </c>
      <c r="AX341" s="9"/>
      <c r="AY341" s="9"/>
      <c r="AZ341" s="9"/>
      <c r="BA341" s="9">
        <f>SUM(IF(Career_History!G53=TRUE,IF(A341&lt;Career_History!D53,0,MIN(A341,Career_History!E53)-Career_History!D53+1),0),IF(Career_History!G54=TRUE,IF(A341&lt;Career_History!D54,0,MIN(A341,Career_History!E54)-Career_History!D54+1),0),IF(Career_History!G55=TRUE,IF(A341&lt;Career_History!D55,0,MIN(A341,Career_History!E55)-Career_History!D55+1),0),IF(Career_History!G56=TRUE,IF(A341&lt;Career_History!D56,0,MIN(A341,Career_History!E56)-Career_History!D56+1),0),IF(Career_History!G57=TRUE,IF(A341&lt;Career_History!D57,0,MIN(A341,Career_History!E57)-Career_History!D57+1),0))/365.2425</f>
        <v>46.74976214432877</v>
      </c>
      <c r="BB341" s="9">
        <f>SUM(IF(Career_History!I53=TRUE,IF(A341&lt;Career_History!D53,0,MIN(A341,Career_History!E53)-Career_History!D53+1),0),IF(Career_History!I54=TRUE,IF(A341&lt;Career_History!D54,0,MIN(A341,Career_History!E54)-Career_History!D54+1),0),IF(Career_History!I55=TRUE,IF(A341&lt;Career_History!D55,0,MIN(A341,Career_History!E55)-Career_History!D55+1),0),IF(Career_History!I56=TRUE,IF(A341&lt;Career_History!D56,0,MIN(A341,Career_History!E56)-Career_History!D56+1),0),IF(Career_History!I57=TRUE,IF(A341&lt;Career_History!D57,0,MIN(A341,Career_History!E57)-Career_History!D57+1),0))/365.2425</f>
        <v>0</v>
      </c>
      <c r="BC341" s="9">
        <f>SUM(IF(Career_History!H53=TRUE,IF(A341&lt;Career_History!D53,0,MIN(A341,Career_History!E53)-Career_History!D53+1),0),IF(Career_History!H54=TRUE,IF(A341&lt;Career_History!D54,0,MIN(A341,Career_History!E54)-Career_History!D54+1),0),IF(Career_History!H55=TRUE,IF(A341&lt;Career_History!D55,0,MIN(A341,Career_History!E55)-Career_History!D55+1),0),IF(Career_History!H56=TRUE,IF(A341&lt;Career_History!D56,0,MIN(A341,Career_History!E56)-Career_History!D56+1),0),IF(Career_History!H57=TRUE,IF(A341&lt;Career_History!D57,0,MIN(A341,Career_History!E57)-Career_History!D57+1),0))/365.2425</f>
        <v>46.74976214432877</v>
      </c>
      <c r="BD341" s="9">
        <f>SUM(IF(Career_History!G58=TRUE,IF(A341&lt;Career_History!D58,0,MIN(A341,Career_History!E58)-Career_History!D58+1),0),IF(Career_History!G59=TRUE,IF(A341&lt;Career_History!D59,0,MIN(A341,Career_History!E59)-Career_History!D59+1),0),IF(Career_History!G60=TRUE,IF(A341&lt;Career_History!D60,0,MIN(A341,Career_History!E60)-Career_History!D60+1),0))/365.2425</f>
        <v>22.245494431781623</v>
      </c>
      <c r="BE341" s="9">
        <f>SUM(IF(Career_History!I58=TRUE,IF(A341&lt;Career_History!D58,0,MIN(A341,Career_History!E58)-Career_History!D58+1),0),IF(Career_History!I59=TRUE,IF(A341&lt;Career_History!D59,0,MIN(A341,Career_History!E59)-Career_History!D59+1),0),IF(Career_History!I60=TRUE,IF(A341&lt;Career_History!D60,0,MIN(A341,Career_History!E60)-Career_History!D60+1),0))/365.2425</f>
        <v>20.000410686051048</v>
      </c>
      <c r="BF341" s="9">
        <f>SUM(IF(Career_History!H58=TRUE,IF(A341&lt;Career_History!D58,0,MIN(A341,Career_History!E58)-Career_History!D58+1),0),IF(Career_History!H59=TRUE,IF(A341&lt;Career_History!D59,0,MIN(A341,Career_History!E59)-Career_History!D59+1),0),IF(Career_History!H60=TRUE,IF(A341&lt;Career_History!D60,0,MIN(A341,Career_History!E60)-Career_History!D60+1),0))/365.2425</f>
        <v>2.2450837457305761</v>
      </c>
      <c r="BG341" s="9">
        <f>SUM(IF(Career_History!G61=TRUE,IF(A341&lt;Career_History!D61,0,MIN(A341,Career_History!E61)-Career_History!D61+1),0),IF(Career_History!G62=TRUE,IF(A341&lt;Career_History!D62,0,MIN(A341,Career_History!E62)-Career_History!D62+1),0),IF(Career_History!G63=TRUE,IF(A341&lt;Career_History!D63,0,MIN(A341,Career_History!E63)-Career_History!D63+1),0))/365.2425</f>
        <v>21.24615837423082</v>
      </c>
      <c r="BH341" s="9">
        <f>SUM(IF(Career_History!I61=TRUE,IF(A341&lt;Career_History!D61,0,MIN(A341,Career_History!E61)-Career_History!D61+1),0),IF(Career_History!I62=TRUE,IF(A341&lt;Career_History!D62,0,MIN(A341,Career_History!E62)-Career_History!D62+1),0),IF(Career_History!I63=TRUE,IF(A341&lt;Career_History!D63,0,MIN(A341,Career_History!E63)-Career_History!D63+1),0))/365.2425</f>
        <v>20.000410686051048</v>
      </c>
      <c r="BI341" s="9">
        <f>SUM(IF(Career_History!H61=TRUE,IF(A341&lt;Career_History!D61,0,MIN(A341,Career_History!E61)-Career_History!D61+1),0),IF(Career_History!H62=TRUE,IF(A341&lt;Career_History!D62,0,MIN(A341,Career_History!E62)-Career_History!D62+1),0),IF(Career_History!H63=TRUE,IF(A341&lt;Career_History!D63,0,MIN(A341,Career_History!E63)-Career_History!D63+1),0))/365.2425</f>
        <v>1.2457476881797709</v>
      </c>
      <c r="BJ341" s="9">
        <f>SUM(IF(Career_History!G64=TRUE,IF(A341&lt;Career_History!D64,0,MIN(A341,Career_History!E64)-Career_History!D64+1),0),IF(Career_History!G65=TRUE,IF(A341&lt;Career_History!D65,0,MIN(A341,Career_History!E65)-Career_History!D65+1),0),IF(Career_History!G66=TRUE,IF(A341&lt;Career_History!D66,0,MIN(A341,Career_History!E66)-Career_History!D66+1),0),IF(Career_History!G67=TRUE,IF(A341&lt;Career_History!D67,0,MIN(A341,Career_History!E67)-Career_History!D67+1),0))/365.2425</f>
        <v>14.245330157361204</v>
      </c>
      <c r="BK341" s="9">
        <f>SUM(IF(Career_History!I64=TRUE,IF(A341&lt;Career_History!D64,0,MIN(A341,Career_History!E64)-Career_History!D64+1),0),IF(Career_History!I65=TRUE,IF(A341&lt;Career_History!D65,0,MIN(A341,Career_History!E65)-Career_History!D65+1),0),IF(Career_History!I66=TRUE,IF(A341&lt;Career_History!D66,0,MIN(A341,Career_History!E66)-Career_History!D66+1),0),IF(Career_History!I67=TRUE,IF(A341&lt;Career_History!D67,0,MIN(A341,Career_History!E67)-Career_History!D67+1),0))/365.2425</f>
        <v>12.495807579895549</v>
      </c>
      <c r="BL341" s="9">
        <f>SUM(IF(Career_History!H64=TRUE,IF(A341&lt;Career_History!D64,0,MIN(A341,Career_History!E64)-Career_History!D64+1),0),IF(Career_History!H65=TRUE,IF(A341&lt;Career_History!D65,0,MIN(A341,Career_History!E65)-Career_History!D65+1),0),IF(Career_History!H66=TRUE,IF(A341&lt;Career_History!D66,0,MIN(A341,Career_History!E66)-Career_History!D66+1),0),IF(Career_History!H67=TRUE,IF(A341&lt;Career_History!D67,0,MIN(A341,Career_History!E67)-Career_History!D67+1),0))/365.2425</f>
        <v>1.7495225774656564</v>
      </c>
      <c r="BM341" s="9"/>
      <c r="BN341" s="9"/>
      <c r="BO341" s="9"/>
    </row>
    <row r="342" spans="1:67">
      <c r="A342" s="8">
        <v>45046</v>
      </c>
      <c r="B342" s="9">
        <f t="shared" si="15"/>
        <v>27.929389378289763</v>
      </c>
      <c r="C342" s="9">
        <f t="shared" si="16"/>
        <v>13.899258711677856</v>
      </c>
      <c r="D342" s="9">
        <f t="shared" si="17"/>
        <v>14.030130666611907</v>
      </c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  <c r="AJ342" s="9"/>
      <c r="AK342" s="9"/>
      <c r="AL342" s="9"/>
      <c r="AM342" s="9"/>
      <c r="AN342" s="9"/>
      <c r="AO342" s="9"/>
      <c r="AP342" s="9"/>
      <c r="AQ342" s="9"/>
      <c r="AR342" s="9"/>
      <c r="AS342" s="9"/>
      <c r="AT342" s="9"/>
      <c r="AU342" s="9">
        <f>SUM(IF(Career_History!G47=TRUE,IF(A342&lt;Career_History!D47,0,MIN(A342,Career_History!E47)-Career_History!D47+1),0),IF(Career_History!G48=TRUE,IF(A342&lt;Career_History!D48,0,MIN(A342,Career_History!E48)-Career_History!D48+1),0),IF(Career_History!G49=TRUE,IF(A342&lt;Career_History!D49,0,MIN(A342,Career_History!E49)-Career_History!D49+1),0))/365.2425</f>
        <v>34.831652942907795</v>
      </c>
      <c r="AV342" s="9">
        <f>SUM(IF(Career_History!I47=TRUE,IF(A342&lt;Career_History!D47,0,MIN(A342,Career_History!E47)-Career_History!D47+1),0),IF(Career_History!I48=TRUE,IF(A342&lt;Career_History!D48,0,MIN(A342,Career_History!E48)-Career_History!D48+1),0),IF(Career_History!I49=TRUE,IF(A342&lt;Career_History!D49,0,MIN(A342,Career_History!E49)-Career_History!D49+1),0))/365.2425</f>
        <v>16.999664606391644</v>
      </c>
      <c r="AW342" s="9">
        <f>SUM(IF(Career_History!H47=TRUE,IF(A342&lt;Career_History!D47,0,MIN(A342,Career_History!E47)-Career_History!D47+1),0),IF(Career_History!H48=TRUE,IF(A342&lt;Career_History!D48,0,MIN(A342,Career_History!E48)-Career_History!D48+1),0),IF(Career_History!H49=TRUE,IF(A342&lt;Career_History!D49,0,MIN(A342,Career_History!E49)-Career_History!D49+1),0))/365.2425</f>
        <v>17.831988336516151</v>
      </c>
      <c r="AX342" s="9"/>
      <c r="AY342" s="9"/>
      <c r="AZ342" s="9"/>
      <c r="BA342" s="9">
        <f>SUM(IF(Career_History!G53=TRUE,IF(A342&lt;Career_History!D53,0,MIN(A342,Career_History!E53)-Career_History!D53+1),0),IF(Career_History!G54=TRUE,IF(A342&lt;Career_History!D54,0,MIN(A342,Career_History!E54)-Career_History!D54+1),0),IF(Career_History!G55=TRUE,IF(A342&lt;Career_History!D55,0,MIN(A342,Career_History!E55)-Career_History!D55+1),0),IF(Career_History!G56=TRUE,IF(A342&lt;Career_History!D56,0,MIN(A342,Career_History!E56)-Career_History!D56+1),0),IF(Career_History!G57=TRUE,IF(A342&lt;Career_History!D57,0,MIN(A342,Career_History!E57)-Career_History!D57+1),0))/365.2425</f>
        <v>46.831899354538422</v>
      </c>
      <c r="BB342" s="9">
        <f>SUM(IF(Career_History!I53=TRUE,IF(A342&lt;Career_History!D53,0,MIN(A342,Career_History!E53)-Career_History!D53+1),0),IF(Career_History!I54=TRUE,IF(A342&lt;Career_History!D54,0,MIN(A342,Career_History!E54)-Career_History!D54+1),0),IF(Career_History!I55=TRUE,IF(A342&lt;Career_History!D55,0,MIN(A342,Career_History!E55)-Career_History!D55+1),0),IF(Career_History!I56=TRUE,IF(A342&lt;Career_History!D56,0,MIN(A342,Career_History!E56)-Career_History!D56+1),0),IF(Career_History!I57=TRUE,IF(A342&lt;Career_History!D57,0,MIN(A342,Career_History!E57)-Career_History!D57+1),0))/365.2425</f>
        <v>0</v>
      </c>
      <c r="BC342" s="9">
        <f>SUM(IF(Career_History!H53=TRUE,IF(A342&lt;Career_History!D53,0,MIN(A342,Career_History!E53)-Career_History!D53+1),0),IF(Career_History!H54=TRUE,IF(A342&lt;Career_History!D54,0,MIN(A342,Career_History!E54)-Career_History!D54+1),0),IF(Career_History!H55=TRUE,IF(A342&lt;Career_History!D55,0,MIN(A342,Career_History!E55)-Career_History!D55+1),0),IF(Career_History!H56=TRUE,IF(A342&lt;Career_History!D56,0,MIN(A342,Career_History!E56)-Career_History!D56+1),0),IF(Career_History!H57=TRUE,IF(A342&lt;Career_History!D57,0,MIN(A342,Career_History!E57)-Career_History!D57+1),0))/365.2425</f>
        <v>46.831899354538422</v>
      </c>
      <c r="BD342" s="9">
        <f>SUM(IF(Career_History!G58=TRUE,IF(A342&lt;Career_History!D58,0,MIN(A342,Career_History!E58)-Career_History!D58+1),0),IF(Career_History!G59=TRUE,IF(A342&lt;Career_History!D59,0,MIN(A342,Career_History!E59)-Career_History!D59+1),0),IF(Career_History!G60=TRUE,IF(A342&lt;Career_History!D60,0,MIN(A342,Career_History!E60)-Career_History!D60+1),0))/365.2425</f>
        <v>22.327631641991278</v>
      </c>
      <c r="BE342" s="9">
        <f>SUM(IF(Career_History!I58=TRUE,IF(A342&lt;Career_History!D58,0,MIN(A342,Career_History!E58)-Career_History!D58+1),0),IF(Career_History!I59=TRUE,IF(A342&lt;Career_History!D59,0,MIN(A342,Career_History!E59)-Career_History!D59+1),0),IF(Career_History!I60=TRUE,IF(A342&lt;Career_History!D60,0,MIN(A342,Career_History!E60)-Career_History!D60+1),0))/365.2425</f>
        <v>20.000410686051048</v>
      </c>
      <c r="BF342" s="9">
        <f>SUM(IF(Career_History!H58=TRUE,IF(A342&lt;Career_History!D58,0,MIN(A342,Career_History!E58)-Career_History!D58+1),0),IF(Career_History!H59=TRUE,IF(A342&lt;Career_History!D59,0,MIN(A342,Career_History!E59)-Career_History!D59+1),0),IF(Career_History!H60=TRUE,IF(A342&lt;Career_History!D60,0,MIN(A342,Career_History!E60)-Career_History!D60+1),0))/365.2425</f>
        <v>2.3272209559402315</v>
      </c>
      <c r="BG342" s="9">
        <f>SUM(IF(Career_History!G61=TRUE,IF(A342&lt;Career_History!D61,0,MIN(A342,Career_History!E61)-Career_History!D61+1),0),IF(Career_History!G62=TRUE,IF(A342&lt;Career_History!D62,0,MIN(A342,Career_History!E62)-Career_History!D62+1),0),IF(Career_History!G63=TRUE,IF(A342&lt;Career_History!D63,0,MIN(A342,Career_History!E63)-Career_History!D63+1),0))/365.2425</f>
        <v>21.328295584440475</v>
      </c>
      <c r="BH342" s="9">
        <f>SUM(IF(Career_History!I61=TRUE,IF(A342&lt;Career_History!D61,0,MIN(A342,Career_History!E61)-Career_History!D61+1),0),IF(Career_History!I62=TRUE,IF(A342&lt;Career_History!D62,0,MIN(A342,Career_History!E62)-Career_History!D62+1),0),IF(Career_History!I63=TRUE,IF(A342&lt;Career_History!D63,0,MIN(A342,Career_History!E63)-Career_History!D63+1),0))/365.2425</f>
        <v>20.000410686051048</v>
      </c>
      <c r="BI342" s="9">
        <f>SUM(IF(Career_History!H61=TRUE,IF(A342&lt;Career_History!D61,0,MIN(A342,Career_History!E61)-Career_History!D61+1),0),IF(Career_History!H62=TRUE,IF(A342&lt;Career_History!D62,0,MIN(A342,Career_History!E62)-Career_History!D62+1),0),IF(Career_History!H63=TRUE,IF(A342&lt;Career_History!D63,0,MIN(A342,Career_History!E63)-Career_History!D63+1),0))/365.2425</f>
        <v>1.3278848983894262</v>
      </c>
      <c r="BJ342" s="9">
        <f>SUM(IF(Career_History!G64=TRUE,IF(A342&lt;Career_History!D64,0,MIN(A342,Career_History!E64)-Career_History!D64+1),0),IF(Career_History!G65=TRUE,IF(A342&lt;Career_History!D65,0,MIN(A342,Career_History!E65)-Career_History!D65+1),0),IF(Career_History!G66=TRUE,IF(A342&lt;Career_History!D66,0,MIN(A342,Career_History!E66)-Career_History!D66+1),0),IF(Career_History!G67=TRUE,IF(A342&lt;Career_History!D67,0,MIN(A342,Career_History!E67)-Career_History!D67+1),0))/365.2425</f>
        <v>14.327467367570859</v>
      </c>
      <c r="BK342" s="9">
        <f>SUM(IF(Career_History!I64=TRUE,IF(A342&lt;Career_History!D64,0,MIN(A342,Career_History!E64)-Career_History!D64+1),0),IF(Career_History!I65=TRUE,IF(A342&lt;Career_History!D65,0,MIN(A342,Career_History!E65)-Career_History!D65+1),0),IF(Career_History!I66=TRUE,IF(A342&lt;Career_History!D66,0,MIN(A342,Career_History!E66)-Career_History!D66+1),0),IF(Career_History!I67=TRUE,IF(A342&lt;Career_History!D67,0,MIN(A342,Career_History!E67)-Career_History!D67+1),0))/365.2425</f>
        <v>12.495807579895549</v>
      </c>
      <c r="BL342" s="9">
        <f>SUM(IF(Career_History!H64=TRUE,IF(A342&lt;Career_History!D64,0,MIN(A342,Career_History!E64)-Career_History!D64+1),0),IF(Career_History!H65=TRUE,IF(A342&lt;Career_History!D65,0,MIN(A342,Career_History!E65)-Career_History!D65+1),0),IF(Career_History!H66=TRUE,IF(A342&lt;Career_History!D66,0,MIN(A342,Career_History!E66)-Career_History!D66+1),0),IF(Career_History!H67=TRUE,IF(A342&lt;Career_History!D67,0,MIN(A342,Career_History!E67)-Career_History!D67+1),0))/365.2425</f>
        <v>1.8316597876753116</v>
      </c>
      <c r="BM342" s="9"/>
      <c r="BN342" s="9"/>
      <c r="BO342" s="9"/>
    </row>
    <row r="343" spans="1:67">
      <c r="A343" s="8">
        <v>45077</v>
      </c>
      <c r="B343" s="9">
        <f t="shared" si="15"/>
        <v>28.01426449550641</v>
      </c>
      <c r="C343" s="9">
        <f t="shared" si="16"/>
        <v>13.899258711677856</v>
      </c>
      <c r="D343" s="9">
        <f t="shared" si="17"/>
        <v>14.115005783828554</v>
      </c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  <c r="AJ343" s="9"/>
      <c r="AK343" s="9"/>
      <c r="AL343" s="9"/>
      <c r="AM343" s="9"/>
      <c r="AN343" s="9"/>
      <c r="AO343" s="9"/>
      <c r="AP343" s="9"/>
      <c r="AQ343" s="9"/>
      <c r="AR343" s="9"/>
      <c r="AS343" s="9"/>
      <c r="AT343" s="9"/>
      <c r="AU343" s="9">
        <f>SUM(IF(Career_History!G47=TRUE,IF(A343&lt;Career_History!D47,0,MIN(A343,Career_History!E47)-Career_History!D47+1),0),IF(Career_History!G48=TRUE,IF(A343&lt;Career_History!D48,0,MIN(A343,Career_History!E48)-Career_History!D48+1),0),IF(Career_History!G49=TRUE,IF(A343&lt;Career_History!D49,0,MIN(A343,Career_History!E49)-Career_History!D49+1),0))/365.2425</f>
        <v>34.916528060124435</v>
      </c>
      <c r="AV343" s="9">
        <f>SUM(IF(Career_History!I47=TRUE,IF(A343&lt;Career_History!D47,0,MIN(A343,Career_History!E47)-Career_History!D47+1),0),IF(Career_History!I48=TRUE,IF(A343&lt;Career_History!D48,0,MIN(A343,Career_History!E48)-Career_History!D48+1),0),IF(Career_History!I49=TRUE,IF(A343&lt;Career_History!D49,0,MIN(A343,Career_History!E49)-Career_History!D49+1),0))/365.2425</f>
        <v>16.999664606391644</v>
      </c>
      <c r="AW343" s="9">
        <f>SUM(IF(Career_History!H47=TRUE,IF(A343&lt;Career_History!D47,0,MIN(A343,Career_History!E47)-Career_History!D47+1),0),IF(Career_History!H48=TRUE,IF(A343&lt;Career_History!D48,0,MIN(A343,Career_History!E48)-Career_History!D48+1),0),IF(Career_History!H49=TRUE,IF(A343&lt;Career_History!D49,0,MIN(A343,Career_History!E49)-Career_History!D49+1),0))/365.2425</f>
        <v>17.916863453732795</v>
      </c>
      <c r="AX343" s="9"/>
      <c r="AY343" s="9"/>
      <c r="AZ343" s="9"/>
      <c r="BA343" s="9">
        <f>SUM(IF(Career_History!G53=TRUE,IF(A343&lt;Career_History!D53,0,MIN(A343,Career_History!E53)-Career_History!D53+1),0),IF(Career_History!G54=TRUE,IF(A343&lt;Career_History!D54,0,MIN(A343,Career_History!E54)-Career_History!D54+1),0),IF(Career_History!G55=TRUE,IF(A343&lt;Career_History!D55,0,MIN(A343,Career_History!E55)-Career_History!D55+1),0),IF(Career_History!G56=TRUE,IF(A343&lt;Career_History!D56,0,MIN(A343,Career_History!E56)-Career_History!D56+1),0),IF(Career_History!G57=TRUE,IF(A343&lt;Career_History!D57,0,MIN(A343,Career_History!E57)-Career_History!D57+1),0))/365.2425</f>
        <v>46.916774471755069</v>
      </c>
      <c r="BB343" s="9">
        <f>SUM(IF(Career_History!I53=TRUE,IF(A343&lt;Career_History!D53,0,MIN(A343,Career_History!E53)-Career_History!D53+1),0),IF(Career_History!I54=TRUE,IF(A343&lt;Career_History!D54,0,MIN(A343,Career_History!E54)-Career_History!D54+1),0),IF(Career_History!I55=TRUE,IF(A343&lt;Career_History!D55,0,MIN(A343,Career_History!E55)-Career_History!D55+1),0),IF(Career_History!I56=TRUE,IF(A343&lt;Career_History!D56,0,MIN(A343,Career_History!E56)-Career_History!D56+1),0),IF(Career_History!I57=TRUE,IF(A343&lt;Career_History!D57,0,MIN(A343,Career_History!E57)-Career_History!D57+1),0))/365.2425</f>
        <v>0</v>
      </c>
      <c r="BC343" s="9">
        <f>SUM(IF(Career_History!H53=TRUE,IF(A343&lt;Career_History!D53,0,MIN(A343,Career_History!E53)-Career_History!D53+1),0),IF(Career_History!H54=TRUE,IF(A343&lt;Career_History!D54,0,MIN(A343,Career_History!E54)-Career_History!D54+1),0),IF(Career_History!H55=TRUE,IF(A343&lt;Career_History!D55,0,MIN(A343,Career_History!E55)-Career_History!D55+1),0),IF(Career_History!H56=TRUE,IF(A343&lt;Career_History!D56,0,MIN(A343,Career_History!E56)-Career_History!D56+1),0),IF(Career_History!H57=TRUE,IF(A343&lt;Career_History!D57,0,MIN(A343,Career_History!E57)-Career_History!D57+1),0))/365.2425</f>
        <v>46.916774471755069</v>
      </c>
      <c r="BD343" s="9">
        <f>SUM(IF(Career_History!G58=TRUE,IF(A343&lt;Career_History!D58,0,MIN(A343,Career_History!E58)-Career_History!D58+1),0),IF(Career_History!G59=TRUE,IF(A343&lt;Career_History!D59,0,MIN(A343,Career_History!E59)-Career_History!D59+1),0),IF(Career_History!G60=TRUE,IF(A343&lt;Career_History!D60,0,MIN(A343,Career_History!E60)-Career_History!D60+1),0))/365.2425</f>
        <v>22.412506759207922</v>
      </c>
      <c r="BE343" s="9">
        <f>SUM(IF(Career_History!I58=TRUE,IF(A343&lt;Career_History!D58,0,MIN(A343,Career_History!E58)-Career_History!D58+1),0),IF(Career_History!I59=TRUE,IF(A343&lt;Career_History!D59,0,MIN(A343,Career_History!E59)-Career_History!D59+1),0),IF(Career_History!I60=TRUE,IF(A343&lt;Career_History!D60,0,MIN(A343,Career_History!E60)-Career_History!D60+1),0))/365.2425</f>
        <v>20.000410686051048</v>
      </c>
      <c r="BF343" s="9">
        <f>SUM(IF(Career_History!H58=TRUE,IF(A343&lt;Career_History!D58,0,MIN(A343,Career_History!E58)-Career_History!D58+1),0),IF(Career_History!H59=TRUE,IF(A343&lt;Career_History!D59,0,MIN(A343,Career_History!E59)-Career_History!D59+1),0),IF(Career_History!H60=TRUE,IF(A343&lt;Career_History!D60,0,MIN(A343,Career_History!E60)-Career_History!D60+1),0))/365.2425</f>
        <v>2.4120960731568752</v>
      </c>
      <c r="BG343" s="9">
        <f>SUM(IF(Career_History!G61=TRUE,IF(A343&lt;Career_History!D61,0,MIN(A343,Career_History!E61)-Career_History!D61+1),0),IF(Career_History!G62=TRUE,IF(A343&lt;Career_History!D62,0,MIN(A343,Career_History!E62)-Career_History!D62+1),0),IF(Career_History!G63=TRUE,IF(A343&lt;Career_History!D63,0,MIN(A343,Career_History!E63)-Career_History!D63+1),0))/365.2425</f>
        <v>21.413170701657119</v>
      </c>
      <c r="BH343" s="9">
        <f>SUM(IF(Career_History!I61=TRUE,IF(A343&lt;Career_History!D61,0,MIN(A343,Career_History!E61)-Career_History!D61+1),0),IF(Career_History!I62=TRUE,IF(A343&lt;Career_History!D62,0,MIN(A343,Career_History!E62)-Career_History!D62+1),0),IF(Career_History!I63=TRUE,IF(A343&lt;Career_History!D63,0,MIN(A343,Career_History!E63)-Career_History!D63+1),0))/365.2425</f>
        <v>20.000410686051048</v>
      </c>
      <c r="BI343" s="9">
        <f>SUM(IF(Career_History!H61=TRUE,IF(A343&lt;Career_History!D61,0,MIN(A343,Career_History!E61)-Career_History!D61+1),0),IF(Career_History!H62=TRUE,IF(A343&lt;Career_History!D62,0,MIN(A343,Career_History!E62)-Career_History!D62+1),0),IF(Career_History!H63=TRUE,IF(A343&lt;Career_History!D63,0,MIN(A343,Career_History!E63)-Career_History!D63+1),0))/365.2425</f>
        <v>1.41276001560607</v>
      </c>
      <c r="BJ343" s="9">
        <f>SUM(IF(Career_History!G64=TRUE,IF(A343&lt;Career_History!D64,0,MIN(A343,Career_History!E64)-Career_History!D64+1),0),IF(Career_History!G65=TRUE,IF(A343&lt;Career_History!D65,0,MIN(A343,Career_History!E65)-Career_History!D65+1),0),IF(Career_History!G66=TRUE,IF(A343&lt;Career_History!D66,0,MIN(A343,Career_History!E66)-Career_History!D66+1),0),IF(Career_History!G67=TRUE,IF(A343&lt;Career_History!D67,0,MIN(A343,Career_History!E67)-Career_History!D67+1),0))/365.2425</f>
        <v>14.412342484787503</v>
      </c>
      <c r="BK343" s="9">
        <f>SUM(IF(Career_History!I64=TRUE,IF(A343&lt;Career_History!D64,0,MIN(A343,Career_History!E64)-Career_History!D64+1),0),IF(Career_History!I65=TRUE,IF(A343&lt;Career_History!D65,0,MIN(A343,Career_History!E65)-Career_History!D65+1),0),IF(Career_History!I66=TRUE,IF(A343&lt;Career_History!D66,0,MIN(A343,Career_History!E66)-Career_History!D66+1),0),IF(Career_History!I67=TRUE,IF(A343&lt;Career_History!D67,0,MIN(A343,Career_History!E67)-Career_History!D67+1),0))/365.2425</f>
        <v>12.495807579895549</v>
      </c>
      <c r="BL343" s="9">
        <f>SUM(IF(Career_History!H64=TRUE,IF(A343&lt;Career_History!D64,0,MIN(A343,Career_History!E64)-Career_History!D64+1),0),IF(Career_History!H65=TRUE,IF(A343&lt;Career_History!D65,0,MIN(A343,Career_History!E65)-Career_History!D65+1),0),IF(Career_History!H66=TRUE,IF(A343&lt;Career_History!D66,0,MIN(A343,Career_History!E66)-Career_History!D66+1),0),IF(Career_History!H67=TRUE,IF(A343&lt;Career_History!D67,0,MIN(A343,Career_History!E67)-Career_History!D67+1),0))/365.2425</f>
        <v>1.9165349048919553</v>
      </c>
      <c r="BM343" s="9"/>
      <c r="BN343" s="9"/>
      <c r="BO343" s="9"/>
    </row>
    <row r="344" spans="1:67">
      <c r="A344" s="8">
        <v>45107</v>
      </c>
      <c r="B344" s="9">
        <f t="shared" si="15"/>
        <v>28.096401705716069</v>
      </c>
      <c r="C344" s="9">
        <f t="shared" si="16"/>
        <v>13.899258711677856</v>
      </c>
      <c r="D344" s="9">
        <f t="shared" si="17"/>
        <v>14.197142994038206</v>
      </c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  <c r="AJ344" s="9"/>
      <c r="AK344" s="9"/>
      <c r="AL344" s="9"/>
      <c r="AM344" s="9"/>
      <c r="AN344" s="9"/>
      <c r="AO344" s="9"/>
      <c r="AP344" s="9"/>
      <c r="AQ344" s="9"/>
      <c r="AR344" s="9"/>
      <c r="AS344" s="9"/>
      <c r="AT344" s="9"/>
      <c r="AU344" s="9">
        <f>SUM(IF(Career_History!G47=TRUE,IF(A344&lt;Career_History!D47,0,MIN(A344,Career_History!E47)-Career_History!D47+1),0),IF(Career_History!G48=TRUE,IF(A344&lt;Career_History!D48,0,MIN(A344,Career_History!E48)-Career_History!D48+1),0),IF(Career_History!G49=TRUE,IF(A344&lt;Career_History!D49,0,MIN(A344,Career_History!E49)-Career_History!D49+1),0))/365.2425</f>
        <v>34.998665270334094</v>
      </c>
      <c r="AV344" s="9">
        <f>SUM(IF(Career_History!I47=TRUE,IF(A344&lt;Career_History!D47,0,MIN(A344,Career_History!E47)-Career_History!D47+1),0),IF(Career_History!I48=TRUE,IF(A344&lt;Career_History!D48,0,MIN(A344,Career_History!E48)-Career_History!D48+1),0),IF(Career_History!I49=TRUE,IF(A344&lt;Career_History!D49,0,MIN(A344,Career_History!E49)-Career_History!D49+1),0))/365.2425</f>
        <v>16.999664606391644</v>
      </c>
      <c r="AW344" s="9">
        <f>SUM(IF(Career_History!H47=TRUE,IF(A344&lt;Career_History!D47,0,MIN(A344,Career_History!E47)-Career_History!D47+1),0),IF(Career_History!H48=TRUE,IF(A344&lt;Career_History!D48,0,MIN(A344,Career_History!E48)-Career_History!D48+1),0),IF(Career_History!H49=TRUE,IF(A344&lt;Career_History!D49,0,MIN(A344,Career_History!E49)-Career_History!D49+1),0))/365.2425</f>
        <v>17.99900066394245</v>
      </c>
      <c r="AX344" s="9"/>
      <c r="AY344" s="9"/>
      <c r="AZ344" s="9"/>
      <c r="BA344" s="9">
        <f>SUM(IF(Career_History!G53=TRUE,IF(A344&lt;Career_History!D53,0,MIN(A344,Career_History!E53)-Career_History!D53+1),0),IF(Career_History!G54=TRUE,IF(A344&lt;Career_History!D54,0,MIN(A344,Career_History!E54)-Career_History!D54+1),0),IF(Career_History!G55=TRUE,IF(A344&lt;Career_History!D55,0,MIN(A344,Career_History!E55)-Career_History!D55+1),0),IF(Career_History!G56=TRUE,IF(A344&lt;Career_History!D56,0,MIN(A344,Career_History!E56)-Career_History!D56+1),0),IF(Career_History!G57=TRUE,IF(A344&lt;Career_History!D57,0,MIN(A344,Career_History!E57)-Career_History!D57+1),0))/365.2425</f>
        <v>46.998911681964721</v>
      </c>
      <c r="BB344" s="9">
        <f>SUM(IF(Career_History!I53=TRUE,IF(A344&lt;Career_History!D53,0,MIN(A344,Career_History!E53)-Career_History!D53+1),0),IF(Career_History!I54=TRUE,IF(A344&lt;Career_History!D54,0,MIN(A344,Career_History!E54)-Career_History!D54+1),0),IF(Career_History!I55=TRUE,IF(A344&lt;Career_History!D55,0,MIN(A344,Career_History!E55)-Career_History!D55+1),0),IF(Career_History!I56=TRUE,IF(A344&lt;Career_History!D56,0,MIN(A344,Career_History!E56)-Career_History!D56+1),0),IF(Career_History!I57=TRUE,IF(A344&lt;Career_History!D57,0,MIN(A344,Career_History!E57)-Career_History!D57+1),0))/365.2425</f>
        <v>0</v>
      </c>
      <c r="BC344" s="9">
        <f>SUM(IF(Career_History!H53=TRUE,IF(A344&lt;Career_History!D53,0,MIN(A344,Career_History!E53)-Career_History!D53+1),0),IF(Career_History!H54=TRUE,IF(A344&lt;Career_History!D54,0,MIN(A344,Career_History!E54)-Career_History!D54+1),0),IF(Career_History!H55=TRUE,IF(A344&lt;Career_History!D55,0,MIN(A344,Career_History!E55)-Career_History!D55+1),0),IF(Career_History!H56=TRUE,IF(A344&lt;Career_History!D56,0,MIN(A344,Career_History!E56)-Career_History!D56+1),0),IF(Career_History!H57=TRUE,IF(A344&lt;Career_History!D57,0,MIN(A344,Career_History!E57)-Career_History!D57+1),0))/365.2425</f>
        <v>46.998911681964721</v>
      </c>
      <c r="BD344" s="9">
        <f>SUM(IF(Career_History!G58=TRUE,IF(A344&lt;Career_History!D58,0,MIN(A344,Career_History!E58)-Career_History!D58+1),0),IF(Career_History!G59=TRUE,IF(A344&lt;Career_History!D59,0,MIN(A344,Career_History!E59)-Career_History!D59+1),0),IF(Career_History!G60=TRUE,IF(A344&lt;Career_History!D60,0,MIN(A344,Career_History!E60)-Career_History!D60+1),0))/365.2425</f>
        <v>22.494643969417577</v>
      </c>
      <c r="BE344" s="9">
        <f>SUM(IF(Career_History!I58=TRUE,IF(A344&lt;Career_History!D58,0,MIN(A344,Career_History!E58)-Career_History!D58+1),0),IF(Career_History!I59=TRUE,IF(A344&lt;Career_History!D59,0,MIN(A344,Career_History!E59)-Career_History!D59+1),0),IF(Career_History!I60=TRUE,IF(A344&lt;Career_History!D60,0,MIN(A344,Career_History!E60)-Career_History!D60+1),0))/365.2425</f>
        <v>20.000410686051048</v>
      </c>
      <c r="BF344" s="9">
        <f>SUM(IF(Career_History!H58=TRUE,IF(A344&lt;Career_History!D58,0,MIN(A344,Career_History!E58)-Career_History!D58+1),0),IF(Career_History!H59=TRUE,IF(A344&lt;Career_History!D59,0,MIN(A344,Career_History!E59)-Career_History!D59+1),0),IF(Career_History!H60=TRUE,IF(A344&lt;Career_History!D60,0,MIN(A344,Career_History!E60)-Career_History!D60+1),0))/365.2425</f>
        <v>2.4942332833665306</v>
      </c>
      <c r="BG344" s="9">
        <f>SUM(IF(Career_History!G61=TRUE,IF(A344&lt;Career_History!D61,0,MIN(A344,Career_History!E61)-Career_History!D61+1),0),IF(Career_History!G62=TRUE,IF(A344&lt;Career_History!D62,0,MIN(A344,Career_History!E62)-Career_History!D62+1),0),IF(Career_History!G63=TRUE,IF(A344&lt;Career_History!D63,0,MIN(A344,Career_History!E63)-Career_History!D63+1),0))/365.2425</f>
        <v>21.495307911866774</v>
      </c>
      <c r="BH344" s="9">
        <f>SUM(IF(Career_History!I61=TRUE,IF(A344&lt;Career_History!D61,0,MIN(A344,Career_History!E61)-Career_History!D61+1),0),IF(Career_History!I62=TRUE,IF(A344&lt;Career_History!D62,0,MIN(A344,Career_History!E62)-Career_History!D62+1),0),IF(Career_History!I63=TRUE,IF(A344&lt;Career_History!D63,0,MIN(A344,Career_History!E63)-Career_History!D63+1),0))/365.2425</f>
        <v>20.000410686051048</v>
      </c>
      <c r="BI344" s="9">
        <f>SUM(IF(Career_History!H61=TRUE,IF(A344&lt;Career_History!D61,0,MIN(A344,Career_History!E61)-Career_History!D61+1),0),IF(Career_History!H62=TRUE,IF(A344&lt;Career_History!D62,0,MIN(A344,Career_History!E62)-Career_History!D62+1),0),IF(Career_History!H63=TRUE,IF(A344&lt;Career_History!D63,0,MIN(A344,Career_History!E63)-Career_History!D63+1),0))/365.2425</f>
        <v>1.4948972258157252</v>
      </c>
      <c r="BJ344" s="9">
        <f>SUM(IF(Career_History!G64=TRUE,IF(A344&lt;Career_History!D64,0,MIN(A344,Career_History!E64)-Career_History!D64+1),0),IF(Career_History!G65=TRUE,IF(A344&lt;Career_History!D65,0,MIN(A344,Career_History!E65)-Career_History!D65+1),0),IF(Career_History!G66=TRUE,IF(A344&lt;Career_History!D66,0,MIN(A344,Career_History!E66)-Career_History!D66+1),0),IF(Career_History!G67=TRUE,IF(A344&lt;Career_History!D67,0,MIN(A344,Career_History!E67)-Career_History!D67+1),0))/365.2425</f>
        <v>14.494479694997159</v>
      </c>
      <c r="BK344" s="9">
        <f>SUM(IF(Career_History!I64=TRUE,IF(A344&lt;Career_History!D64,0,MIN(A344,Career_History!E64)-Career_History!D64+1),0),IF(Career_History!I65=TRUE,IF(A344&lt;Career_History!D65,0,MIN(A344,Career_History!E65)-Career_History!D65+1),0),IF(Career_History!I66=TRUE,IF(A344&lt;Career_History!D66,0,MIN(A344,Career_History!E66)-Career_History!D66+1),0),IF(Career_History!I67=TRUE,IF(A344&lt;Career_History!D67,0,MIN(A344,Career_History!E67)-Career_History!D67+1),0))/365.2425</f>
        <v>12.495807579895549</v>
      </c>
      <c r="BL344" s="9">
        <f>SUM(IF(Career_History!H64=TRUE,IF(A344&lt;Career_History!D64,0,MIN(A344,Career_History!E64)-Career_History!D64+1),0),IF(Career_History!H65=TRUE,IF(A344&lt;Career_History!D65,0,MIN(A344,Career_History!E65)-Career_History!D65+1),0),IF(Career_History!H66=TRUE,IF(A344&lt;Career_History!D66,0,MIN(A344,Career_History!E66)-Career_History!D66+1),0),IF(Career_History!H67=TRUE,IF(A344&lt;Career_History!D67,0,MIN(A344,Career_History!E67)-Career_History!D67+1),0))/365.2425</f>
        <v>1.9986721151016105</v>
      </c>
      <c r="BM344" s="9"/>
      <c r="BN344" s="9"/>
      <c r="BO344" s="9"/>
    </row>
    <row r="345" spans="1:67">
      <c r="A345" s="8">
        <v>45138</v>
      </c>
      <c r="B345" s="9">
        <f t="shared" si="15"/>
        <v>28.181276822932709</v>
      </c>
      <c r="C345" s="9">
        <f t="shared" si="16"/>
        <v>13.899258711677856</v>
      </c>
      <c r="D345" s="9">
        <f t="shared" si="17"/>
        <v>14.282018111254853</v>
      </c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  <c r="AJ345" s="9"/>
      <c r="AK345" s="9"/>
      <c r="AL345" s="9"/>
      <c r="AM345" s="9"/>
      <c r="AN345" s="9"/>
      <c r="AO345" s="9"/>
      <c r="AP345" s="9"/>
      <c r="AQ345" s="9"/>
      <c r="AR345" s="9"/>
      <c r="AS345" s="9"/>
      <c r="AT345" s="9"/>
      <c r="AU345" s="9">
        <f>SUM(IF(Career_History!G47=TRUE,IF(A345&lt;Career_History!D47,0,MIN(A345,Career_History!E47)-Career_History!D47+1),0),IF(Career_History!G48=TRUE,IF(A345&lt;Career_History!D48,0,MIN(A345,Career_History!E48)-Career_History!D48+1),0),IF(Career_History!G49=TRUE,IF(A345&lt;Career_History!D49,0,MIN(A345,Career_History!E49)-Career_History!D49+1),0))/365.2425</f>
        <v>35.083540387550734</v>
      </c>
      <c r="AV345" s="9">
        <f>SUM(IF(Career_History!I47=TRUE,IF(A345&lt;Career_History!D47,0,MIN(A345,Career_History!E47)-Career_History!D47+1),0),IF(Career_History!I48=TRUE,IF(A345&lt;Career_History!D48,0,MIN(A345,Career_History!E48)-Career_History!D48+1),0),IF(Career_History!I49=TRUE,IF(A345&lt;Career_History!D49,0,MIN(A345,Career_History!E49)-Career_History!D49+1),0))/365.2425</f>
        <v>16.999664606391644</v>
      </c>
      <c r="AW345" s="9">
        <f>SUM(IF(Career_History!H47=TRUE,IF(A345&lt;Career_History!D47,0,MIN(A345,Career_History!E47)-Career_History!D47+1),0),IF(Career_History!H48=TRUE,IF(A345&lt;Career_History!D48,0,MIN(A345,Career_History!E48)-Career_History!D48+1),0),IF(Career_History!H49=TRUE,IF(A345&lt;Career_History!D49,0,MIN(A345,Career_History!E49)-Career_History!D49+1),0))/365.2425</f>
        <v>18.083875781159094</v>
      </c>
      <c r="AX345" s="9"/>
      <c r="AY345" s="9"/>
      <c r="AZ345" s="9"/>
      <c r="BA345" s="9">
        <f>SUM(IF(Career_History!G53=TRUE,IF(A345&lt;Career_History!D53,0,MIN(A345,Career_History!E53)-Career_History!D53+1),0),IF(Career_History!G54=TRUE,IF(A345&lt;Career_History!D54,0,MIN(A345,Career_History!E54)-Career_History!D54+1),0),IF(Career_History!G55=TRUE,IF(A345&lt;Career_History!D55,0,MIN(A345,Career_History!E55)-Career_History!D55+1),0),IF(Career_History!G56=TRUE,IF(A345&lt;Career_History!D56,0,MIN(A345,Career_History!E56)-Career_History!D56+1),0),IF(Career_History!G57=TRUE,IF(A345&lt;Career_History!D57,0,MIN(A345,Career_History!E57)-Career_History!D57+1),0))/365.2425</f>
        <v>47.083786799181368</v>
      </c>
      <c r="BB345" s="9">
        <f>SUM(IF(Career_History!I53=TRUE,IF(A345&lt;Career_History!D53,0,MIN(A345,Career_History!E53)-Career_History!D53+1),0),IF(Career_History!I54=TRUE,IF(A345&lt;Career_History!D54,0,MIN(A345,Career_History!E54)-Career_History!D54+1),0),IF(Career_History!I55=TRUE,IF(A345&lt;Career_History!D55,0,MIN(A345,Career_History!E55)-Career_History!D55+1),0),IF(Career_History!I56=TRUE,IF(A345&lt;Career_History!D56,0,MIN(A345,Career_History!E56)-Career_History!D56+1),0),IF(Career_History!I57=TRUE,IF(A345&lt;Career_History!D57,0,MIN(A345,Career_History!E57)-Career_History!D57+1),0))/365.2425</f>
        <v>0</v>
      </c>
      <c r="BC345" s="9">
        <f>SUM(IF(Career_History!H53=TRUE,IF(A345&lt;Career_History!D53,0,MIN(A345,Career_History!E53)-Career_History!D53+1),0),IF(Career_History!H54=TRUE,IF(A345&lt;Career_History!D54,0,MIN(A345,Career_History!E54)-Career_History!D54+1),0),IF(Career_History!H55=TRUE,IF(A345&lt;Career_History!D55,0,MIN(A345,Career_History!E55)-Career_History!D55+1),0),IF(Career_History!H56=TRUE,IF(A345&lt;Career_History!D56,0,MIN(A345,Career_History!E56)-Career_History!D56+1),0),IF(Career_History!H57=TRUE,IF(A345&lt;Career_History!D57,0,MIN(A345,Career_History!E57)-Career_History!D57+1),0))/365.2425</f>
        <v>47.083786799181368</v>
      </c>
      <c r="BD345" s="9">
        <f>SUM(IF(Career_History!G58=TRUE,IF(A345&lt;Career_History!D58,0,MIN(A345,Career_History!E58)-Career_History!D58+1),0),IF(Career_History!G59=TRUE,IF(A345&lt;Career_History!D59,0,MIN(A345,Career_History!E59)-Career_History!D59+1),0),IF(Career_History!G60=TRUE,IF(A345&lt;Career_History!D60,0,MIN(A345,Career_History!E60)-Career_History!D60+1),0))/365.2425</f>
        <v>22.579519086634221</v>
      </c>
      <c r="BE345" s="9">
        <f>SUM(IF(Career_History!I58=TRUE,IF(A345&lt;Career_History!D58,0,MIN(A345,Career_History!E58)-Career_History!D58+1),0),IF(Career_History!I59=TRUE,IF(A345&lt;Career_History!D59,0,MIN(A345,Career_History!E59)-Career_History!D59+1),0),IF(Career_History!I60=TRUE,IF(A345&lt;Career_History!D60,0,MIN(A345,Career_History!E60)-Career_History!D60+1),0))/365.2425</f>
        <v>20.000410686051048</v>
      </c>
      <c r="BF345" s="9">
        <f>SUM(IF(Career_History!H58=TRUE,IF(A345&lt;Career_History!D58,0,MIN(A345,Career_History!E58)-Career_History!D58+1),0),IF(Career_History!H59=TRUE,IF(A345&lt;Career_History!D59,0,MIN(A345,Career_History!E59)-Career_History!D59+1),0),IF(Career_History!H60=TRUE,IF(A345&lt;Career_History!D60,0,MIN(A345,Career_History!E60)-Career_History!D60+1),0))/365.2425</f>
        <v>2.5791084005831744</v>
      </c>
      <c r="BG345" s="9">
        <f>SUM(IF(Career_History!G61=TRUE,IF(A345&lt;Career_History!D61,0,MIN(A345,Career_History!E61)-Career_History!D61+1),0),IF(Career_History!G62=TRUE,IF(A345&lt;Career_History!D62,0,MIN(A345,Career_History!E62)-Career_History!D62+1),0),IF(Career_History!G63=TRUE,IF(A345&lt;Career_History!D63,0,MIN(A345,Career_History!E63)-Career_History!D63+1),0))/365.2425</f>
        <v>21.580183029083418</v>
      </c>
      <c r="BH345" s="9">
        <f>SUM(IF(Career_History!I61=TRUE,IF(A345&lt;Career_History!D61,0,MIN(A345,Career_History!E61)-Career_History!D61+1),0),IF(Career_History!I62=TRUE,IF(A345&lt;Career_History!D62,0,MIN(A345,Career_History!E62)-Career_History!D62+1),0),IF(Career_History!I63=TRUE,IF(A345&lt;Career_History!D63,0,MIN(A345,Career_History!E63)-Career_History!D63+1),0))/365.2425</f>
        <v>20.000410686051048</v>
      </c>
      <c r="BI345" s="9">
        <f>SUM(IF(Career_History!H61=TRUE,IF(A345&lt;Career_History!D61,0,MIN(A345,Career_History!E61)-Career_History!D61+1),0),IF(Career_History!H62=TRUE,IF(A345&lt;Career_History!D62,0,MIN(A345,Career_History!E62)-Career_History!D62+1),0),IF(Career_History!H63=TRUE,IF(A345&lt;Career_History!D63,0,MIN(A345,Career_History!E63)-Career_History!D63+1),0))/365.2425</f>
        <v>1.5797723430323689</v>
      </c>
      <c r="BJ345" s="9">
        <f>SUM(IF(Career_History!G64=TRUE,IF(A345&lt;Career_History!D64,0,MIN(A345,Career_History!E64)-Career_History!D64+1),0),IF(Career_History!G65=TRUE,IF(A345&lt;Career_History!D65,0,MIN(A345,Career_History!E65)-Career_History!D65+1),0),IF(Career_History!G66=TRUE,IF(A345&lt;Career_History!D66,0,MIN(A345,Career_History!E66)-Career_History!D66+1),0),IF(Career_History!G67=TRUE,IF(A345&lt;Career_History!D67,0,MIN(A345,Career_History!E67)-Career_History!D67+1),0))/365.2425</f>
        <v>14.579354812213802</v>
      </c>
      <c r="BK345" s="9">
        <f>SUM(IF(Career_History!I64=TRUE,IF(A345&lt;Career_History!D64,0,MIN(A345,Career_History!E64)-Career_History!D64+1),0),IF(Career_History!I65=TRUE,IF(A345&lt;Career_History!D65,0,MIN(A345,Career_History!E65)-Career_History!D65+1),0),IF(Career_History!I66=TRUE,IF(A345&lt;Career_History!D66,0,MIN(A345,Career_History!E66)-Career_History!D66+1),0),IF(Career_History!I67=TRUE,IF(A345&lt;Career_History!D67,0,MIN(A345,Career_History!E67)-Career_History!D67+1),0))/365.2425</f>
        <v>12.495807579895549</v>
      </c>
      <c r="BL345" s="9">
        <f>SUM(IF(Career_History!H64=TRUE,IF(A345&lt;Career_History!D64,0,MIN(A345,Career_History!E64)-Career_History!D64+1),0),IF(Career_History!H65=TRUE,IF(A345&lt;Career_History!D65,0,MIN(A345,Career_History!E65)-Career_History!D65+1),0),IF(Career_History!H66=TRUE,IF(A345&lt;Career_History!D66,0,MIN(A345,Career_History!E66)-Career_History!D66+1),0),IF(Career_History!H67=TRUE,IF(A345&lt;Career_History!D67,0,MIN(A345,Career_History!E67)-Career_History!D67+1),0))/365.2425</f>
        <v>2.0835472323182542</v>
      </c>
      <c r="BM345" s="9"/>
      <c r="BN345" s="9"/>
      <c r="BO345" s="9"/>
    </row>
    <row r="346" spans="1:67">
      <c r="A346" s="8">
        <v>45169</v>
      </c>
      <c r="B346" s="9">
        <f t="shared" si="15"/>
        <v>28.266151940149349</v>
      </c>
      <c r="C346" s="9">
        <f t="shared" si="16"/>
        <v>13.899258711677856</v>
      </c>
      <c r="D346" s="9">
        <f t="shared" si="17"/>
        <v>14.366893228471493</v>
      </c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  <c r="AJ346" s="9"/>
      <c r="AK346" s="9"/>
      <c r="AL346" s="9"/>
      <c r="AM346" s="9"/>
      <c r="AN346" s="9"/>
      <c r="AO346" s="9"/>
      <c r="AP346" s="9"/>
      <c r="AQ346" s="9"/>
      <c r="AR346" s="9"/>
      <c r="AS346" s="9"/>
      <c r="AT346" s="9"/>
      <c r="AU346" s="9">
        <f>SUM(IF(Career_History!G47=TRUE,IF(A346&lt;Career_History!D47,0,MIN(A346,Career_History!E47)-Career_History!D47+1),0),IF(Career_History!G48=TRUE,IF(A346&lt;Career_History!D48,0,MIN(A346,Career_History!E48)-Career_History!D48+1),0),IF(Career_History!G49=TRUE,IF(A346&lt;Career_History!D49,0,MIN(A346,Career_History!E49)-Career_History!D49+1),0))/365.2425</f>
        <v>35.168415504767381</v>
      </c>
      <c r="AV346" s="9">
        <f>SUM(IF(Career_History!I47=TRUE,IF(A346&lt;Career_History!D47,0,MIN(A346,Career_History!E47)-Career_History!D47+1),0),IF(Career_History!I48=TRUE,IF(A346&lt;Career_History!D48,0,MIN(A346,Career_History!E48)-Career_History!D48+1),0),IF(Career_History!I49=TRUE,IF(A346&lt;Career_History!D49,0,MIN(A346,Career_History!E49)-Career_History!D49+1),0))/365.2425</f>
        <v>16.999664606391644</v>
      </c>
      <c r="AW346" s="9">
        <f>SUM(IF(Career_History!H47=TRUE,IF(A346&lt;Career_History!D47,0,MIN(A346,Career_History!E47)-Career_History!D47+1),0),IF(Career_History!H48=TRUE,IF(A346&lt;Career_History!D48,0,MIN(A346,Career_History!E48)-Career_History!D48+1),0),IF(Career_History!H49=TRUE,IF(A346&lt;Career_History!D49,0,MIN(A346,Career_History!E49)-Career_History!D49+1),0))/365.2425</f>
        <v>18.168750898375738</v>
      </c>
      <c r="AX346" s="9"/>
      <c r="AY346" s="9"/>
      <c r="AZ346" s="9"/>
      <c r="BA346" s="9">
        <f>SUM(IF(Career_History!G53=TRUE,IF(A346&lt;Career_History!D53,0,MIN(A346,Career_History!E53)-Career_History!D53+1),0),IF(Career_History!G54=TRUE,IF(A346&lt;Career_History!D54,0,MIN(A346,Career_History!E54)-Career_History!D54+1),0),IF(Career_History!G55=TRUE,IF(A346&lt;Career_History!D55,0,MIN(A346,Career_History!E55)-Career_History!D55+1),0),IF(Career_History!G56=TRUE,IF(A346&lt;Career_History!D56,0,MIN(A346,Career_History!E56)-Career_History!D56+1),0),IF(Career_History!G57=TRUE,IF(A346&lt;Career_History!D57,0,MIN(A346,Career_History!E57)-Career_History!D57+1),0))/365.2425</f>
        <v>47.168661916398008</v>
      </c>
      <c r="BB346" s="9">
        <f>SUM(IF(Career_History!I53=TRUE,IF(A346&lt;Career_History!D53,0,MIN(A346,Career_History!E53)-Career_History!D53+1),0),IF(Career_History!I54=TRUE,IF(A346&lt;Career_History!D54,0,MIN(A346,Career_History!E54)-Career_History!D54+1),0),IF(Career_History!I55=TRUE,IF(A346&lt;Career_History!D55,0,MIN(A346,Career_History!E55)-Career_History!D55+1),0),IF(Career_History!I56=TRUE,IF(A346&lt;Career_History!D56,0,MIN(A346,Career_History!E56)-Career_History!D56+1),0),IF(Career_History!I57=TRUE,IF(A346&lt;Career_History!D57,0,MIN(A346,Career_History!E57)-Career_History!D57+1),0))/365.2425</f>
        <v>0</v>
      </c>
      <c r="BC346" s="9">
        <f>SUM(IF(Career_History!H53=TRUE,IF(A346&lt;Career_History!D53,0,MIN(A346,Career_History!E53)-Career_History!D53+1),0),IF(Career_History!H54=TRUE,IF(A346&lt;Career_History!D54,0,MIN(A346,Career_History!E54)-Career_History!D54+1),0),IF(Career_History!H55=TRUE,IF(A346&lt;Career_History!D55,0,MIN(A346,Career_History!E55)-Career_History!D55+1),0),IF(Career_History!H56=TRUE,IF(A346&lt;Career_History!D56,0,MIN(A346,Career_History!E56)-Career_History!D56+1),0),IF(Career_History!H57=TRUE,IF(A346&lt;Career_History!D57,0,MIN(A346,Career_History!E57)-Career_History!D57+1),0))/365.2425</f>
        <v>47.168661916398008</v>
      </c>
      <c r="BD346" s="9">
        <f>SUM(IF(Career_History!G58=TRUE,IF(A346&lt;Career_History!D58,0,MIN(A346,Career_History!E58)-Career_History!D58+1),0),IF(Career_History!G59=TRUE,IF(A346&lt;Career_History!D59,0,MIN(A346,Career_History!E59)-Career_History!D59+1),0),IF(Career_History!G60=TRUE,IF(A346&lt;Career_History!D60,0,MIN(A346,Career_History!E60)-Career_History!D60+1),0))/365.2425</f>
        <v>22.664394203850865</v>
      </c>
      <c r="BE346" s="9">
        <f>SUM(IF(Career_History!I58=TRUE,IF(A346&lt;Career_History!D58,0,MIN(A346,Career_History!E58)-Career_History!D58+1),0),IF(Career_History!I59=TRUE,IF(A346&lt;Career_History!D59,0,MIN(A346,Career_History!E59)-Career_History!D59+1),0),IF(Career_History!I60=TRUE,IF(A346&lt;Career_History!D60,0,MIN(A346,Career_History!E60)-Career_History!D60+1),0))/365.2425</f>
        <v>20.000410686051048</v>
      </c>
      <c r="BF346" s="9">
        <f>SUM(IF(Career_History!H58=TRUE,IF(A346&lt;Career_History!D58,0,MIN(A346,Career_History!E58)-Career_History!D58+1),0),IF(Career_History!H59=TRUE,IF(A346&lt;Career_History!D59,0,MIN(A346,Career_History!E59)-Career_History!D59+1),0),IF(Career_History!H60=TRUE,IF(A346&lt;Career_History!D60,0,MIN(A346,Career_History!E60)-Career_History!D60+1),0))/365.2425</f>
        <v>2.6639835177998177</v>
      </c>
      <c r="BG346" s="9">
        <f>SUM(IF(Career_History!G61=TRUE,IF(A346&lt;Career_History!D61,0,MIN(A346,Career_History!E61)-Career_History!D61+1),0),IF(Career_History!G62=TRUE,IF(A346&lt;Career_History!D62,0,MIN(A346,Career_History!E62)-Career_History!D62+1),0),IF(Career_History!G63=TRUE,IF(A346&lt;Career_History!D63,0,MIN(A346,Career_History!E63)-Career_History!D63+1),0))/365.2425</f>
        <v>21.665058146300062</v>
      </c>
      <c r="BH346" s="9">
        <f>SUM(IF(Career_History!I61=TRUE,IF(A346&lt;Career_History!D61,0,MIN(A346,Career_History!E61)-Career_History!D61+1),0),IF(Career_History!I62=TRUE,IF(A346&lt;Career_History!D62,0,MIN(A346,Career_History!E62)-Career_History!D62+1),0),IF(Career_History!I63=TRUE,IF(A346&lt;Career_History!D63,0,MIN(A346,Career_History!E63)-Career_History!D63+1),0))/365.2425</f>
        <v>20.000410686051048</v>
      </c>
      <c r="BI346" s="9">
        <f>SUM(IF(Career_History!H61=TRUE,IF(A346&lt;Career_History!D61,0,MIN(A346,Career_History!E61)-Career_History!D61+1),0),IF(Career_History!H62=TRUE,IF(A346&lt;Career_History!D62,0,MIN(A346,Career_History!E62)-Career_History!D62+1),0),IF(Career_History!H63=TRUE,IF(A346&lt;Career_History!D63,0,MIN(A346,Career_History!E63)-Career_History!D63+1),0))/365.2425</f>
        <v>1.6646474602490127</v>
      </c>
      <c r="BJ346" s="9">
        <f>SUM(IF(Career_History!G64=TRUE,IF(A346&lt;Career_History!D64,0,MIN(A346,Career_History!E64)-Career_History!D64+1),0),IF(Career_History!G65=TRUE,IF(A346&lt;Career_History!D65,0,MIN(A346,Career_History!E65)-Career_History!D65+1),0),IF(Career_History!G66=TRUE,IF(A346&lt;Career_History!D66,0,MIN(A346,Career_History!E66)-Career_History!D66+1),0),IF(Career_History!G67=TRUE,IF(A346&lt;Career_History!D67,0,MIN(A346,Career_History!E67)-Career_History!D67+1),0))/365.2425</f>
        <v>14.664229929430446</v>
      </c>
      <c r="BK346" s="9">
        <f>SUM(IF(Career_History!I64=TRUE,IF(A346&lt;Career_History!D64,0,MIN(A346,Career_History!E64)-Career_History!D64+1),0),IF(Career_History!I65=TRUE,IF(A346&lt;Career_History!D65,0,MIN(A346,Career_History!E65)-Career_History!D65+1),0),IF(Career_History!I66=TRUE,IF(A346&lt;Career_History!D66,0,MIN(A346,Career_History!E66)-Career_History!D66+1),0),IF(Career_History!I67=TRUE,IF(A346&lt;Career_History!D67,0,MIN(A346,Career_History!E67)-Career_History!D67+1),0))/365.2425</f>
        <v>12.495807579895549</v>
      </c>
      <c r="BL346" s="9">
        <f>SUM(IF(Career_History!H64=TRUE,IF(A346&lt;Career_History!D64,0,MIN(A346,Career_History!E64)-Career_History!D64+1),0),IF(Career_History!H65=TRUE,IF(A346&lt;Career_History!D65,0,MIN(A346,Career_History!E65)-Career_History!D65+1),0),IF(Career_History!H66=TRUE,IF(A346&lt;Career_History!D66,0,MIN(A346,Career_History!E66)-Career_History!D66+1),0),IF(Career_History!H67=TRUE,IF(A346&lt;Career_History!D67,0,MIN(A346,Career_History!E67)-Career_History!D67+1),0))/365.2425</f>
        <v>2.168422349534898</v>
      </c>
      <c r="BM346" s="9"/>
      <c r="BN346" s="9"/>
      <c r="BO346" s="9"/>
    </row>
    <row r="347" spans="1:67">
      <c r="A347" s="8">
        <v>45199</v>
      </c>
      <c r="B347" s="9">
        <f t="shared" si="15"/>
        <v>28.348289150359005</v>
      </c>
      <c r="C347" s="9">
        <f t="shared" si="16"/>
        <v>13.899258711677856</v>
      </c>
      <c r="D347" s="9">
        <f t="shared" si="17"/>
        <v>14.449030438681152</v>
      </c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  <c r="AJ347" s="9"/>
      <c r="AK347" s="9"/>
      <c r="AL347" s="9"/>
      <c r="AM347" s="9"/>
      <c r="AN347" s="9"/>
      <c r="AO347" s="9"/>
      <c r="AP347" s="9"/>
      <c r="AQ347" s="9"/>
      <c r="AR347" s="9"/>
      <c r="AS347" s="9"/>
      <c r="AT347" s="9"/>
      <c r="AU347" s="9">
        <f>SUM(IF(Career_History!G47=TRUE,IF(A347&lt;Career_History!D47,0,MIN(A347,Career_History!E47)-Career_History!D47+1),0),IF(Career_History!G48=TRUE,IF(A347&lt;Career_History!D48,0,MIN(A347,Career_History!E48)-Career_History!D48+1),0),IF(Career_History!G49=TRUE,IF(A347&lt;Career_History!D49,0,MIN(A347,Career_History!E49)-Career_History!D49+1),0))/365.2425</f>
        <v>35.250552714977033</v>
      </c>
      <c r="AV347" s="9">
        <f>SUM(IF(Career_History!I47=TRUE,IF(A347&lt;Career_History!D47,0,MIN(A347,Career_History!E47)-Career_History!D47+1),0),IF(Career_History!I48=TRUE,IF(A347&lt;Career_History!D48,0,MIN(A347,Career_History!E48)-Career_History!D48+1),0),IF(Career_History!I49=TRUE,IF(A347&lt;Career_History!D49,0,MIN(A347,Career_History!E49)-Career_History!D49+1),0))/365.2425</f>
        <v>16.999664606391644</v>
      </c>
      <c r="AW347" s="9">
        <f>SUM(IF(Career_History!H47=TRUE,IF(A347&lt;Career_History!D47,0,MIN(A347,Career_History!E47)-Career_History!D47+1),0),IF(Career_History!H48=TRUE,IF(A347&lt;Career_History!D48,0,MIN(A347,Career_History!E48)-Career_History!D48+1),0),IF(Career_History!H49=TRUE,IF(A347&lt;Career_History!D49,0,MIN(A347,Career_History!E49)-Career_History!D49+1),0))/365.2425</f>
        <v>18.250888108585393</v>
      </c>
      <c r="AX347" s="9"/>
      <c r="AY347" s="9"/>
      <c r="AZ347" s="9"/>
      <c r="BA347" s="9">
        <f>SUM(IF(Career_History!G53=TRUE,IF(A347&lt;Career_History!D53,0,MIN(A347,Career_History!E53)-Career_History!D53+1),0),IF(Career_History!G54=TRUE,IF(A347&lt;Career_History!D54,0,MIN(A347,Career_History!E54)-Career_History!D54+1),0),IF(Career_History!G55=TRUE,IF(A347&lt;Career_History!D55,0,MIN(A347,Career_History!E55)-Career_History!D55+1),0),IF(Career_History!G56=TRUE,IF(A347&lt;Career_History!D56,0,MIN(A347,Career_History!E56)-Career_History!D56+1),0),IF(Career_History!G57=TRUE,IF(A347&lt;Career_History!D57,0,MIN(A347,Career_History!E57)-Career_History!D57+1),0))/365.2425</f>
        <v>47.250799126607667</v>
      </c>
      <c r="BB347" s="9">
        <f>SUM(IF(Career_History!I53=TRUE,IF(A347&lt;Career_History!D53,0,MIN(A347,Career_History!E53)-Career_History!D53+1),0),IF(Career_History!I54=TRUE,IF(A347&lt;Career_History!D54,0,MIN(A347,Career_History!E54)-Career_History!D54+1),0),IF(Career_History!I55=TRUE,IF(A347&lt;Career_History!D55,0,MIN(A347,Career_History!E55)-Career_History!D55+1),0),IF(Career_History!I56=TRUE,IF(A347&lt;Career_History!D56,0,MIN(A347,Career_History!E56)-Career_History!D56+1),0),IF(Career_History!I57=TRUE,IF(A347&lt;Career_History!D57,0,MIN(A347,Career_History!E57)-Career_History!D57+1),0))/365.2425</f>
        <v>0</v>
      </c>
      <c r="BC347" s="9">
        <f>SUM(IF(Career_History!H53=TRUE,IF(A347&lt;Career_History!D53,0,MIN(A347,Career_History!E53)-Career_History!D53+1),0),IF(Career_History!H54=TRUE,IF(A347&lt;Career_History!D54,0,MIN(A347,Career_History!E54)-Career_History!D54+1),0),IF(Career_History!H55=TRUE,IF(A347&lt;Career_History!D55,0,MIN(A347,Career_History!E55)-Career_History!D55+1),0),IF(Career_History!H56=TRUE,IF(A347&lt;Career_History!D56,0,MIN(A347,Career_History!E56)-Career_History!D56+1),0),IF(Career_History!H57=TRUE,IF(A347&lt;Career_History!D57,0,MIN(A347,Career_History!E57)-Career_History!D57+1),0))/365.2425</f>
        <v>47.250799126607667</v>
      </c>
      <c r="BD347" s="9">
        <f>SUM(IF(Career_History!G58=TRUE,IF(A347&lt;Career_History!D58,0,MIN(A347,Career_History!E58)-Career_History!D58+1),0),IF(Career_History!G59=TRUE,IF(A347&lt;Career_History!D59,0,MIN(A347,Career_History!E59)-Career_History!D59+1),0),IF(Career_History!G60=TRUE,IF(A347&lt;Career_History!D60,0,MIN(A347,Career_History!E60)-Career_History!D60+1),0))/365.2425</f>
        <v>22.74653141406052</v>
      </c>
      <c r="BE347" s="9">
        <f>SUM(IF(Career_History!I58=TRUE,IF(A347&lt;Career_History!D58,0,MIN(A347,Career_History!E58)-Career_History!D58+1),0),IF(Career_History!I59=TRUE,IF(A347&lt;Career_History!D59,0,MIN(A347,Career_History!E59)-Career_History!D59+1),0),IF(Career_History!I60=TRUE,IF(A347&lt;Career_History!D60,0,MIN(A347,Career_History!E60)-Career_History!D60+1),0))/365.2425</f>
        <v>20.000410686051048</v>
      </c>
      <c r="BF347" s="9">
        <f>SUM(IF(Career_History!H58=TRUE,IF(A347&lt;Career_History!D58,0,MIN(A347,Career_History!E58)-Career_History!D58+1),0),IF(Career_History!H59=TRUE,IF(A347&lt;Career_History!D59,0,MIN(A347,Career_History!E59)-Career_History!D59+1),0),IF(Career_History!H60=TRUE,IF(A347&lt;Career_History!D60,0,MIN(A347,Career_History!E60)-Career_History!D60+1),0))/365.2425</f>
        <v>2.746120728009473</v>
      </c>
      <c r="BG347" s="9">
        <f>SUM(IF(Career_History!G61=TRUE,IF(A347&lt;Career_History!D61,0,MIN(A347,Career_History!E61)-Career_History!D61+1),0),IF(Career_History!G62=TRUE,IF(A347&lt;Career_History!D62,0,MIN(A347,Career_History!E62)-Career_History!D62+1),0),IF(Career_History!G63=TRUE,IF(A347&lt;Career_History!D63,0,MIN(A347,Career_History!E63)-Career_History!D63+1),0))/365.2425</f>
        <v>21.747195356509717</v>
      </c>
      <c r="BH347" s="9">
        <f>SUM(IF(Career_History!I61=TRUE,IF(A347&lt;Career_History!D61,0,MIN(A347,Career_History!E61)-Career_History!D61+1),0),IF(Career_History!I62=TRUE,IF(A347&lt;Career_History!D62,0,MIN(A347,Career_History!E62)-Career_History!D62+1),0),IF(Career_History!I63=TRUE,IF(A347&lt;Career_History!D63,0,MIN(A347,Career_History!E63)-Career_History!D63+1),0))/365.2425</f>
        <v>20.000410686051048</v>
      </c>
      <c r="BI347" s="9">
        <f>SUM(IF(Career_History!H61=TRUE,IF(A347&lt;Career_History!D61,0,MIN(A347,Career_History!E61)-Career_History!D61+1),0),IF(Career_History!H62=TRUE,IF(A347&lt;Career_History!D62,0,MIN(A347,Career_History!E62)-Career_History!D62+1),0),IF(Career_History!H63=TRUE,IF(A347&lt;Career_History!D63,0,MIN(A347,Career_History!E63)-Career_History!D63+1),0))/365.2425</f>
        <v>1.7467846704586678</v>
      </c>
      <c r="BJ347" s="9">
        <f>SUM(IF(Career_History!G64=TRUE,IF(A347&lt;Career_History!D64,0,MIN(A347,Career_History!E64)-Career_History!D64+1),0),IF(Career_History!G65=TRUE,IF(A347&lt;Career_History!D65,0,MIN(A347,Career_History!E65)-Career_History!D65+1),0),IF(Career_History!G66=TRUE,IF(A347&lt;Career_History!D66,0,MIN(A347,Career_History!E66)-Career_History!D66+1),0),IF(Career_History!G67=TRUE,IF(A347&lt;Career_History!D67,0,MIN(A347,Career_History!E67)-Career_History!D67+1),0))/365.2425</f>
        <v>14.746367139640101</v>
      </c>
      <c r="BK347" s="9">
        <f>SUM(IF(Career_History!I64=TRUE,IF(A347&lt;Career_History!D64,0,MIN(A347,Career_History!E64)-Career_History!D64+1),0),IF(Career_History!I65=TRUE,IF(A347&lt;Career_History!D65,0,MIN(A347,Career_History!E65)-Career_History!D65+1),0),IF(Career_History!I66=TRUE,IF(A347&lt;Career_History!D66,0,MIN(A347,Career_History!E66)-Career_History!D66+1),0),IF(Career_History!I67=TRUE,IF(A347&lt;Career_History!D67,0,MIN(A347,Career_History!E67)-Career_History!D67+1),0))/365.2425</f>
        <v>12.495807579895549</v>
      </c>
      <c r="BL347" s="9">
        <f>SUM(IF(Career_History!H64=TRUE,IF(A347&lt;Career_History!D64,0,MIN(A347,Career_History!E64)-Career_History!D64+1),0),IF(Career_History!H65=TRUE,IF(A347&lt;Career_History!D65,0,MIN(A347,Career_History!E65)-Career_History!D65+1),0),IF(Career_History!H66=TRUE,IF(A347&lt;Career_History!D66,0,MIN(A347,Career_History!E66)-Career_History!D66+1),0),IF(Career_History!H67=TRUE,IF(A347&lt;Career_History!D67,0,MIN(A347,Career_History!E67)-Career_History!D67+1),0))/365.2425</f>
        <v>2.2505595597445534</v>
      </c>
      <c r="BM347" s="9"/>
      <c r="BN347" s="9"/>
      <c r="BO347" s="9"/>
    </row>
    <row r="348" spans="1:67">
      <c r="A348" s="8">
        <v>45230</v>
      </c>
      <c r="B348" s="9">
        <f t="shared" si="15"/>
        <v>28.433164267575656</v>
      </c>
      <c r="C348" s="9">
        <f t="shared" si="16"/>
        <v>13.899258711677856</v>
      </c>
      <c r="D348" s="9">
        <f t="shared" si="17"/>
        <v>14.533905555897793</v>
      </c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  <c r="AJ348" s="9"/>
      <c r="AK348" s="9"/>
      <c r="AL348" s="9"/>
      <c r="AM348" s="9"/>
      <c r="AN348" s="9"/>
      <c r="AO348" s="9"/>
      <c r="AP348" s="9"/>
      <c r="AQ348" s="9"/>
      <c r="AR348" s="9"/>
      <c r="AS348" s="9"/>
      <c r="AT348" s="9"/>
      <c r="AU348" s="9">
        <f>SUM(IF(Career_History!G47=TRUE,IF(A348&lt;Career_History!D47,0,MIN(A348,Career_History!E47)-Career_History!D47+1),0),IF(Career_History!G48=TRUE,IF(A348&lt;Career_History!D48,0,MIN(A348,Career_History!E48)-Career_History!D48+1),0),IF(Career_History!G49=TRUE,IF(A348&lt;Career_History!D49,0,MIN(A348,Career_History!E49)-Career_History!D49+1),0))/365.2425</f>
        <v>35.33542783219368</v>
      </c>
      <c r="AV348" s="9">
        <f>SUM(IF(Career_History!I47=TRUE,IF(A348&lt;Career_History!D47,0,MIN(A348,Career_History!E47)-Career_History!D47+1),0),IF(Career_History!I48=TRUE,IF(A348&lt;Career_History!D48,0,MIN(A348,Career_History!E48)-Career_History!D48+1),0),IF(Career_History!I49=TRUE,IF(A348&lt;Career_History!D49,0,MIN(A348,Career_History!E49)-Career_History!D49+1),0))/365.2425</f>
        <v>16.999664606391644</v>
      </c>
      <c r="AW348" s="9">
        <f>SUM(IF(Career_History!H47=TRUE,IF(A348&lt;Career_History!D47,0,MIN(A348,Career_History!E47)-Career_History!D47+1),0),IF(Career_History!H48=TRUE,IF(A348&lt;Career_History!D48,0,MIN(A348,Career_History!E48)-Career_History!D48+1),0),IF(Career_History!H49=TRUE,IF(A348&lt;Career_History!D49,0,MIN(A348,Career_History!E49)-Career_History!D49+1),0))/365.2425</f>
        <v>18.335763225802037</v>
      </c>
      <c r="AX348" s="9"/>
      <c r="AY348" s="9"/>
      <c r="AZ348" s="9"/>
      <c r="BA348" s="9">
        <f>SUM(IF(Career_History!G53=TRUE,IF(A348&lt;Career_History!D53,0,MIN(A348,Career_History!E53)-Career_History!D53+1),0),IF(Career_History!G54=TRUE,IF(A348&lt;Career_History!D54,0,MIN(A348,Career_History!E54)-Career_History!D54+1),0),IF(Career_History!G55=TRUE,IF(A348&lt;Career_History!D55,0,MIN(A348,Career_History!E55)-Career_History!D55+1),0),IF(Career_History!G56=TRUE,IF(A348&lt;Career_History!D56,0,MIN(A348,Career_History!E56)-Career_History!D56+1),0),IF(Career_History!G57=TRUE,IF(A348&lt;Career_History!D57,0,MIN(A348,Career_History!E57)-Career_History!D57+1),0))/365.2425</f>
        <v>47.335674243824307</v>
      </c>
      <c r="BB348" s="9">
        <f>SUM(IF(Career_History!I53=TRUE,IF(A348&lt;Career_History!D53,0,MIN(A348,Career_History!E53)-Career_History!D53+1),0),IF(Career_History!I54=TRUE,IF(A348&lt;Career_History!D54,0,MIN(A348,Career_History!E54)-Career_History!D54+1),0),IF(Career_History!I55=TRUE,IF(A348&lt;Career_History!D55,0,MIN(A348,Career_History!E55)-Career_History!D55+1),0),IF(Career_History!I56=TRUE,IF(A348&lt;Career_History!D56,0,MIN(A348,Career_History!E56)-Career_History!D56+1),0),IF(Career_History!I57=TRUE,IF(A348&lt;Career_History!D57,0,MIN(A348,Career_History!E57)-Career_History!D57+1),0))/365.2425</f>
        <v>0</v>
      </c>
      <c r="BC348" s="9">
        <f>SUM(IF(Career_History!H53=TRUE,IF(A348&lt;Career_History!D53,0,MIN(A348,Career_History!E53)-Career_History!D53+1),0),IF(Career_History!H54=TRUE,IF(A348&lt;Career_History!D54,0,MIN(A348,Career_History!E54)-Career_History!D54+1),0),IF(Career_History!H55=TRUE,IF(A348&lt;Career_History!D55,0,MIN(A348,Career_History!E55)-Career_History!D55+1),0),IF(Career_History!H56=TRUE,IF(A348&lt;Career_History!D56,0,MIN(A348,Career_History!E56)-Career_History!D56+1),0),IF(Career_History!H57=TRUE,IF(A348&lt;Career_History!D57,0,MIN(A348,Career_History!E57)-Career_History!D57+1),0))/365.2425</f>
        <v>47.335674243824307</v>
      </c>
      <c r="BD348" s="9">
        <f>SUM(IF(Career_History!G58=TRUE,IF(A348&lt;Career_History!D58,0,MIN(A348,Career_History!E58)-Career_History!D58+1),0),IF(Career_History!G59=TRUE,IF(A348&lt;Career_History!D59,0,MIN(A348,Career_History!E59)-Career_History!D59+1),0),IF(Career_History!G60=TRUE,IF(A348&lt;Career_History!D60,0,MIN(A348,Career_History!E60)-Career_History!D60+1),0))/365.2425</f>
        <v>22.831406531277164</v>
      </c>
      <c r="BE348" s="9">
        <f>SUM(IF(Career_History!I58=TRUE,IF(A348&lt;Career_History!D58,0,MIN(A348,Career_History!E58)-Career_History!D58+1),0),IF(Career_History!I59=TRUE,IF(A348&lt;Career_History!D59,0,MIN(A348,Career_History!E59)-Career_History!D59+1),0),IF(Career_History!I60=TRUE,IF(A348&lt;Career_History!D60,0,MIN(A348,Career_History!E60)-Career_History!D60+1),0))/365.2425</f>
        <v>20.000410686051048</v>
      </c>
      <c r="BF348" s="9">
        <f>SUM(IF(Career_History!H58=TRUE,IF(A348&lt;Career_History!D58,0,MIN(A348,Career_History!E58)-Career_History!D58+1),0),IF(Career_History!H59=TRUE,IF(A348&lt;Career_History!D59,0,MIN(A348,Career_History!E59)-Career_History!D59+1),0),IF(Career_History!H60=TRUE,IF(A348&lt;Career_History!D60,0,MIN(A348,Career_History!E60)-Career_History!D60+1),0))/365.2425</f>
        <v>2.8309958452261168</v>
      </c>
      <c r="BG348" s="9">
        <f>SUM(IF(Career_History!G61=TRUE,IF(A348&lt;Career_History!D61,0,MIN(A348,Career_History!E61)-Career_History!D61+1),0),IF(Career_History!G62=TRUE,IF(A348&lt;Career_History!D62,0,MIN(A348,Career_History!E62)-Career_History!D62+1),0),IF(Career_History!G63=TRUE,IF(A348&lt;Career_History!D63,0,MIN(A348,Career_History!E63)-Career_History!D63+1),0))/365.2425</f>
        <v>21.832070473726361</v>
      </c>
      <c r="BH348" s="9">
        <f>SUM(IF(Career_History!I61=TRUE,IF(A348&lt;Career_History!D61,0,MIN(A348,Career_History!E61)-Career_History!D61+1),0),IF(Career_History!I62=TRUE,IF(A348&lt;Career_History!D62,0,MIN(A348,Career_History!E62)-Career_History!D62+1),0),IF(Career_History!I63=TRUE,IF(A348&lt;Career_History!D63,0,MIN(A348,Career_History!E63)-Career_History!D63+1),0))/365.2425</f>
        <v>20.000410686051048</v>
      </c>
      <c r="BI348" s="9">
        <f>SUM(IF(Career_History!H61=TRUE,IF(A348&lt;Career_History!D61,0,MIN(A348,Career_History!E61)-Career_History!D61+1),0),IF(Career_History!H62=TRUE,IF(A348&lt;Career_History!D62,0,MIN(A348,Career_History!E62)-Career_History!D62+1),0),IF(Career_History!H63=TRUE,IF(A348&lt;Career_History!D63,0,MIN(A348,Career_History!E63)-Career_History!D63+1),0))/365.2425</f>
        <v>1.8316597876753116</v>
      </c>
      <c r="BJ348" s="9">
        <f>SUM(IF(Career_History!G64=TRUE,IF(A348&lt;Career_History!D64,0,MIN(A348,Career_History!E64)-Career_History!D64+1),0),IF(Career_History!G65=TRUE,IF(A348&lt;Career_History!D65,0,MIN(A348,Career_History!E65)-Career_History!D65+1),0),IF(Career_History!G66=TRUE,IF(A348&lt;Career_History!D66,0,MIN(A348,Career_History!E66)-Career_History!D66+1),0),IF(Career_History!G67=TRUE,IF(A348&lt;Career_History!D67,0,MIN(A348,Career_History!E67)-Career_History!D67+1),0))/365.2425</f>
        <v>14.831242256856745</v>
      </c>
      <c r="BK348" s="9">
        <f>SUM(IF(Career_History!I64=TRUE,IF(A348&lt;Career_History!D64,0,MIN(A348,Career_History!E64)-Career_History!D64+1),0),IF(Career_History!I65=TRUE,IF(A348&lt;Career_History!D65,0,MIN(A348,Career_History!E65)-Career_History!D65+1),0),IF(Career_History!I66=TRUE,IF(A348&lt;Career_History!D66,0,MIN(A348,Career_History!E66)-Career_History!D66+1),0),IF(Career_History!I67=TRUE,IF(A348&lt;Career_History!D67,0,MIN(A348,Career_History!E67)-Career_History!D67+1),0))/365.2425</f>
        <v>12.495807579895549</v>
      </c>
      <c r="BL348" s="9">
        <f>SUM(IF(Career_History!H64=TRUE,IF(A348&lt;Career_History!D64,0,MIN(A348,Career_History!E64)-Career_History!D64+1),0),IF(Career_History!H65=TRUE,IF(A348&lt;Career_History!D65,0,MIN(A348,Career_History!E65)-Career_History!D65+1),0),IF(Career_History!H66=TRUE,IF(A348&lt;Career_History!D66,0,MIN(A348,Career_History!E66)-Career_History!D66+1),0),IF(Career_History!H67=TRUE,IF(A348&lt;Career_History!D67,0,MIN(A348,Career_History!E67)-Career_History!D67+1),0))/365.2425</f>
        <v>2.3354346769611971</v>
      </c>
      <c r="BM348" s="9"/>
      <c r="BN348" s="9"/>
      <c r="BO348" s="9"/>
    </row>
    <row r="349" spans="1:67">
      <c r="A349" s="8">
        <v>45260</v>
      </c>
      <c r="B349" s="9">
        <f t="shared" si="15"/>
        <v>28.515301477785307</v>
      </c>
      <c r="C349" s="9">
        <f t="shared" si="16"/>
        <v>13.899258711677856</v>
      </c>
      <c r="D349" s="9">
        <f t="shared" si="17"/>
        <v>14.616042766107451</v>
      </c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  <c r="AJ349" s="9"/>
      <c r="AK349" s="9"/>
      <c r="AL349" s="9"/>
      <c r="AM349" s="9"/>
      <c r="AN349" s="9"/>
      <c r="AO349" s="9"/>
      <c r="AP349" s="9"/>
      <c r="AQ349" s="9"/>
      <c r="AR349" s="9"/>
      <c r="AS349" s="9"/>
      <c r="AT349" s="9"/>
      <c r="AU349" s="9">
        <f>SUM(IF(Career_History!G47=TRUE,IF(A349&lt;Career_History!D47,0,MIN(A349,Career_History!E47)-Career_History!D47+1),0),IF(Career_History!G48=TRUE,IF(A349&lt;Career_History!D48,0,MIN(A349,Career_History!E48)-Career_History!D48+1),0),IF(Career_History!G49=TRUE,IF(A349&lt;Career_History!D49,0,MIN(A349,Career_History!E49)-Career_History!D49+1),0))/365.2425</f>
        <v>35.417565042403332</v>
      </c>
      <c r="AV349" s="9">
        <f>SUM(IF(Career_History!I47=TRUE,IF(A349&lt;Career_History!D47,0,MIN(A349,Career_History!E47)-Career_History!D47+1),0),IF(Career_History!I48=TRUE,IF(A349&lt;Career_History!D48,0,MIN(A349,Career_History!E48)-Career_History!D48+1),0),IF(Career_History!I49=TRUE,IF(A349&lt;Career_History!D49,0,MIN(A349,Career_History!E49)-Career_History!D49+1),0))/365.2425</f>
        <v>16.999664606391644</v>
      </c>
      <c r="AW349" s="9">
        <f>SUM(IF(Career_History!H47=TRUE,IF(A349&lt;Career_History!D47,0,MIN(A349,Career_History!E47)-Career_History!D47+1),0),IF(Career_History!H48=TRUE,IF(A349&lt;Career_History!D48,0,MIN(A349,Career_History!E48)-Career_History!D48+1),0),IF(Career_History!H49=TRUE,IF(A349&lt;Career_History!D49,0,MIN(A349,Career_History!E49)-Career_History!D49+1),0))/365.2425</f>
        <v>18.417900436011692</v>
      </c>
      <c r="AX349" s="9"/>
      <c r="AY349" s="9"/>
      <c r="AZ349" s="9"/>
      <c r="BA349" s="9">
        <f>SUM(IF(Career_History!G53=TRUE,IF(A349&lt;Career_History!D53,0,MIN(A349,Career_History!E53)-Career_History!D53+1),0),IF(Career_History!G54=TRUE,IF(A349&lt;Career_History!D54,0,MIN(A349,Career_History!E54)-Career_History!D54+1),0),IF(Career_History!G55=TRUE,IF(A349&lt;Career_History!D55,0,MIN(A349,Career_History!E55)-Career_History!D55+1),0),IF(Career_History!G56=TRUE,IF(A349&lt;Career_History!D56,0,MIN(A349,Career_History!E56)-Career_History!D56+1),0),IF(Career_History!G57=TRUE,IF(A349&lt;Career_History!D57,0,MIN(A349,Career_History!E57)-Career_History!D57+1),0))/365.2425</f>
        <v>47.417811454033966</v>
      </c>
      <c r="BB349" s="9">
        <f>SUM(IF(Career_History!I53=TRUE,IF(A349&lt;Career_History!D53,0,MIN(A349,Career_History!E53)-Career_History!D53+1),0),IF(Career_History!I54=TRUE,IF(A349&lt;Career_History!D54,0,MIN(A349,Career_History!E54)-Career_History!D54+1),0),IF(Career_History!I55=TRUE,IF(A349&lt;Career_History!D55,0,MIN(A349,Career_History!E55)-Career_History!D55+1),0),IF(Career_History!I56=TRUE,IF(A349&lt;Career_History!D56,0,MIN(A349,Career_History!E56)-Career_History!D56+1),0),IF(Career_History!I57=TRUE,IF(A349&lt;Career_History!D57,0,MIN(A349,Career_History!E57)-Career_History!D57+1),0))/365.2425</f>
        <v>0</v>
      </c>
      <c r="BC349" s="9">
        <f>SUM(IF(Career_History!H53=TRUE,IF(A349&lt;Career_History!D53,0,MIN(A349,Career_History!E53)-Career_History!D53+1),0),IF(Career_History!H54=TRUE,IF(A349&lt;Career_History!D54,0,MIN(A349,Career_History!E54)-Career_History!D54+1),0),IF(Career_History!H55=TRUE,IF(A349&lt;Career_History!D55,0,MIN(A349,Career_History!E55)-Career_History!D55+1),0),IF(Career_History!H56=TRUE,IF(A349&lt;Career_History!D56,0,MIN(A349,Career_History!E56)-Career_History!D56+1),0),IF(Career_History!H57=TRUE,IF(A349&lt;Career_History!D57,0,MIN(A349,Career_History!E57)-Career_History!D57+1),0))/365.2425</f>
        <v>47.417811454033966</v>
      </c>
      <c r="BD349" s="9">
        <f>SUM(IF(Career_History!G58=TRUE,IF(A349&lt;Career_History!D58,0,MIN(A349,Career_History!E58)-Career_History!D58+1),0),IF(Career_History!G59=TRUE,IF(A349&lt;Career_History!D59,0,MIN(A349,Career_History!E59)-Career_History!D59+1),0),IF(Career_History!G60=TRUE,IF(A349&lt;Career_History!D60,0,MIN(A349,Career_History!E60)-Career_History!D60+1),0))/365.2425</f>
        <v>22.913543741486819</v>
      </c>
      <c r="BE349" s="9">
        <f>SUM(IF(Career_History!I58=TRUE,IF(A349&lt;Career_History!D58,0,MIN(A349,Career_History!E58)-Career_History!D58+1),0),IF(Career_History!I59=TRUE,IF(A349&lt;Career_History!D59,0,MIN(A349,Career_History!E59)-Career_History!D59+1),0),IF(Career_History!I60=TRUE,IF(A349&lt;Career_History!D60,0,MIN(A349,Career_History!E60)-Career_History!D60+1),0))/365.2425</f>
        <v>20.000410686051048</v>
      </c>
      <c r="BF349" s="9">
        <f>SUM(IF(Career_History!H58=TRUE,IF(A349&lt;Career_History!D58,0,MIN(A349,Career_History!E58)-Career_History!D58+1),0),IF(Career_History!H59=TRUE,IF(A349&lt;Career_History!D59,0,MIN(A349,Career_History!E59)-Career_History!D59+1),0),IF(Career_History!H60=TRUE,IF(A349&lt;Career_History!D60,0,MIN(A349,Career_History!E60)-Career_History!D60+1),0))/365.2425</f>
        <v>2.9131330554357722</v>
      </c>
      <c r="BG349" s="9">
        <f>SUM(IF(Career_History!G61=TRUE,IF(A349&lt;Career_History!D61,0,MIN(A349,Career_History!E61)-Career_History!D61+1),0),IF(Career_History!G62=TRUE,IF(A349&lt;Career_History!D62,0,MIN(A349,Career_History!E62)-Career_History!D62+1),0),IF(Career_History!G63=TRUE,IF(A349&lt;Career_History!D63,0,MIN(A349,Career_History!E63)-Career_History!D63+1),0))/365.2425</f>
        <v>21.914207683936013</v>
      </c>
      <c r="BH349" s="9">
        <f>SUM(IF(Career_History!I61=TRUE,IF(A349&lt;Career_History!D61,0,MIN(A349,Career_History!E61)-Career_History!D61+1),0),IF(Career_History!I62=TRUE,IF(A349&lt;Career_History!D62,0,MIN(A349,Career_History!E62)-Career_History!D62+1),0),IF(Career_History!I63=TRUE,IF(A349&lt;Career_History!D63,0,MIN(A349,Career_History!E63)-Career_History!D63+1),0))/365.2425</f>
        <v>20.000410686051048</v>
      </c>
      <c r="BI349" s="9">
        <f>SUM(IF(Career_History!H61=TRUE,IF(A349&lt;Career_History!D61,0,MIN(A349,Career_History!E61)-Career_History!D61+1),0),IF(Career_History!H62=TRUE,IF(A349&lt;Career_History!D62,0,MIN(A349,Career_History!E62)-Career_History!D62+1),0),IF(Career_History!H63=TRUE,IF(A349&lt;Career_History!D63,0,MIN(A349,Career_History!E63)-Career_History!D63+1),0))/365.2425</f>
        <v>1.9137969978849667</v>
      </c>
      <c r="BJ349" s="9">
        <f>SUM(IF(Career_History!G64=TRUE,IF(A349&lt;Career_History!D64,0,MIN(A349,Career_History!E64)-Career_History!D64+1),0),IF(Career_History!G65=TRUE,IF(A349&lt;Career_History!D65,0,MIN(A349,Career_History!E65)-Career_History!D65+1),0),IF(Career_History!G66=TRUE,IF(A349&lt;Career_History!D66,0,MIN(A349,Career_History!E66)-Career_History!D66+1),0),IF(Career_History!G67=TRUE,IF(A349&lt;Career_History!D67,0,MIN(A349,Career_History!E67)-Career_History!D67+1),0))/365.2425</f>
        <v>14.913379467066401</v>
      </c>
      <c r="BK349" s="9">
        <f>SUM(IF(Career_History!I64=TRUE,IF(A349&lt;Career_History!D64,0,MIN(A349,Career_History!E64)-Career_History!D64+1),0),IF(Career_History!I65=TRUE,IF(A349&lt;Career_History!D65,0,MIN(A349,Career_History!E65)-Career_History!D65+1),0),IF(Career_History!I66=TRUE,IF(A349&lt;Career_History!D66,0,MIN(A349,Career_History!E66)-Career_History!D66+1),0),IF(Career_History!I67=TRUE,IF(A349&lt;Career_History!D67,0,MIN(A349,Career_History!E67)-Career_History!D67+1),0))/365.2425</f>
        <v>12.495807579895549</v>
      </c>
      <c r="BL349" s="9">
        <f>SUM(IF(Career_History!H64=TRUE,IF(A349&lt;Career_History!D64,0,MIN(A349,Career_History!E64)-Career_History!D64+1),0),IF(Career_History!H65=TRUE,IF(A349&lt;Career_History!D65,0,MIN(A349,Career_History!E65)-Career_History!D65+1),0),IF(Career_History!H66=TRUE,IF(A349&lt;Career_History!D66,0,MIN(A349,Career_History!E66)-Career_History!D66+1),0),IF(Career_History!H67=TRUE,IF(A349&lt;Career_History!D67,0,MIN(A349,Career_History!E67)-Career_History!D67+1),0))/365.2425</f>
        <v>2.417571887170852</v>
      </c>
      <c r="BM349" s="9"/>
      <c r="BN349" s="9"/>
      <c r="BO349" s="9"/>
    </row>
    <row r="350" spans="1:67">
      <c r="A350" s="8">
        <v>45291</v>
      </c>
      <c r="B350" s="9">
        <f t="shared" si="15"/>
        <v>28.600176595001948</v>
      </c>
      <c r="C350" s="9">
        <f t="shared" si="16"/>
        <v>13.899258711677856</v>
      </c>
      <c r="D350" s="9">
        <f t="shared" si="17"/>
        <v>14.700917883324092</v>
      </c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  <c r="AJ350" s="9"/>
      <c r="AK350" s="9"/>
      <c r="AL350" s="9"/>
      <c r="AM350" s="9"/>
      <c r="AN350" s="9"/>
      <c r="AO350" s="9"/>
      <c r="AP350" s="9"/>
      <c r="AQ350" s="9"/>
      <c r="AR350" s="9"/>
      <c r="AS350" s="9"/>
      <c r="AT350" s="9"/>
      <c r="AU350" s="9">
        <f>SUM(IF(Career_History!G47=TRUE,IF(A350&lt;Career_History!D47,0,MIN(A350,Career_History!E47)-Career_History!D47+1),0),IF(Career_History!G48=TRUE,IF(A350&lt;Career_History!D48,0,MIN(A350,Career_History!E48)-Career_History!D48+1),0),IF(Career_History!G49=TRUE,IF(A350&lt;Career_History!D49,0,MIN(A350,Career_History!E49)-Career_History!D49+1),0))/365.2425</f>
        <v>35.502440159619979</v>
      </c>
      <c r="AV350" s="9">
        <f>SUM(IF(Career_History!I47=TRUE,IF(A350&lt;Career_History!D47,0,MIN(A350,Career_History!E47)-Career_History!D47+1),0),IF(Career_History!I48=TRUE,IF(A350&lt;Career_History!D48,0,MIN(A350,Career_History!E48)-Career_History!D48+1),0),IF(Career_History!I49=TRUE,IF(A350&lt;Career_History!D49,0,MIN(A350,Career_History!E49)-Career_History!D49+1),0))/365.2425</f>
        <v>16.999664606391644</v>
      </c>
      <c r="AW350" s="9">
        <f>SUM(IF(Career_History!H47=TRUE,IF(A350&lt;Career_History!D47,0,MIN(A350,Career_History!E47)-Career_History!D47+1),0),IF(Career_History!H48=TRUE,IF(A350&lt;Career_History!D48,0,MIN(A350,Career_History!E48)-Career_History!D48+1),0),IF(Career_History!H49=TRUE,IF(A350&lt;Career_History!D49,0,MIN(A350,Career_History!E49)-Career_History!D49+1),0))/365.2425</f>
        <v>18.502775553228336</v>
      </c>
      <c r="AX350" s="9"/>
      <c r="AY350" s="9"/>
      <c r="AZ350" s="9"/>
      <c r="BA350" s="9">
        <f>SUM(IF(Career_History!G53=TRUE,IF(A350&lt;Career_History!D53,0,MIN(A350,Career_History!E53)-Career_History!D53+1),0),IF(Career_History!G54=TRUE,IF(A350&lt;Career_History!D54,0,MIN(A350,Career_History!E54)-Career_History!D54+1),0),IF(Career_History!G55=TRUE,IF(A350&lt;Career_History!D55,0,MIN(A350,Career_History!E55)-Career_History!D55+1),0),IF(Career_History!G56=TRUE,IF(A350&lt;Career_History!D56,0,MIN(A350,Career_History!E56)-Career_History!D56+1),0),IF(Career_History!G57=TRUE,IF(A350&lt;Career_History!D57,0,MIN(A350,Career_History!E57)-Career_History!D57+1),0))/365.2425</f>
        <v>47.502686571250607</v>
      </c>
      <c r="BB350" s="9">
        <f>SUM(IF(Career_History!I53=TRUE,IF(A350&lt;Career_History!D53,0,MIN(A350,Career_History!E53)-Career_History!D53+1),0),IF(Career_History!I54=TRUE,IF(A350&lt;Career_History!D54,0,MIN(A350,Career_History!E54)-Career_History!D54+1),0),IF(Career_History!I55=TRUE,IF(A350&lt;Career_History!D55,0,MIN(A350,Career_History!E55)-Career_History!D55+1),0),IF(Career_History!I56=TRUE,IF(A350&lt;Career_History!D56,0,MIN(A350,Career_History!E56)-Career_History!D56+1),0),IF(Career_History!I57=TRUE,IF(A350&lt;Career_History!D57,0,MIN(A350,Career_History!E57)-Career_History!D57+1),0))/365.2425</f>
        <v>0</v>
      </c>
      <c r="BC350" s="9">
        <f>SUM(IF(Career_History!H53=TRUE,IF(A350&lt;Career_History!D53,0,MIN(A350,Career_History!E53)-Career_History!D53+1),0),IF(Career_History!H54=TRUE,IF(A350&lt;Career_History!D54,0,MIN(A350,Career_History!E54)-Career_History!D54+1),0),IF(Career_History!H55=TRUE,IF(A350&lt;Career_History!D55,0,MIN(A350,Career_History!E55)-Career_History!D55+1),0),IF(Career_History!H56=TRUE,IF(A350&lt;Career_History!D56,0,MIN(A350,Career_History!E56)-Career_History!D56+1),0),IF(Career_History!H57=TRUE,IF(A350&lt;Career_History!D57,0,MIN(A350,Career_History!E57)-Career_History!D57+1),0))/365.2425</f>
        <v>47.502686571250607</v>
      </c>
      <c r="BD350" s="9">
        <f>SUM(IF(Career_History!G58=TRUE,IF(A350&lt;Career_History!D58,0,MIN(A350,Career_History!E58)-Career_History!D58+1),0),IF(Career_History!G59=TRUE,IF(A350&lt;Career_History!D59,0,MIN(A350,Career_History!E59)-Career_History!D59+1),0),IF(Career_History!G60=TRUE,IF(A350&lt;Career_History!D60,0,MIN(A350,Career_History!E60)-Career_History!D60+1),0))/365.2425</f>
        <v>22.998418858703463</v>
      </c>
      <c r="BE350" s="9">
        <f>SUM(IF(Career_History!I58=TRUE,IF(A350&lt;Career_History!D58,0,MIN(A350,Career_History!E58)-Career_History!D58+1),0),IF(Career_History!I59=TRUE,IF(A350&lt;Career_History!D59,0,MIN(A350,Career_History!E59)-Career_History!D59+1),0),IF(Career_History!I60=TRUE,IF(A350&lt;Career_History!D60,0,MIN(A350,Career_History!E60)-Career_History!D60+1),0))/365.2425</f>
        <v>20.000410686051048</v>
      </c>
      <c r="BF350" s="9">
        <f>SUM(IF(Career_History!H58=TRUE,IF(A350&lt;Career_History!D58,0,MIN(A350,Career_History!E58)-Career_History!D58+1),0),IF(Career_History!H59=TRUE,IF(A350&lt;Career_History!D59,0,MIN(A350,Career_History!E59)-Career_History!D59+1),0),IF(Career_History!H60=TRUE,IF(A350&lt;Career_History!D60,0,MIN(A350,Career_History!E60)-Career_History!D60+1),0))/365.2425</f>
        <v>2.9980081726524159</v>
      </c>
      <c r="BG350" s="9">
        <f>SUM(IF(Career_History!G61=TRUE,IF(A350&lt;Career_History!D61,0,MIN(A350,Career_History!E61)-Career_History!D61+1),0),IF(Career_History!G62=TRUE,IF(A350&lt;Career_History!D62,0,MIN(A350,Career_History!E62)-Career_History!D62+1),0),IF(Career_History!G63=TRUE,IF(A350&lt;Career_History!D63,0,MIN(A350,Career_History!E63)-Career_History!D63+1),0))/365.2425</f>
        <v>21.999082801152657</v>
      </c>
      <c r="BH350" s="9">
        <f>SUM(IF(Career_History!I61=TRUE,IF(A350&lt;Career_History!D61,0,MIN(A350,Career_History!E61)-Career_History!D61+1),0),IF(Career_History!I62=TRUE,IF(A350&lt;Career_History!D62,0,MIN(A350,Career_History!E62)-Career_History!D62+1),0),IF(Career_History!I63=TRUE,IF(A350&lt;Career_History!D63,0,MIN(A350,Career_History!E63)-Career_History!D63+1),0))/365.2425</f>
        <v>20.000410686051048</v>
      </c>
      <c r="BI350" s="9">
        <f>SUM(IF(Career_History!H61=TRUE,IF(A350&lt;Career_History!D61,0,MIN(A350,Career_History!E61)-Career_History!D61+1),0),IF(Career_History!H62=TRUE,IF(A350&lt;Career_History!D62,0,MIN(A350,Career_History!E62)-Career_History!D62+1),0),IF(Career_History!H63=TRUE,IF(A350&lt;Career_History!D63,0,MIN(A350,Career_History!E63)-Career_History!D63+1),0))/365.2425</f>
        <v>1.9986721151016105</v>
      </c>
      <c r="BJ350" s="9">
        <f>SUM(IF(Career_History!G64=TRUE,IF(A350&lt;Career_History!D64,0,MIN(A350,Career_History!E64)-Career_History!D64+1),0),IF(Career_History!G65=TRUE,IF(A350&lt;Career_History!D65,0,MIN(A350,Career_History!E65)-Career_History!D65+1),0),IF(Career_History!G66=TRUE,IF(A350&lt;Career_History!D66,0,MIN(A350,Career_History!E66)-Career_History!D66+1),0),IF(Career_History!G67=TRUE,IF(A350&lt;Career_History!D67,0,MIN(A350,Career_History!E67)-Career_History!D67+1),0))/365.2425</f>
        <v>14.998254584283044</v>
      </c>
      <c r="BK350" s="9">
        <f>SUM(IF(Career_History!I64=TRUE,IF(A350&lt;Career_History!D64,0,MIN(A350,Career_History!E64)-Career_History!D64+1),0),IF(Career_History!I65=TRUE,IF(A350&lt;Career_History!D65,0,MIN(A350,Career_History!E65)-Career_History!D65+1),0),IF(Career_History!I66=TRUE,IF(A350&lt;Career_History!D66,0,MIN(A350,Career_History!E66)-Career_History!D66+1),0),IF(Career_History!I67=TRUE,IF(A350&lt;Career_History!D67,0,MIN(A350,Career_History!E67)-Career_History!D67+1),0))/365.2425</f>
        <v>12.495807579895549</v>
      </c>
      <c r="BL350" s="9">
        <f>SUM(IF(Career_History!H64=TRUE,IF(A350&lt;Career_History!D64,0,MIN(A350,Career_History!E64)-Career_History!D64+1),0),IF(Career_History!H65=TRUE,IF(A350&lt;Career_History!D65,0,MIN(A350,Career_History!E65)-Career_History!D65+1),0),IF(Career_History!H66=TRUE,IF(A350&lt;Career_History!D66,0,MIN(A350,Career_History!E66)-Career_History!D66+1),0),IF(Career_History!H67=TRUE,IF(A350&lt;Career_History!D67,0,MIN(A350,Career_History!E67)-Career_History!D67+1),0))/365.2425</f>
        <v>2.5024470043874958</v>
      </c>
      <c r="BM350" s="9"/>
      <c r="BN350" s="9"/>
      <c r="BO350" s="9"/>
    </row>
    <row r="351" spans="1:67">
      <c r="A351" s="8">
        <v>45322</v>
      </c>
      <c r="B351" s="9">
        <f t="shared" si="15"/>
        <v>28.685051712218591</v>
      </c>
      <c r="C351" s="9">
        <f t="shared" si="16"/>
        <v>13.899258711677856</v>
      </c>
      <c r="D351" s="9">
        <f t="shared" si="17"/>
        <v>14.785793000540739</v>
      </c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  <c r="AJ351" s="9"/>
      <c r="AK351" s="9"/>
      <c r="AL351" s="9"/>
      <c r="AM351" s="9"/>
      <c r="AN351" s="9"/>
      <c r="AO351" s="9"/>
      <c r="AP351" s="9"/>
      <c r="AQ351" s="9"/>
      <c r="AR351" s="9"/>
      <c r="AS351" s="9"/>
      <c r="AT351" s="9"/>
      <c r="AU351" s="9">
        <f>SUM(IF(Career_History!G47=TRUE,IF(A351&lt;Career_History!D47,0,MIN(A351,Career_History!E47)-Career_History!D47+1),0),IF(Career_History!G48=TRUE,IF(A351&lt;Career_History!D48,0,MIN(A351,Career_History!E48)-Career_History!D48+1),0),IF(Career_History!G49=TRUE,IF(A351&lt;Career_History!D49,0,MIN(A351,Career_History!E49)-Career_History!D49+1),0))/365.2425</f>
        <v>35.58731527683662</v>
      </c>
      <c r="AV351" s="9">
        <f>SUM(IF(Career_History!I47=TRUE,IF(A351&lt;Career_History!D47,0,MIN(A351,Career_History!E47)-Career_History!D47+1),0),IF(Career_History!I48=TRUE,IF(A351&lt;Career_History!D48,0,MIN(A351,Career_History!E48)-Career_History!D48+1),0),IF(Career_History!I49=TRUE,IF(A351&lt;Career_History!D49,0,MIN(A351,Career_History!E49)-Career_History!D49+1),0))/365.2425</f>
        <v>16.999664606391644</v>
      </c>
      <c r="AW351" s="9">
        <f>SUM(IF(Career_History!H47=TRUE,IF(A351&lt;Career_History!D47,0,MIN(A351,Career_History!E47)-Career_History!D47+1),0),IF(Career_History!H48=TRUE,IF(A351&lt;Career_History!D48,0,MIN(A351,Career_History!E48)-Career_History!D48+1),0),IF(Career_History!H49=TRUE,IF(A351&lt;Career_History!D49,0,MIN(A351,Career_History!E49)-Career_History!D49+1),0))/365.2425</f>
        <v>18.58765067044498</v>
      </c>
      <c r="AX351" s="9"/>
      <c r="AY351" s="9"/>
      <c r="AZ351" s="9"/>
      <c r="BA351" s="9">
        <f>SUM(IF(Career_History!G53=TRUE,IF(A351&lt;Career_History!D53,0,MIN(A351,Career_History!E53)-Career_History!D53+1),0),IF(Career_History!G54=TRUE,IF(A351&lt;Career_History!D54,0,MIN(A351,Career_History!E54)-Career_History!D54+1),0),IF(Career_History!G55=TRUE,IF(A351&lt;Career_History!D55,0,MIN(A351,Career_History!E55)-Career_History!D55+1),0),IF(Career_History!G56=TRUE,IF(A351&lt;Career_History!D56,0,MIN(A351,Career_History!E56)-Career_History!D56+1),0),IF(Career_History!G57=TRUE,IF(A351&lt;Career_History!D57,0,MIN(A351,Career_History!E57)-Career_History!D57+1),0))/365.2425</f>
        <v>47.587561688467247</v>
      </c>
      <c r="BB351" s="9">
        <f>SUM(IF(Career_History!I53=TRUE,IF(A351&lt;Career_History!D53,0,MIN(A351,Career_History!E53)-Career_History!D53+1),0),IF(Career_History!I54=TRUE,IF(A351&lt;Career_History!D54,0,MIN(A351,Career_History!E54)-Career_History!D54+1),0),IF(Career_History!I55=TRUE,IF(A351&lt;Career_History!D55,0,MIN(A351,Career_History!E55)-Career_History!D55+1),0),IF(Career_History!I56=TRUE,IF(A351&lt;Career_History!D56,0,MIN(A351,Career_History!E56)-Career_History!D56+1),0),IF(Career_History!I57=TRUE,IF(A351&lt;Career_History!D57,0,MIN(A351,Career_History!E57)-Career_History!D57+1),0))/365.2425</f>
        <v>0</v>
      </c>
      <c r="BC351" s="9">
        <f>SUM(IF(Career_History!H53=TRUE,IF(A351&lt;Career_History!D53,0,MIN(A351,Career_History!E53)-Career_History!D53+1),0),IF(Career_History!H54=TRUE,IF(A351&lt;Career_History!D54,0,MIN(A351,Career_History!E54)-Career_History!D54+1),0),IF(Career_History!H55=TRUE,IF(A351&lt;Career_History!D55,0,MIN(A351,Career_History!E55)-Career_History!D55+1),0),IF(Career_History!H56=TRUE,IF(A351&lt;Career_History!D56,0,MIN(A351,Career_History!E56)-Career_History!D56+1),0),IF(Career_History!H57=TRUE,IF(A351&lt;Career_History!D57,0,MIN(A351,Career_History!E57)-Career_History!D57+1),0))/365.2425</f>
        <v>47.587561688467247</v>
      </c>
      <c r="BD351" s="9">
        <f>SUM(IF(Career_History!G58=TRUE,IF(A351&lt;Career_History!D58,0,MIN(A351,Career_History!E58)-Career_History!D58+1),0),IF(Career_History!G59=TRUE,IF(A351&lt;Career_History!D59,0,MIN(A351,Career_History!E59)-Career_History!D59+1),0),IF(Career_History!G60=TRUE,IF(A351&lt;Career_History!D60,0,MIN(A351,Career_History!E60)-Career_History!D60+1),0))/365.2425</f>
        <v>23.083293975920107</v>
      </c>
      <c r="BE351" s="9">
        <f>SUM(IF(Career_History!I58=TRUE,IF(A351&lt;Career_History!D58,0,MIN(A351,Career_History!E58)-Career_History!D58+1),0),IF(Career_History!I59=TRUE,IF(A351&lt;Career_History!D59,0,MIN(A351,Career_History!E59)-Career_History!D59+1),0),IF(Career_History!I60=TRUE,IF(A351&lt;Career_History!D60,0,MIN(A351,Career_History!E60)-Career_History!D60+1),0))/365.2425</f>
        <v>20.000410686051048</v>
      </c>
      <c r="BF351" s="9">
        <f>SUM(IF(Career_History!H58=TRUE,IF(A351&lt;Career_History!D58,0,MIN(A351,Career_History!E58)-Career_History!D58+1),0),IF(Career_History!H59=TRUE,IF(A351&lt;Career_History!D59,0,MIN(A351,Career_History!E59)-Career_History!D59+1),0),IF(Career_History!H60=TRUE,IF(A351&lt;Career_History!D60,0,MIN(A351,Career_History!E60)-Career_History!D60+1),0))/365.2425</f>
        <v>3.0828832898690597</v>
      </c>
      <c r="BG351" s="9">
        <f>SUM(IF(Career_History!G61=TRUE,IF(A351&lt;Career_History!D61,0,MIN(A351,Career_History!E61)-Career_History!D61+1),0),IF(Career_History!G62=TRUE,IF(A351&lt;Career_History!D62,0,MIN(A351,Career_History!E62)-Career_History!D62+1),0),IF(Career_History!G63=TRUE,IF(A351&lt;Career_History!D63,0,MIN(A351,Career_History!E63)-Career_History!D63+1),0))/365.2425</f>
        <v>22.0839579183693</v>
      </c>
      <c r="BH351" s="9">
        <f>SUM(IF(Career_History!I61=TRUE,IF(A351&lt;Career_History!D61,0,MIN(A351,Career_History!E61)-Career_History!D61+1),0),IF(Career_History!I62=TRUE,IF(A351&lt;Career_History!D62,0,MIN(A351,Career_History!E62)-Career_History!D62+1),0),IF(Career_History!I63=TRUE,IF(A351&lt;Career_History!D63,0,MIN(A351,Career_History!E63)-Career_History!D63+1),0))/365.2425</f>
        <v>20.000410686051048</v>
      </c>
      <c r="BI351" s="9">
        <f>SUM(IF(Career_History!H61=TRUE,IF(A351&lt;Career_History!D61,0,MIN(A351,Career_History!E61)-Career_History!D61+1),0),IF(Career_History!H62=TRUE,IF(A351&lt;Career_History!D62,0,MIN(A351,Career_History!E62)-Career_History!D62+1),0),IF(Career_History!H63=TRUE,IF(A351&lt;Career_History!D63,0,MIN(A351,Career_History!E63)-Career_History!D63+1),0))/365.2425</f>
        <v>2.0835472323182542</v>
      </c>
      <c r="BJ351" s="9">
        <f>SUM(IF(Career_History!G64=TRUE,IF(A351&lt;Career_History!D64,0,MIN(A351,Career_History!E64)-Career_History!D64+1),0),IF(Career_History!G65=TRUE,IF(A351&lt;Career_History!D65,0,MIN(A351,Career_History!E65)-Career_History!D65+1),0),IF(Career_History!G66=TRUE,IF(A351&lt;Career_History!D66,0,MIN(A351,Career_History!E66)-Career_History!D66+1),0),IF(Career_History!G67=TRUE,IF(A351&lt;Career_History!D67,0,MIN(A351,Career_History!E67)-Career_History!D67+1),0))/365.2425</f>
        <v>15.083129701499688</v>
      </c>
      <c r="BK351" s="9">
        <f>SUM(IF(Career_History!I64=TRUE,IF(A351&lt;Career_History!D64,0,MIN(A351,Career_History!E64)-Career_History!D64+1),0),IF(Career_History!I65=TRUE,IF(A351&lt;Career_History!D65,0,MIN(A351,Career_History!E65)-Career_History!D65+1),0),IF(Career_History!I66=TRUE,IF(A351&lt;Career_History!D66,0,MIN(A351,Career_History!E66)-Career_History!D66+1),0),IF(Career_History!I67=TRUE,IF(A351&lt;Career_History!D67,0,MIN(A351,Career_History!E67)-Career_History!D67+1),0))/365.2425</f>
        <v>12.495807579895549</v>
      </c>
      <c r="BL351" s="9">
        <f>SUM(IF(Career_History!H64=TRUE,IF(A351&lt;Career_History!D64,0,MIN(A351,Career_History!E64)-Career_History!D64+1),0),IF(Career_History!H65=TRUE,IF(A351&lt;Career_History!D65,0,MIN(A351,Career_History!E65)-Career_History!D65+1),0),IF(Career_History!H66=TRUE,IF(A351&lt;Career_History!D66,0,MIN(A351,Career_History!E66)-Career_History!D66+1),0),IF(Career_History!H67=TRUE,IF(A351&lt;Career_History!D67,0,MIN(A351,Career_History!E67)-Career_History!D67+1),0))/365.2425</f>
        <v>2.5873221216041395</v>
      </c>
      <c r="BM351" s="9"/>
      <c r="BN351" s="9"/>
      <c r="BO351" s="9"/>
    </row>
    <row r="352" spans="1:67">
      <c r="A352" s="8">
        <v>45351</v>
      </c>
      <c r="B352" s="9">
        <f t="shared" si="15"/>
        <v>28.764451015421258</v>
      </c>
      <c r="C352" s="9">
        <f t="shared" si="16"/>
        <v>13.899258711677856</v>
      </c>
      <c r="D352" s="9">
        <f t="shared" si="17"/>
        <v>14.865192303743402</v>
      </c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  <c r="AJ352" s="9"/>
      <c r="AK352" s="9"/>
      <c r="AL352" s="9"/>
      <c r="AM352" s="9"/>
      <c r="AN352" s="9"/>
      <c r="AO352" s="9"/>
      <c r="AP352" s="9"/>
      <c r="AQ352" s="9"/>
      <c r="AR352" s="9"/>
      <c r="AS352" s="9"/>
      <c r="AT352" s="9"/>
      <c r="AU352" s="9">
        <f>SUM(IF(Career_History!G47=TRUE,IF(A352&lt;Career_History!D47,0,MIN(A352,Career_History!E47)-Career_History!D47+1),0),IF(Career_History!G48=TRUE,IF(A352&lt;Career_History!D48,0,MIN(A352,Career_History!E48)-Career_History!D48+1),0),IF(Career_History!G49=TRUE,IF(A352&lt;Career_History!D49,0,MIN(A352,Career_History!E49)-Career_History!D49+1),0))/365.2425</f>
        <v>35.66671458003929</v>
      </c>
      <c r="AV352" s="9">
        <f>SUM(IF(Career_History!I47=TRUE,IF(A352&lt;Career_History!D47,0,MIN(A352,Career_History!E47)-Career_History!D47+1),0),IF(Career_History!I48=TRUE,IF(A352&lt;Career_History!D48,0,MIN(A352,Career_History!E48)-Career_History!D48+1),0),IF(Career_History!I49=TRUE,IF(A352&lt;Career_History!D49,0,MIN(A352,Career_History!E49)-Career_History!D49+1),0))/365.2425</f>
        <v>16.999664606391644</v>
      </c>
      <c r="AW352" s="9">
        <f>SUM(IF(Career_History!H47=TRUE,IF(A352&lt;Career_History!D47,0,MIN(A352,Career_History!E47)-Career_History!D47+1),0),IF(Career_History!H48=TRUE,IF(A352&lt;Career_History!D48,0,MIN(A352,Career_History!E48)-Career_History!D48+1),0),IF(Career_History!H49=TRUE,IF(A352&lt;Career_History!D49,0,MIN(A352,Career_History!E49)-Career_History!D49+1),0))/365.2425</f>
        <v>18.667049973647643</v>
      </c>
      <c r="AX352" s="9"/>
      <c r="AY352" s="9"/>
      <c r="AZ352" s="9"/>
      <c r="BA352" s="9">
        <f>SUM(IF(Career_History!G53=TRUE,IF(A352&lt;Career_History!D53,0,MIN(A352,Career_History!E53)-Career_History!D53+1),0),IF(Career_History!G54=TRUE,IF(A352&lt;Career_History!D54,0,MIN(A352,Career_History!E54)-Career_History!D54+1),0),IF(Career_History!G55=TRUE,IF(A352&lt;Career_History!D55,0,MIN(A352,Career_History!E55)-Career_History!D55+1),0),IF(Career_History!G56=TRUE,IF(A352&lt;Career_History!D56,0,MIN(A352,Career_History!E56)-Career_History!D56+1),0),IF(Career_History!G57=TRUE,IF(A352&lt;Career_History!D57,0,MIN(A352,Career_History!E57)-Career_History!D57+1),0))/365.2425</f>
        <v>47.666960991669917</v>
      </c>
      <c r="BB352" s="9">
        <f>SUM(IF(Career_History!I53=TRUE,IF(A352&lt;Career_History!D53,0,MIN(A352,Career_History!E53)-Career_History!D53+1),0),IF(Career_History!I54=TRUE,IF(A352&lt;Career_History!D54,0,MIN(A352,Career_History!E54)-Career_History!D54+1),0),IF(Career_History!I55=TRUE,IF(A352&lt;Career_History!D55,0,MIN(A352,Career_History!E55)-Career_History!D55+1),0),IF(Career_History!I56=TRUE,IF(A352&lt;Career_History!D56,0,MIN(A352,Career_History!E56)-Career_History!D56+1),0),IF(Career_History!I57=TRUE,IF(A352&lt;Career_History!D57,0,MIN(A352,Career_History!E57)-Career_History!D57+1),0))/365.2425</f>
        <v>0</v>
      </c>
      <c r="BC352" s="9">
        <f>SUM(IF(Career_History!H53=TRUE,IF(A352&lt;Career_History!D53,0,MIN(A352,Career_History!E53)-Career_History!D53+1),0),IF(Career_History!H54=TRUE,IF(A352&lt;Career_History!D54,0,MIN(A352,Career_History!E54)-Career_History!D54+1),0),IF(Career_History!H55=TRUE,IF(A352&lt;Career_History!D55,0,MIN(A352,Career_History!E55)-Career_History!D55+1),0),IF(Career_History!H56=TRUE,IF(A352&lt;Career_History!D56,0,MIN(A352,Career_History!E56)-Career_History!D56+1),0),IF(Career_History!H57=TRUE,IF(A352&lt;Career_History!D57,0,MIN(A352,Career_History!E57)-Career_History!D57+1),0))/365.2425</f>
        <v>47.666960991669917</v>
      </c>
      <c r="BD352" s="9">
        <f>SUM(IF(Career_History!G58=TRUE,IF(A352&lt;Career_History!D58,0,MIN(A352,Career_History!E58)-Career_History!D58+1),0),IF(Career_History!G59=TRUE,IF(A352&lt;Career_History!D59,0,MIN(A352,Career_History!E59)-Career_History!D59+1),0),IF(Career_History!G60=TRUE,IF(A352&lt;Career_History!D60,0,MIN(A352,Career_History!E60)-Career_History!D60+1),0))/365.2425</f>
        <v>23.162693279122774</v>
      </c>
      <c r="BE352" s="9">
        <f>SUM(IF(Career_History!I58=TRUE,IF(A352&lt;Career_History!D58,0,MIN(A352,Career_History!E58)-Career_History!D58+1),0),IF(Career_History!I59=TRUE,IF(A352&lt;Career_History!D59,0,MIN(A352,Career_History!E59)-Career_History!D59+1),0),IF(Career_History!I60=TRUE,IF(A352&lt;Career_History!D60,0,MIN(A352,Career_History!E60)-Career_History!D60+1),0))/365.2425</f>
        <v>20.000410686051048</v>
      </c>
      <c r="BF352" s="9">
        <f>SUM(IF(Career_History!H58=TRUE,IF(A352&lt;Career_History!D58,0,MIN(A352,Career_History!E58)-Career_History!D58+1),0),IF(Career_History!H59=TRUE,IF(A352&lt;Career_History!D59,0,MIN(A352,Career_History!E59)-Career_History!D59+1),0),IF(Career_History!H60=TRUE,IF(A352&lt;Career_History!D60,0,MIN(A352,Career_History!E60)-Career_History!D60+1),0))/365.2425</f>
        <v>3.1622825930717262</v>
      </c>
      <c r="BG352" s="9">
        <f>SUM(IF(Career_History!G61=TRUE,IF(A352&lt;Career_History!D61,0,MIN(A352,Career_History!E61)-Career_History!D61+1),0),IF(Career_History!G62=TRUE,IF(A352&lt;Career_History!D62,0,MIN(A352,Career_History!E62)-Career_History!D62+1),0),IF(Career_History!G63=TRUE,IF(A352&lt;Career_History!D63,0,MIN(A352,Career_History!E63)-Career_History!D63+1),0))/365.2425</f>
        <v>22.163357221571967</v>
      </c>
      <c r="BH352" s="9">
        <f>SUM(IF(Career_History!I61=TRUE,IF(A352&lt;Career_History!D61,0,MIN(A352,Career_History!E61)-Career_History!D61+1),0),IF(Career_History!I62=TRUE,IF(A352&lt;Career_History!D62,0,MIN(A352,Career_History!E62)-Career_History!D62+1),0),IF(Career_History!I63=TRUE,IF(A352&lt;Career_History!D63,0,MIN(A352,Career_History!E63)-Career_History!D63+1),0))/365.2425</f>
        <v>20.000410686051048</v>
      </c>
      <c r="BI352" s="9">
        <f>SUM(IF(Career_History!H61=TRUE,IF(A352&lt;Career_History!D61,0,MIN(A352,Career_History!E61)-Career_History!D61+1),0),IF(Career_History!H62=TRUE,IF(A352&lt;Career_History!D62,0,MIN(A352,Career_History!E62)-Career_History!D62+1),0),IF(Career_History!H63=TRUE,IF(A352&lt;Career_History!D63,0,MIN(A352,Career_History!E63)-Career_History!D63+1),0))/365.2425</f>
        <v>2.1629465355209212</v>
      </c>
      <c r="BJ352" s="9">
        <f>SUM(IF(Career_History!G64=TRUE,IF(A352&lt;Career_History!D64,0,MIN(A352,Career_History!E64)-Career_History!D64+1),0),IF(Career_History!G65=TRUE,IF(A352&lt;Career_History!D65,0,MIN(A352,Career_History!E65)-Career_History!D65+1),0),IF(Career_History!G66=TRUE,IF(A352&lt;Career_History!D66,0,MIN(A352,Career_History!E66)-Career_History!D66+1),0),IF(Career_History!G67=TRUE,IF(A352&lt;Career_History!D67,0,MIN(A352,Career_History!E67)-Career_History!D67+1),0))/365.2425</f>
        <v>15.162529004702355</v>
      </c>
      <c r="BK352" s="9">
        <f>SUM(IF(Career_History!I64=TRUE,IF(A352&lt;Career_History!D64,0,MIN(A352,Career_History!E64)-Career_History!D64+1),0),IF(Career_History!I65=TRUE,IF(A352&lt;Career_History!D65,0,MIN(A352,Career_History!E65)-Career_History!D65+1),0),IF(Career_History!I66=TRUE,IF(A352&lt;Career_History!D66,0,MIN(A352,Career_History!E66)-Career_History!D66+1),0),IF(Career_History!I67=TRUE,IF(A352&lt;Career_History!D67,0,MIN(A352,Career_History!E67)-Career_History!D67+1),0))/365.2425</f>
        <v>12.495807579895549</v>
      </c>
      <c r="BL352" s="9">
        <f>SUM(IF(Career_History!H64=TRUE,IF(A352&lt;Career_History!D64,0,MIN(A352,Career_History!E64)-Career_History!D64+1),0),IF(Career_History!H65=TRUE,IF(A352&lt;Career_History!D65,0,MIN(A352,Career_History!E65)-Career_History!D65+1),0),IF(Career_History!H66=TRUE,IF(A352&lt;Career_History!D66,0,MIN(A352,Career_History!E66)-Career_History!D66+1),0),IF(Career_History!H67=TRUE,IF(A352&lt;Career_History!D67,0,MIN(A352,Career_History!E67)-Career_History!D67+1),0))/365.2425</f>
        <v>2.6667214248068065</v>
      </c>
      <c r="BM352" s="9"/>
      <c r="BN352" s="9"/>
      <c r="BO352" s="9"/>
    </row>
    <row r="353" spans="1:67">
      <c r="A353" s="8">
        <v>45382</v>
      </c>
      <c r="B353" s="9">
        <f t="shared" si="15"/>
        <v>28.849326132637902</v>
      </c>
      <c r="C353" s="9">
        <f t="shared" si="16"/>
        <v>13.899258711677856</v>
      </c>
      <c r="D353" s="9">
        <f t="shared" si="17"/>
        <v>14.950067420960048</v>
      </c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  <c r="AP353" s="9"/>
      <c r="AQ353" s="9"/>
      <c r="AR353" s="9"/>
      <c r="AS353" s="9"/>
      <c r="AT353" s="9"/>
      <c r="AU353" s="9">
        <f>SUM(IF(Career_History!G47=TRUE,IF(A353&lt;Career_History!D47,0,MIN(A353,Career_History!E47)-Career_History!D47+1),0),IF(Career_History!G48=TRUE,IF(A353&lt;Career_History!D48,0,MIN(A353,Career_History!E48)-Career_History!D48+1),0),IF(Career_History!G49=TRUE,IF(A353&lt;Career_History!D49,0,MIN(A353,Career_History!E49)-Career_History!D49+1),0))/365.2425</f>
        <v>35.75158969725593</v>
      </c>
      <c r="AV353" s="9">
        <f>SUM(IF(Career_History!I47=TRUE,IF(A353&lt;Career_History!D47,0,MIN(A353,Career_History!E47)-Career_History!D47+1),0),IF(Career_History!I48=TRUE,IF(A353&lt;Career_History!D48,0,MIN(A353,Career_History!E48)-Career_History!D48+1),0),IF(Career_History!I49=TRUE,IF(A353&lt;Career_History!D49,0,MIN(A353,Career_History!E49)-Career_History!D49+1),0))/365.2425</f>
        <v>16.999664606391644</v>
      </c>
      <c r="AW353" s="9">
        <f>SUM(IF(Career_History!H47=TRUE,IF(A353&lt;Career_History!D47,0,MIN(A353,Career_History!E47)-Career_History!D47+1),0),IF(Career_History!H48=TRUE,IF(A353&lt;Career_History!D48,0,MIN(A353,Career_History!E48)-Career_History!D48+1),0),IF(Career_History!H49=TRUE,IF(A353&lt;Career_History!D49,0,MIN(A353,Career_History!E49)-Career_History!D49+1),0))/365.2425</f>
        <v>18.751925090864287</v>
      </c>
      <c r="AX353" s="9"/>
      <c r="AY353" s="9"/>
      <c r="AZ353" s="9"/>
      <c r="BA353" s="9">
        <f>SUM(IF(Career_History!G53=TRUE,IF(A353&lt;Career_History!D53,0,MIN(A353,Career_History!E53)-Career_History!D53+1),0),IF(Career_History!G54=TRUE,IF(A353&lt;Career_History!D54,0,MIN(A353,Career_History!E54)-Career_History!D54+1),0),IF(Career_History!G55=TRUE,IF(A353&lt;Career_History!D55,0,MIN(A353,Career_History!E55)-Career_History!D55+1),0),IF(Career_History!G56=TRUE,IF(A353&lt;Career_History!D56,0,MIN(A353,Career_History!E56)-Career_History!D56+1),0),IF(Career_History!G57=TRUE,IF(A353&lt;Career_History!D57,0,MIN(A353,Career_History!E57)-Career_History!D57+1),0))/365.2425</f>
        <v>47.751836108886557</v>
      </c>
      <c r="BB353" s="9">
        <f>SUM(IF(Career_History!I53=TRUE,IF(A353&lt;Career_History!D53,0,MIN(A353,Career_History!E53)-Career_History!D53+1),0),IF(Career_History!I54=TRUE,IF(A353&lt;Career_History!D54,0,MIN(A353,Career_History!E54)-Career_History!D54+1),0),IF(Career_History!I55=TRUE,IF(A353&lt;Career_History!D55,0,MIN(A353,Career_History!E55)-Career_History!D55+1),0),IF(Career_History!I56=TRUE,IF(A353&lt;Career_History!D56,0,MIN(A353,Career_History!E56)-Career_History!D56+1),0),IF(Career_History!I57=TRUE,IF(A353&lt;Career_History!D57,0,MIN(A353,Career_History!E57)-Career_History!D57+1),0))/365.2425</f>
        <v>0</v>
      </c>
      <c r="BC353" s="9">
        <f>SUM(IF(Career_History!H53=TRUE,IF(A353&lt;Career_History!D53,0,MIN(A353,Career_History!E53)-Career_History!D53+1),0),IF(Career_History!H54=TRUE,IF(A353&lt;Career_History!D54,0,MIN(A353,Career_History!E54)-Career_History!D54+1),0),IF(Career_History!H55=TRUE,IF(A353&lt;Career_History!D55,0,MIN(A353,Career_History!E55)-Career_History!D55+1),0),IF(Career_History!H56=TRUE,IF(A353&lt;Career_History!D56,0,MIN(A353,Career_History!E56)-Career_History!D56+1),0),IF(Career_History!H57=TRUE,IF(A353&lt;Career_History!D57,0,MIN(A353,Career_History!E57)-Career_History!D57+1),0))/365.2425</f>
        <v>47.751836108886557</v>
      </c>
      <c r="BD353" s="9">
        <f>SUM(IF(Career_History!G58=TRUE,IF(A353&lt;Career_History!D58,0,MIN(A353,Career_History!E58)-Career_History!D58+1),0),IF(Career_History!G59=TRUE,IF(A353&lt;Career_History!D59,0,MIN(A353,Career_History!E59)-Career_History!D59+1),0),IF(Career_History!G60=TRUE,IF(A353&lt;Career_History!D60,0,MIN(A353,Career_History!E60)-Career_History!D60+1),0))/365.2425</f>
        <v>23.247568396339418</v>
      </c>
      <c r="BE353" s="9">
        <f>SUM(IF(Career_History!I58=TRUE,IF(A353&lt;Career_History!D58,0,MIN(A353,Career_History!E58)-Career_History!D58+1),0),IF(Career_History!I59=TRUE,IF(A353&lt;Career_History!D59,0,MIN(A353,Career_History!E59)-Career_History!D59+1),0),IF(Career_History!I60=TRUE,IF(A353&lt;Career_History!D60,0,MIN(A353,Career_History!E60)-Career_History!D60+1),0))/365.2425</f>
        <v>20.000410686051048</v>
      </c>
      <c r="BF353" s="9">
        <f>SUM(IF(Career_History!H58=TRUE,IF(A353&lt;Career_History!D58,0,MIN(A353,Career_History!E58)-Career_History!D58+1),0),IF(Career_History!H59=TRUE,IF(A353&lt;Career_History!D59,0,MIN(A353,Career_History!E59)-Career_History!D59+1),0),IF(Career_History!H60=TRUE,IF(A353&lt;Career_History!D60,0,MIN(A353,Career_History!E60)-Career_History!D60+1),0))/365.2425</f>
        <v>3.24715771028837</v>
      </c>
      <c r="BG353" s="9">
        <f>SUM(IF(Career_History!G61=TRUE,IF(A353&lt;Career_History!D61,0,MIN(A353,Career_History!E61)-Career_History!D61+1),0),IF(Career_History!G62=TRUE,IF(A353&lt;Career_History!D62,0,MIN(A353,Career_History!E62)-Career_History!D62+1),0),IF(Career_History!G63=TRUE,IF(A353&lt;Career_History!D63,0,MIN(A353,Career_History!E63)-Career_History!D63+1),0))/365.2425</f>
        <v>22.248232338788611</v>
      </c>
      <c r="BH353" s="9">
        <f>SUM(IF(Career_History!I61=TRUE,IF(A353&lt;Career_History!D61,0,MIN(A353,Career_History!E61)-Career_History!D61+1),0),IF(Career_History!I62=TRUE,IF(A353&lt;Career_History!D62,0,MIN(A353,Career_History!E62)-Career_History!D62+1),0),IF(Career_History!I63=TRUE,IF(A353&lt;Career_History!D63,0,MIN(A353,Career_History!E63)-Career_History!D63+1),0))/365.2425</f>
        <v>20.000410686051048</v>
      </c>
      <c r="BI353" s="9">
        <f>SUM(IF(Career_History!H61=TRUE,IF(A353&lt;Career_History!D61,0,MIN(A353,Career_History!E61)-Career_History!D61+1),0),IF(Career_History!H62=TRUE,IF(A353&lt;Career_History!D62,0,MIN(A353,Career_History!E62)-Career_History!D62+1),0),IF(Career_History!H63=TRUE,IF(A353&lt;Career_History!D63,0,MIN(A353,Career_History!E63)-Career_History!D63+1),0))/365.2425</f>
        <v>2.2478216527375645</v>
      </c>
      <c r="BJ353" s="9">
        <f>SUM(IF(Career_History!G64=TRUE,IF(A353&lt;Career_History!D64,0,MIN(A353,Career_History!E64)-Career_History!D64+1),0),IF(Career_History!G65=TRUE,IF(A353&lt;Career_History!D65,0,MIN(A353,Career_History!E65)-Career_History!D65+1),0),IF(Career_History!G66=TRUE,IF(A353&lt;Career_History!D66,0,MIN(A353,Career_History!E66)-Career_History!D66+1),0),IF(Career_History!G67=TRUE,IF(A353&lt;Career_History!D67,0,MIN(A353,Career_History!E67)-Career_History!D67+1),0))/365.2425</f>
        <v>15.247404121918999</v>
      </c>
      <c r="BK353" s="9">
        <f>SUM(IF(Career_History!I64=TRUE,IF(A353&lt;Career_History!D64,0,MIN(A353,Career_History!E64)-Career_History!D64+1),0),IF(Career_History!I65=TRUE,IF(A353&lt;Career_History!D65,0,MIN(A353,Career_History!E65)-Career_History!D65+1),0),IF(Career_History!I66=TRUE,IF(A353&lt;Career_History!D66,0,MIN(A353,Career_History!E66)-Career_History!D66+1),0),IF(Career_History!I67=TRUE,IF(A353&lt;Career_History!D67,0,MIN(A353,Career_History!E67)-Career_History!D67+1),0))/365.2425</f>
        <v>12.495807579895549</v>
      </c>
      <c r="BL353" s="9">
        <f>SUM(IF(Career_History!H64=TRUE,IF(A353&lt;Career_History!D64,0,MIN(A353,Career_History!E64)-Career_History!D64+1),0),IF(Career_History!H65=TRUE,IF(A353&lt;Career_History!D65,0,MIN(A353,Career_History!E65)-Career_History!D65+1),0),IF(Career_History!H66=TRUE,IF(A353&lt;Career_History!D66,0,MIN(A353,Career_History!E66)-Career_History!D66+1),0),IF(Career_History!H67=TRUE,IF(A353&lt;Career_History!D67,0,MIN(A353,Career_History!E67)-Career_History!D67+1),0))/365.2425</f>
        <v>2.7515965420234503</v>
      </c>
      <c r="BM353" s="9"/>
      <c r="BN353" s="9"/>
      <c r="BO353" s="9"/>
    </row>
    <row r="354" spans="1:67">
      <c r="A354" s="8">
        <v>45412</v>
      </c>
      <c r="B354" s="9">
        <f t="shared" si="15"/>
        <v>28.931463342847557</v>
      </c>
      <c r="C354" s="9">
        <f t="shared" si="16"/>
        <v>13.899258711677856</v>
      </c>
      <c r="D354" s="9">
        <f t="shared" si="17"/>
        <v>15.032204631169702</v>
      </c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  <c r="AJ354" s="9"/>
      <c r="AK354" s="9"/>
      <c r="AL354" s="9"/>
      <c r="AM354" s="9"/>
      <c r="AN354" s="9"/>
      <c r="AO354" s="9"/>
      <c r="AP354" s="9"/>
      <c r="AQ354" s="9"/>
      <c r="AR354" s="9"/>
      <c r="AS354" s="9"/>
      <c r="AT354" s="9"/>
      <c r="AU354" s="9">
        <f>SUM(IF(Career_History!G47=TRUE,IF(A354&lt;Career_History!D47,0,MIN(A354,Career_History!E47)-Career_History!D47+1),0),IF(Career_History!G48=TRUE,IF(A354&lt;Career_History!D48,0,MIN(A354,Career_History!E48)-Career_History!D48+1),0),IF(Career_History!G49=TRUE,IF(A354&lt;Career_History!D49,0,MIN(A354,Career_History!E49)-Career_History!D49+1),0))/365.2425</f>
        <v>35.833726907465589</v>
      </c>
      <c r="AV354" s="9">
        <f>SUM(IF(Career_History!I47=TRUE,IF(A354&lt;Career_History!D47,0,MIN(A354,Career_History!E47)-Career_History!D47+1),0),IF(Career_History!I48=TRUE,IF(A354&lt;Career_History!D48,0,MIN(A354,Career_History!E48)-Career_History!D48+1),0),IF(Career_History!I49=TRUE,IF(A354&lt;Career_History!D49,0,MIN(A354,Career_History!E49)-Career_History!D49+1),0))/365.2425</f>
        <v>16.999664606391644</v>
      </c>
      <c r="AW354" s="9">
        <f>SUM(IF(Career_History!H47=TRUE,IF(A354&lt;Career_History!D47,0,MIN(A354,Career_History!E47)-Career_History!D47+1),0),IF(Career_History!H48=TRUE,IF(A354&lt;Career_History!D48,0,MIN(A354,Career_History!E48)-Career_History!D48+1),0),IF(Career_History!H49=TRUE,IF(A354&lt;Career_History!D49,0,MIN(A354,Career_History!E49)-Career_History!D49+1),0))/365.2425</f>
        <v>18.834062301073942</v>
      </c>
      <c r="AX354" s="9"/>
      <c r="AY354" s="9"/>
      <c r="AZ354" s="9"/>
      <c r="BA354" s="9">
        <f>SUM(IF(Career_History!G53=TRUE,IF(A354&lt;Career_History!D53,0,MIN(A354,Career_History!E53)-Career_History!D53+1),0),IF(Career_History!G54=TRUE,IF(A354&lt;Career_History!D54,0,MIN(A354,Career_History!E54)-Career_History!D54+1),0),IF(Career_History!G55=TRUE,IF(A354&lt;Career_History!D55,0,MIN(A354,Career_History!E55)-Career_History!D55+1),0),IF(Career_History!G56=TRUE,IF(A354&lt;Career_History!D56,0,MIN(A354,Career_History!E56)-Career_History!D56+1),0),IF(Career_History!G57=TRUE,IF(A354&lt;Career_History!D57,0,MIN(A354,Career_History!E57)-Career_History!D57+1),0))/365.2425</f>
        <v>47.833973319096216</v>
      </c>
      <c r="BB354" s="9">
        <f>SUM(IF(Career_History!I53=TRUE,IF(A354&lt;Career_History!D53,0,MIN(A354,Career_History!E53)-Career_History!D53+1),0),IF(Career_History!I54=TRUE,IF(A354&lt;Career_History!D54,0,MIN(A354,Career_History!E54)-Career_History!D54+1),0),IF(Career_History!I55=TRUE,IF(A354&lt;Career_History!D55,0,MIN(A354,Career_History!E55)-Career_History!D55+1),0),IF(Career_History!I56=TRUE,IF(A354&lt;Career_History!D56,0,MIN(A354,Career_History!E56)-Career_History!D56+1),0),IF(Career_History!I57=TRUE,IF(A354&lt;Career_History!D57,0,MIN(A354,Career_History!E57)-Career_History!D57+1),0))/365.2425</f>
        <v>0</v>
      </c>
      <c r="BC354" s="9">
        <f>SUM(IF(Career_History!H53=TRUE,IF(A354&lt;Career_History!D53,0,MIN(A354,Career_History!E53)-Career_History!D53+1),0),IF(Career_History!H54=TRUE,IF(A354&lt;Career_History!D54,0,MIN(A354,Career_History!E54)-Career_History!D54+1),0),IF(Career_History!H55=TRUE,IF(A354&lt;Career_History!D55,0,MIN(A354,Career_History!E55)-Career_History!D55+1),0),IF(Career_History!H56=TRUE,IF(A354&lt;Career_History!D56,0,MIN(A354,Career_History!E56)-Career_History!D56+1),0),IF(Career_History!H57=TRUE,IF(A354&lt;Career_History!D57,0,MIN(A354,Career_History!E57)-Career_History!D57+1),0))/365.2425</f>
        <v>47.833973319096216</v>
      </c>
      <c r="BD354" s="9">
        <f>SUM(IF(Career_History!G58=TRUE,IF(A354&lt;Career_History!D58,0,MIN(A354,Career_History!E58)-Career_History!D58+1),0),IF(Career_History!G59=TRUE,IF(A354&lt;Career_History!D59,0,MIN(A354,Career_History!E59)-Career_History!D59+1),0),IF(Career_History!G60=TRUE,IF(A354&lt;Career_History!D60,0,MIN(A354,Career_History!E60)-Career_History!D60+1),0))/365.2425</f>
        <v>23.329705606549073</v>
      </c>
      <c r="BE354" s="9">
        <f>SUM(IF(Career_History!I58=TRUE,IF(A354&lt;Career_History!D58,0,MIN(A354,Career_History!E58)-Career_History!D58+1),0),IF(Career_History!I59=TRUE,IF(A354&lt;Career_History!D59,0,MIN(A354,Career_History!E59)-Career_History!D59+1),0),IF(Career_History!I60=TRUE,IF(A354&lt;Career_History!D60,0,MIN(A354,Career_History!E60)-Career_History!D60+1),0))/365.2425</f>
        <v>20.000410686051048</v>
      </c>
      <c r="BF354" s="9">
        <f>SUM(IF(Career_History!H58=TRUE,IF(A354&lt;Career_History!D58,0,MIN(A354,Career_History!E58)-Career_History!D58+1),0),IF(Career_History!H59=TRUE,IF(A354&lt;Career_History!D59,0,MIN(A354,Career_History!E59)-Career_History!D59+1),0),IF(Career_History!H60=TRUE,IF(A354&lt;Career_History!D60,0,MIN(A354,Career_History!E60)-Career_History!D60+1),0))/365.2425</f>
        <v>3.3292949204980253</v>
      </c>
      <c r="BG354" s="9">
        <f>SUM(IF(Career_History!G61=TRUE,IF(A354&lt;Career_History!D61,0,MIN(A354,Career_History!E61)-Career_History!D61+1),0),IF(Career_History!G62=TRUE,IF(A354&lt;Career_History!D62,0,MIN(A354,Career_History!E62)-Career_History!D62+1),0),IF(Career_History!G63=TRUE,IF(A354&lt;Career_History!D63,0,MIN(A354,Career_History!E63)-Career_History!D63+1),0))/365.2425</f>
        <v>22.330369548998267</v>
      </c>
      <c r="BH354" s="9">
        <f>SUM(IF(Career_History!I61=TRUE,IF(A354&lt;Career_History!D61,0,MIN(A354,Career_History!E61)-Career_History!D61+1),0),IF(Career_History!I62=TRUE,IF(A354&lt;Career_History!D62,0,MIN(A354,Career_History!E62)-Career_History!D62+1),0),IF(Career_History!I63=TRUE,IF(A354&lt;Career_History!D63,0,MIN(A354,Career_History!E63)-Career_History!D63+1),0))/365.2425</f>
        <v>20.000410686051048</v>
      </c>
      <c r="BI354" s="9">
        <f>SUM(IF(Career_History!H61=TRUE,IF(A354&lt;Career_History!D61,0,MIN(A354,Career_History!E61)-Career_History!D61+1),0),IF(Career_History!H62=TRUE,IF(A354&lt;Career_History!D62,0,MIN(A354,Career_History!E62)-Career_History!D62+1),0),IF(Career_History!H63=TRUE,IF(A354&lt;Career_History!D63,0,MIN(A354,Career_History!E63)-Career_History!D63+1),0))/365.2425</f>
        <v>2.3299588629472199</v>
      </c>
      <c r="BJ354" s="9">
        <f>SUM(IF(Career_History!G64=TRUE,IF(A354&lt;Career_History!D64,0,MIN(A354,Career_History!E64)-Career_History!D64+1),0),IF(Career_History!G65=TRUE,IF(A354&lt;Career_History!D65,0,MIN(A354,Career_History!E65)-Career_History!D65+1),0),IF(Career_History!G66=TRUE,IF(A354&lt;Career_History!D66,0,MIN(A354,Career_History!E66)-Career_History!D66+1),0),IF(Career_History!G67=TRUE,IF(A354&lt;Career_History!D67,0,MIN(A354,Career_History!E67)-Career_History!D67+1),0))/365.2425</f>
        <v>15.329541332128654</v>
      </c>
      <c r="BK354" s="9">
        <f>SUM(IF(Career_History!I64=TRUE,IF(A354&lt;Career_History!D64,0,MIN(A354,Career_History!E64)-Career_History!D64+1),0),IF(Career_History!I65=TRUE,IF(A354&lt;Career_History!D65,0,MIN(A354,Career_History!E65)-Career_History!D65+1),0),IF(Career_History!I66=TRUE,IF(A354&lt;Career_History!D66,0,MIN(A354,Career_History!E66)-Career_History!D66+1),0),IF(Career_History!I67=TRUE,IF(A354&lt;Career_History!D67,0,MIN(A354,Career_History!E67)-Career_History!D67+1),0))/365.2425</f>
        <v>12.495807579895549</v>
      </c>
      <c r="BL354" s="9">
        <f>SUM(IF(Career_History!H64=TRUE,IF(A354&lt;Career_History!D64,0,MIN(A354,Career_History!E64)-Career_History!D64+1),0),IF(Career_History!H65=TRUE,IF(A354&lt;Career_History!D65,0,MIN(A354,Career_History!E65)-Career_History!D65+1),0),IF(Career_History!H66=TRUE,IF(A354&lt;Career_History!D66,0,MIN(A354,Career_History!E66)-Career_History!D66+1),0),IF(Career_History!H67=TRUE,IF(A354&lt;Career_History!D67,0,MIN(A354,Career_History!E67)-Career_History!D67+1),0))/365.2425</f>
        <v>2.8337337522331052</v>
      </c>
      <c r="BM354" s="9"/>
      <c r="BN354" s="9"/>
      <c r="BO354" s="9"/>
    </row>
    <row r="355" spans="1:67">
      <c r="A355" s="8">
        <v>45443</v>
      </c>
      <c r="B355" s="9">
        <f t="shared" si="15"/>
        <v>29.016338460064201</v>
      </c>
      <c r="C355" s="9">
        <f t="shared" si="16"/>
        <v>13.899258711677856</v>
      </c>
      <c r="D355" s="9">
        <f t="shared" si="17"/>
        <v>15.117079748386345</v>
      </c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  <c r="AJ355" s="9"/>
      <c r="AK355" s="9"/>
      <c r="AL355" s="9"/>
      <c r="AM355" s="9"/>
      <c r="AN355" s="9"/>
      <c r="AO355" s="9"/>
      <c r="AP355" s="9"/>
      <c r="AQ355" s="9"/>
      <c r="AR355" s="9"/>
      <c r="AS355" s="9"/>
      <c r="AT355" s="9"/>
      <c r="AU355" s="9">
        <f>SUM(IF(Career_History!G47=TRUE,IF(A355&lt;Career_History!D47,0,MIN(A355,Career_History!E47)-Career_History!D47+1),0),IF(Career_History!G48=TRUE,IF(A355&lt;Career_History!D48,0,MIN(A355,Career_History!E48)-Career_History!D48+1),0),IF(Career_History!G49=TRUE,IF(A355&lt;Career_History!D49,0,MIN(A355,Career_History!E49)-Career_History!D49+1),0))/365.2425</f>
        <v>35.91860202468223</v>
      </c>
      <c r="AV355" s="9">
        <f>SUM(IF(Career_History!I47=TRUE,IF(A355&lt;Career_History!D47,0,MIN(A355,Career_History!E47)-Career_History!D47+1),0),IF(Career_History!I48=TRUE,IF(A355&lt;Career_History!D48,0,MIN(A355,Career_History!E48)-Career_History!D48+1),0),IF(Career_History!I49=TRUE,IF(A355&lt;Career_History!D49,0,MIN(A355,Career_History!E49)-Career_History!D49+1),0))/365.2425</f>
        <v>16.999664606391644</v>
      </c>
      <c r="AW355" s="9">
        <f>SUM(IF(Career_History!H47=TRUE,IF(A355&lt;Career_History!D47,0,MIN(A355,Career_History!E47)-Career_History!D47+1),0),IF(Career_History!H48=TRUE,IF(A355&lt;Career_History!D48,0,MIN(A355,Career_History!E48)-Career_History!D48+1),0),IF(Career_History!H49=TRUE,IF(A355&lt;Career_History!D49,0,MIN(A355,Career_History!E49)-Career_History!D49+1),0))/365.2425</f>
        <v>18.918937418290586</v>
      </c>
      <c r="AX355" s="9"/>
      <c r="AY355" s="9"/>
      <c r="AZ355" s="9"/>
      <c r="BA355" s="9">
        <f>SUM(IF(Career_History!G53=TRUE,IF(A355&lt;Career_History!D53,0,MIN(A355,Career_History!E53)-Career_History!D53+1),0),IF(Career_History!G54=TRUE,IF(A355&lt;Career_History!D54,0,MIN(A355,Career_History!E54)-Career_History!D54+1),0),IF(Career_History!G55=TRUE,IF(A355&lt;Career_History!D55,0,MIN(A355,Career_History!E55)-Career_History!D55+1),0),IF(Career_History!G56=TRUE,IF(A355&lt;Career_History!D56,0,MIN(A355,Career_History!E56)-Career_History!D56+1),0),IF(Career_History!G57=TRUE,IF(A355&lt;Career_History!D57,0,MIN(A355,Career_History!E57)-Career_History!D57+1),0))/365.2425</f>
        <v>47.918848436312857</v>
      </c>
      <c r="BB355" s="9">
        <f>SUM(IF(Career_History!I53=TRUE,IF(A355&lt;Career_History!D53,0,MIN(A355,Career_History!E53)-Career_History!D53+1),0),IF(Career_History!I54=TRUE,IF(A355&lt;Career_History!D54,0,MIN(A355,Career_History!E54)-Career_History!D54+1),0),IF(Career_History!I55=TRUE,IF(A355&lt;Career_History!D55,0,MIN(A355,Career_History!E55)-Career_History!D55+1),0),IF(Career_History!I56=TRUE,IF(A355&lt;Career_History!D56,0,MIN(A355,Career_History!E56)-Career_History!D56+1),0),IF(Career_History!I57=TRUE,IF(A355&lt;Career_History!D57,0,MIN(A355,Career_History!E57)-Career_History!D57+1),0))/365.2425</f>
        <v>0</v>
      </c>
      <c r="BC355" s="9">
        <f>SUM(IF(Career_History!H53=TRUE,IF(A355&lt;Career_History!D53,0,MIN(A355,Career_History!E53)-Career_History!D53+1),0),IF(Career_History!H54=TRUE,IF(A355&lt;Career_History!D54,0,MIN(A355,Career_History!E54)-Career_History!D54+1),0),IF(Career_History!H55=TRUE,IF(A355&lt;Career_History!D55,0,MIN(A355,Career_History!E55)-Career_History!D55+1),0),IF(Career_History!H56=TRUE,IF(A355&lt;Career_History!D56,0,MIN(A355,Career_History!E56)-Career_History!D56+1),0),IF(Career_History!H57=TRUE,IF(A355&lt;Career_History!D57,0,MIN(A355,Career_History!E57)-Career_History!D57+1),0))/365.2425</f>
        <v>47.918848436312857</v>
      </c>
      <c r="BD355" s="9">
        <f>SUM(IF(Career_History!G58=TRUE,IF(A355&lt;Career_History!D58,0,MIN(A355,Career_History!E58)-Career_History!D58+1),0),IF(Career_History!G59=TRUE,IF(A355&lt;Career_History!D59,0,MIN(A355,Career_History!E59)-Career_History!D59+1),0),IF(Career_History!G60=TRUE,IF(A355&lt;Career_History!D60,0,MIN(A355,Career_History!E60)-Career_History!D60+1),0))/365.2425</f>
        <v>23.414580723765717</v>
      </c>
      <c r="BE355" s="9">
        <f>SUM(IF(Career_History!I58=TRUE,IF(A355&lt;Career_History!D58,0,MIN(A355,Career_History!E58)-Career_History!D58+1),0),IF(Career_History!I59=TRUE,IF(A355&lt;Career_History!D59,0,MIN(A355,Career_History!E59)-Career_History!D59+1),0),IF(Career_History!I60=TRUE,IF(A355&lt;Career_History!D60,0,MIN(A355,Career_History!E60)-Career_History!D60+1),0))/365.2425</f>
        <v>20.000410686051048</v>
      </c>
      <c r="BF355" s="9">
        <f>SUM(IF(Career_History!H58=TRUE,IF(A355&lt;Career_History!D58,0,MIN(A355,Career_History!E58)-Career_History!D58+1),0),IF(Career_History!H59=TRUE,IF(A355&lt;Career_History!D59,0,MIN(A355,Career_History!E59)-Career_History!D59+1),0),IF(Career_History!H60=TRUE,IF(A355&lt;Career_History!D60,0,MIN(A355,Career_History!E60)-Career_History!D60+1),0))/365.2425</f>
        <v>3.4141700377146691</v>
      </c>
      <c r="BG355" s="9">
        <f>SUM(IF(Career_History!G61=TRUE,IF(A355&lt;Career_History!D61,0,MIN(A355,Career_History!E61)-Career_History!D61+1),0),IF(Career_History!G62=TRUE,IF(A355&lt;Career_History!D62,0,MIN(A355,Career_History!E62)-Career_History!D62+1),0),IF(Career_History!G63=TRUE,IF(A355&lt;Career_History!D63,0,MIN(A355,Career_History!E63)-Career_History!D63+1),0))/365.2425</f>
        <v>22.41524466621491</v>
      </c>
      <c r="BH355" s="9">
        <f>SUM(IF(Career_History!I61=TRUE,IF(A355&lt;Career_History!D61,0,MIN(A355,Career_History!E61)-Career_History!D61+1),0),IF(Career_History!I62=TRUE,IF(A355&lt;Career_History!D62,0,MIN(A355,Career_History!E62)-Career_History!D62+1),0),IF(Career_History!I63=TRUE,IF(A355&lt;Career_History!D63,0,MIN(A355,Career_History!E63)-Career_History!D63+1),0))/365.2425</f>
        <v>20.000410686051048</v>
      </c>
      <c r="BI355" s="9">
        <f>SUM(IF(Career_History!H61=TRUE,IF(A355&lt;Career_History!D61,0,MIN(A355,Career_History!E61)-Career_History!D61+1),0),IF(Career_History!H62=TRUE,IF(A355&lt;Career_History!D62,0,MIN(A355,Career_History!E62)-Career_History!D62+1),0),IF(Career_History!H63=TRUE,IF(A355&lt;Career_History!D63,0,MIN(A355,Career_History!E63)-Career_History!D63+1),0))/365.2425</f>
        <v>2.4148339801638636</v>
      </c>
      <c r="BJ355" s="9">
        <f>SUM(IF(Career_History!G64=TRUE,IF(A355&lt;Career_History!D64,0,MIN(A355,Career_History!E64)-Career_History!D64+1),0),IF(Career_History!G65=TRUE,IF(A355&lt;Career_History!D65,0,MIN(A355,Career_History!E65)-Career_History!D65+1),0),IF(Career_History!G66=TRUE,IF(A355&lt;Career_History!D66,0,MIN(A355,Career_History!E66)-Career_History!D66+1),0),IF(Career_History!G67=TRUE,IF(A355&lt;Career_History!D67,0,MIN(A355,Career_History!E67)-Career_History!D67+1),0))/365.2425</f>
        <v>15.414416449345298</v>
      </c>
      <c r="BK355" s="9">
        <f>SUM(IF(Career_History!I64=TRUE,IF(A355&lt;Career_History!D64,0,MIN(A355,Career_History!E64)-Career_History!D64+1),0),IF(Career_History!I65=TRUE,IF(A355&lt;Career_History!D65,0,MIN(A355,Career_History!E65)-Career_History!D65+1),0),IF(Career_History!I66=TRUE,IF(A355&lt;Career_History!D66,0,MIN(A355,Career_History!E66)-Career_History!D66+1),0),IF(Career_History!I67=TRUE,IF(A355&lt;Career_History!D67,0,MIN(A355,Career_History!E67)-Career_History!D67+1),0))/365.2425</f>
        <v>12.495807579895549</v>
      </c>
      <c r="BL355" s="9">
        <f>SUM(IF(Career_History!H64=TRUE,IF(A355&lt;Career_History!D64,0,MIN(A355,Career_History!E64)-Career_History!D64+1),0),IF(Career_History!H65=TRUE,IF(A355&lt;Career_History!D65,0,MIN(A355,Career_History!E65)-Career_History!D65+1),0),IF(Career_History!H66=TRUE,IF(A355&lt;Career_History!D66,0,MIN(A355,Career_History!E66)-Career_History!D66+1),0),IF(Career_History!H67=TRUE,IF(A355&lt;Career_History!D67,0,MIN(A355,Career_History!E67)-Career_History!D67+1),0))/365.2425</f>
        <v>2.918608869449749</v>
      </c>
      <c r="BM355" s="9"/>
      <c r="BN355" s="9"/>
      <c r="BO355" s="9"/>
    </row>
    <row r="356" spans="1:67">
      <c r="A356" s="8">
        <v>45473</v>
      </c>
      <c r="B356" s="9">
        <f t="shared" si="15"/>
        <v>29.09847567027386</v>
      </c>
      <c r="C356" s="9">
        <f t="shared" si="16"/>
        <v>13.899258711677856</v>
      </c>
      <c r="D356" s="9">
        <f t="shared" si="17"/>
        <v>15.199216958596001</v>
      </c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  <c r="AJ356" s="9"/>
      <c r="AK356" s="9"/>
      <c r="AL356" s="9"/>
      <c r="AM356" s="9"/>
      <c r="AN356" s="9"/>
      <c r="AO356" s="9"/>
      <c r="AP356" s="9"/>
      <c r="AQ356" s="9"/>
      <c r="AR356" s="9"/>
      <c r="AS356" s="9"/>
      <c r="AT356" s="9"/>
      <c r="AU356" s="9">
        <f>SUM(IF(Career_History!G47=TRUE,IF(A356&lt;Career_History!D47,0,MIN(A356,Career_History!E47)-Career_History!D47+1),0),IF(Career_History!G48=TRUE,IF(A356&lt;Career_History!D48,0,MIN(A356,Career_History!E48)-Career_History!D48+1),0),IF(Career_History!G49=TRUE,IF(A356&lt;Career_History!D49,0,MIN(A356,Career_History!E49)-Career_History!D49+1),0))/365.2425</f>
        <v>36.000739234891888</v>
      </c>
      <c r="AV356" s="9">
        <f>SUM(IF(Career_History!I47=TRUE,IF(A356&lt;Career_History!D47,0,MIN(A356,Career_History!E47)-Career_History!D47+1),0),IF(Career_History!I48=TRUE,IF(A356&lt;Career_History!D48,0,MIN(A356,Career_History!E48)-Career_History!D48+1),0),IF(Career_History!I49=TRUE,IF(A356&lt;Career_History!D49,0,MIN(A356,Career_History!E49)-Career_History!D49+1),0))/365.2425</f>
        <v>16.999664606391644</v>
      </c>
      <c r="AW356" s="9">
        <f>SUM(IF(Career_History!H47=TRUE,IF(A356&lt;Career_History!D47,0,MIN(A356,Career_History!E47)-Career_History!D47+1),0),IF(Career_History!H48=TRUE,IF(A356&lt;Career_History!D48,0,MIN(A356,Career_History!E48)-Career_History!D48+1),0),IF(Career_History!H49=TRUE,IF(A356&lt;Career_History!D49,0,MIN(A356,Career_History!E49)-Career_History!D49+1),0))/365.2425</f>
        <v>19.001074628500241</v>
      </c>
      <c r="AX356" s="9"/>
      <c r="AY356" s="9"/>
      <c r="AZ356" s="9"/>
      <c r="BA356" s="9">
        <f>SUM(IF(Career_History!G53=TRUE,IF(A356&lt;Career_History!D53,0,MIN(A356,Career_History!E53)-Career_History!D53+1),0),IF(Career_History!G54=TRUE,IF(A356&lt;Career_History!D54,0,MIN(A356,Career_History!E54)-Career_History!D54+1),0),IF(Career_History!G55=TRUE,IF(A356&lt;Career_History!D55,0,MIN(A356,Career_History!E55)-Career_History!D55+1),0),IF(Career_History!G56=TRUE,IF(A356&lt;Career_History!D56,0,MIN(A356,Career_History!E56)-Career_History!D56+1),0),IF(Career_History!G57=TRUE,IF(A356&lt;Career_History!D57,0,MIN(A356,Career_History!E57)-Career_History!D57+1),0))/365.2425</f>
        <v>48.000985646522516</v>
      </c>
      <c r="BB356" s="9">
        <f>SUM(IF(Career_History!I53=TRUE,IF(A356&lt;Career_History!D53,0,MIN(A356,Career_History!E53)-Career_History!D53+1),0),IF(Career_History!I54=TRUE,IF(A356&lt;Career_History!D54,0,MIN(A356,Career_History!E54)-Career_History!D54+1),0),IF(Career_History!I55=TRUE,IF(A356&lt;Career_History!D55,0,MIN(A356,Career_History!E55)-Career_History!D55+1),0),IF(Career_History!I56=TRUE,IF(A356&lt;Career_History!D56,0,MIN(A356,Career_History!E56)-Career_History!D56+1),0),IF(Career_History!I57=TRUE,IF(A356&lt;Career_History!D57,0,MIN(A356,Career_History!E57)-Career_History!D57+1),0))/365.2425</f>
        <v>0</v>
      </c>
      <c r="BC356" s="9">
        <f>SUM(IF(Career_History!H53=TRUE,IF(A356&lt;Career_History!D53,0,MIN(A356,Career_History!E53)-Career_History!D53+1),0),IF(Career_History!H54=TRUE,IF(A356&lt;Career_History!D54,0,MIN(A356,Career_History!E54)-Career_History!D54+1),0),IF(Career_History!H55=TRUE,IF(A356&lt;Career_History!D55,0,MIN(A356,Career_History!E55)-Career_History!D55+1),0),IF(Career_History!H56=TRUE,IF(A356&lt;Career_History!D56,0,MIN(A356,Career_History!E56)-Career_History!D56+1),0),IF(Career_History!H57=TRUE,IF(A356&lt;Career_History!D57,0,MIN(A356,Career_History!E57)-Career_History!D57+1),0))/365.2425</f>
        <v>48.000985646522516</v>
      </c>
      <c r="BD356" s="9">
        <f>SUM(IF(Career_History!G58=TRUE,IF(A356&lt;Career_History!D58,0,MIN(A356,Career_History!E58)-Career_History!D58+1),0),IF(Career_History!G59=TRUE,IF(A356&lt;Career_History!D59,0,MIN(A356,Career_History!E59)-Career_History!D59+1),0),IF(Career_History!G60=TRUE,IF(A356&lt;Career_History!D60,0,MIN(A356,Career_History!E60)-Career_History!D60+1),0))/365.2425</f>
        <v>23.496717933975372</v>
      </c>
      <c r="BE356" s="9">
        <f>SUM(IF(Career_History!I58=TRUE,IF(A356&lt;Career_History!D58,0,MIN(A356,Career_History!E58)-Career_History!D58+1),0),IF(Career_History!I59=TRUE,IF(A356&lt;Career_History!D59,0,MIN(A356,Career_History!E59)-Career_History!D59+1),0),IF(Career_History!I60=TRUE,IF(A356&lt;Career_History!D60,0,MIN(A356,Career_History!E60)-Career_History!D60+1),0))/365.2425</f>
        <v>20.000410686051048</v>
      </c>
      <c r="BF356" s="9">
        <f>SUM(IF(Career_History!H58=TRUE,IF(A356&lt;Career_History!D58,0,MIN(A356,Career_History!E58)-Career_History!D58+1),0),IF(Career_History!H59=TRUE,IF(A356&lt;Career_History!D59,0,MIN(A356,Career_History!E59)-Career_History!D59+1),0),IF(Career_History!H60=TRUE,IF(A356&lt;Career_History!D60,0,MIN(A356,Career_History!E60)-Career_History!D60+1),0))/365.2425</f>
        <v>3.496307247924324</v>
      </c>
      <c r="BG356" s="9">
        <f>SUM(IF(Career_History!G61=TRUE,IF(A356&lt;Career_History!D61,0,MIN(A356,Career_History!E61)-Career_History!D61+1),0),IF(Career_History!G62=TRUE,IF(A356&lt;Career_History!D62,0,MIN(A356,Career_History!E62)-Career_History!D62+1),0),IF(Career_History!G63=TRUE,IF(A356&lt;Career_History!D63,0,MIN(A356,Career_History!E63)-Career_History!D63+1),0))/365.2425</f>
        <v>22.497381876424566</v>
      </c>
      <c r="BH356" s="9">
        <f>SUM(IF(Career_History!I61=TRUE,IF(A356&lt;Career_History!D61,0,MIN(A356,Career_History!E61)-Career_History!D61+1),0),IF(Career_History!I62=TRUE,IF(A356&lt;Career_History!D62,0,MIN(A356,Career_History!E62)-Career_History!D62+1),0),IF(Career_History!I63=TRUE,IF(A356&lt;Career_History!D63,0,MIN(A356,Career_History!E63)-Career_History!D63+1),0))/365.2425</f>
        <v>20.000410686051048</v>
      </c>
      <c r="BI356" s="9">
        <f>SUM(IF(Career_History!H61=TRUE,IF(A356&lt;Career_History!D61,0,MIN(A356,Career_History!E61)-Career_History!D61+1),0),IF(Career_History!H62=TRUE,IF(A356&lt;Career_History!D62,0,MIN(A356,Career_History!E62)-Career_History!D62+1),0),IF(Career_History!H63=TRUE,IF(A356&lt;Career_History!D63,0,MIN(A356,Career_History!E63)-Career_History!D63+1),0))/365.2425</f>
        <v>2.496971190373519</v>
      </c>
      <c r="BJ356" s="9">
        <f>SUM(IF(Career_History!G64=TRUE,IF(A356&lt;Career_History!D64,0,MIN(A356,Career_History!E64)-Career_History!D64+1),0),IF(Career_History!G65=TRUE,IF(A356&lt;Career_History!D65,0,MIN(A356,Career_History!E65)-Career_History!D65+1),0),IF(Career_History!G66=TRUE,IF(A356&lt;Career_History!D66,0,MIN(A356,Career_History!E66)-Career_History!D66+1),0),IF(Career_History!G67=TRUE,IF(A356&lt;Career_History!D67,0,MIN(A356,Career_History!E67)-Career_History!D67+1),0))/365.2425</f>
        <v>15.496553659554953</v>
      </c>
      <c r="BK356" s="9">
        <f>SUM(IF(Career_History!I64=TRUE,IF(A356&lt;Career_History!D64,0,MIN(A356,Career_History!E64)-Career_History!D64+1),0),IF(Career_History!I65=TRUE,IF(A356&lt;Career_History!D65,0,MIN(A356,Career_History!E65)-Career_History!D65+1),0),IF(Career_History!I66=TRUE,IF(A356&lt;Career_History!D66,0,MIN(A356,Career_History!E66)-Career_History!D66+1),0),IF(Career_History!I67=TRUE,IF(A356&lt;Career_History!D67,0,MIN(A356,Career_History!E67)-Career_History!D67+1),0))/365.2425</f>
        <v>12.495807579895549</v>
      </c>
      <c r="BL356" s="9">
        <f>SUM(IF(Career_History!H64=TRUE,IF(A356&lt;Career_History!D64,0,MIN(A356,Career_History!E64)-Career_History!D64+1),0),IF(Career_History!H65=TRUE,IF(A356&lt;Career_History!D65,0,MIN(A356,Career_History!E65)-Career_History!D65+1),0),IF(Career_History!H66=TRUE,IF(A356&lt;Career_History!D66,0,MIN(A356,Career_History!E66)-Career_History!D66+1),0),IF(Career_History!H67=TRUE,IF(A356&lt;Career_History!D67,0,MIN(A356,Career_History!E67)-Career_History!D67+1),0))/365.2425</f>
        <v>3.0007460796594043</v>
      </c>
      <c r="BM356" s="9"/>
      <c r="BN356" s="9"/>
      <c r="BO356" s="9"/>
    </row>
    <row r="357" spans="1:67">
      <c r="A357" s="8">
        <v>45504</v>
      </c>
      <c r="B357" s="9">
        <f t="shared" si="15"/>
        <v>29.183350787490497</v>
      </c>
      <c r="C357" s="9">
        <f t="shared" si="16"/>
        <v>13.899258711677856</v>
      </c>
      <c r="D357" s="9">
        <f t="shared" si="17"/>
        <v>15.284092075812643</v>
      </c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  <c r="AJ357" s="9"/>
      <c r="AK357" s="9"/>
      <c r="AL357" s="9"/>
      <c r="AM357" s="9"/>
      <c r="AN357" s="9"/>
      <c r="AO357" s="9"/>
      <c r="AP357" s="9"/>
      <c r="AQ357" s="9"/>
      <c r="AR357" s="9"/>
      <c r="AS357" s="9"/>
      <c r="AT357" s="9"/>
      <c r="AU357" s="9">
        <f>SUM(IF(Career_History!G47=TRUE,IF(A357&lt;Career_History!D47,0,MIN(A357,Career_History!E47)-Career_History!D47+1),0),IF(Career_History!G48=TRUE,IF(A357&lt;Career_History!D48,0,MIN(A357,Career_History!E48)-Career_History!D48+1),0),IF(Career_History!G49=TRUE,IF(A357&lt;Career_History!D49,0,MIN(A357,Career_History!E49)-Career_History!D49+1),0))/365.2425</f>
        <v>36.085614352108529</v>
      </c>
      <c r="AV357" s="9">
        <f>SUM(IF(Career_History!I47=TRUE,IF(A357&lt;Career_History!D47,0,MIN(A357,Career_History!E47)-Career_History!D47+1),0),IF(Career_History!I48=TRUE,IF(A357&lt;Career_History!D48,0,MIN(A357,Career_History!E48)-Career_History!D48+1),0),IF(Career_History!I49=TRUE,IF(A357&lt;Career_History!D49,0,MIN(A357,Career_History!E49)-Career_History!D49+1),0))/365.2425</f>
        <v>16.999664606391644</v>
      </c>
      <c r="AW357" s="9">
        <f>SUM(IF(Career_History!H47=TRUE,IF(A357&lt;Career_History!D47,0,MIN(A357,Career_History!E47)-Career_History!D47+1),0),IF(Career_History!H48=TRUE,IF(A357&lt;Career_History!D48,0,MIN(A357,Career_History!E48)-Career_History!D48+1),0),IF(Career_History!H49=TRUE,IF(A357&lt;Career_History!D49,0,MIN(A357,Career_History!E49)-Career_History!D49+1),0))/365.2425</f>
        <v>19.085949745716885</v>
      </c>
      <c r="AX357" s="9"/>
      <c r="AY357" s="9"/>
      <c r="AZ357" s="9"/>
      <c r="BA357" s="9">
        <f>SUM(IF(Career_History!G53=TRUE,IF(A357&lt;Career_History!D53,0,MIN(A357,Career_History!E53)-Career_History!D53+1),0),IF(Career_History!G54=TRUE,IF(A357&lt;Career_History!D54,0,MIN(A357,Career_History!E54)-Career_History!D54+1),0),IF(Career_History!G55=TRUE,IF(A357&lt;Career_History!D55,0,MIN(A357,Career_History!E55)-Career_History!D55+1),0),IF(Career_History!G56=TRUE,IF(A357&lt;Career_History!D56,0,MIN(A357,Career_History!E56)-Career_History!D56+1),0),IF(Career_History!G57=TRUE,IF(A357&lt;Career_History!D57,0,MIN(A357,Career_History!E57)-Career_History!D57+1),0))/365.2425</f>
        <v>48.085860763739156</v>
      </c>
      <c r="BB357" s="9">
        <f>SUM(IF(Career_History!I53=TRUE,IF(A357&lt;Career_History!D53,0,MIN(A357,Career_History!E53)-Career_History!D53+1),0),IF(Career_History!I54=TRUE,IF(A357&lt;Career_History!D54,0,MIN(A357,Career_History!E54)-Career_History!D54+1),0),IF(Career_History!I55=TRUE,IF(A357&lt;Career_History!D55,0,MIN(A357,Career_History!E55)-Career_History!D55+1),0),IF(Career_History!I56=TRUE,IF(A357&lt;Career_History!D56,0,MIN(A357,Career_History!E56)-Career_History!D56+1),0),IF(Career_History!I57=TRUE,IF(A357&lt;Career_History!D57,0,MIN(A357,Career_History!E57)-Career_History!D57+1),0))/365.2425</f>
        <v>0</v>
      </c>
      <c r="BC357" s="9">
        <f>SUM(IF(Career_History!H53=TRUE,IF(A357&lt;Career_History!D53,0,MIN(A357,Career_History!E53)-Career_History!D53+1),0),IF(Career_History!H54=TRUE,IF(A357&lt;Career_History!D54,0,MIN(A357,Career_History!E54)-Career_History!D54+1),0),IF(Career_History!H55=TRUE,IF(A357&lt;Career_History!D55,0,MIN(A357,Career_History!E55)-Career_History!D55+1),0),IF(Career_History!H56=TRUE,IF(A357&lt;Career_History!D56,0,MIN(A357,Career_History!E56)-Career_History!D56+1),0),IF(Career_History!H57=TRUE,IF(A357&lt;Career_History!D57,0,MIN(A357,Career_History!E57)-Career_History!D57+1),0))/365.2425</f>
        <v>48.085860763739156</v>
      </c>
      <c r="BD357" s="9">
        <f>SUM(IF(Career_History!G58=TRUE,IF(A357&lt;Career_History!D58,0,MIN(A357,Career_History!E58)-Career_History!D58+1),0),IF(Career_History!G59=TRUE,IF(A357&lt;Career_History!D59,0,MIN(A357,Career_History!E59)-Career_History!D59+1),0),IF(Career_History!G60=TRUE,IF(A357&lt;Career_History!D60,0,MIN(A357,Career_History!E60)-Career_History!D60+1),0))/365.2425</f>
        <v>23.581593051192016</v>
      </c>
      <c r="BE357" s="9">
        <f>SUM(IF(Career_History!I58=TRUE,IF(A357&lt;Career_History!D58,0,MIN(A357,Career_History!E58)-Career_History!D58+1),0),IF(Career_History!I59=TRUE,IF(A357&lt;Career_History!D59,0,MIN(A357,Career_History!E59)-Career_History!D59+1),0),IF(Career_History!I60=TRUE,IF(A357&lt;Career_History!D60,0,MIN(A357,Career_History!E60)-Career_History!D60+1),0))/365.2425</f>
        <v>20.000410686051048</v>
      </c>
      <c r="BF357" s="9">
        <f>SUM(IF(Career_History!H58=TRUE,IF(A357&lt;Career_History!D58,0,MIN(A357,Career_History!E58)-Career_History!D58+1),0),IF(Career_History!H59=TRUE,IF(A357&lt;Career_History!D59,0,MIN(A357,Career_History!E59)-Career_History!D59+1),0),IF(Career_History!H60=TRUE,IF(A357&lt;Career_History!D60,0,MIN(A357,Career_History!E60)-Career_History!D60+1),0))/365.2425</f>
        <v>3.5811823651409678</v>
      </c>
      <c r="BG357" s="9">
        <f>SUM(IF(Career_History!G61=TRUE,IF(A357&lt;Career_History!D61,0,MIN(A357,Career_History!E61)-Career_History!D61+1),0),IF(Career_History!G62=TRUE,IF(A357&lt;Career_History!D62,0,MIN(A357,Career_History!E62)-Career_History!D62+1),0),IF(Career_History!G63=TRUE,IF(A357&lt;Career_History!D63,0,MIN(A357,Career_History!E63)-Career_History!D63+1),0))/365.2425</f>
        <v>22.582256993641209</v>
      </c>
      <c r="BH357" s="9">
        <f>SUM(IF(Career_History!I61=TRUE,IF(A357&lt;Career_History!D61,0,MIN(A357,Career_History!E61)-Career_History!D61+1),0),IF(Career_History!I62=TRUE,IF(A357&lt;Career_History!D62,0,MIN(A357,Career_History!E62)-Career_History!D62+1),0),IF(Career_History!I63=TRUE,IF(A357&lt;Career_History!D63,0,MIN(A357,Career_History!E63)-Career_History!D63+1),0))/365.2425</f>
        <v>20.000410686051048</v>
      </c>
      <c r="BI357" s="9">
        <f>SUM(IF(Career_History!H61=TRUE,IF(A357&lt;Career_History!D61,0,MIN(A357,Career_History!E61)-Career_History!D61+1),0),IF(Career_History!H62=TRUE,IF(A357&lt;Career_History!D62,0,MIN(A357,Career_History!E62)-Career_History!D62+1),0),IF(Career_History!H63=TRUE,IF(A357&lt;Career_History!D63,0,MIN(A357,Career_History!E63)-Career_History!D63+1),0))/365.2425</f>
        <v>2.5818463075901628</v>
      </c>
      <c r="BJ357" s="9">
        <f>SUM(IF(Career_History!G64=TRUE,IF(A357&lt;Career_History!D64,0,MIN(A357,Career_History!E64)-Career_History!D64+1),0),IF(Career_History!G65=TRUE,IF(A357&lt;Career_History!D65,0,MIN(A357,Career_History!E65)-Career_History!D65+1),0),IF(Career_History!G66=TRUE,IF(A357&lt;Career_History!D66,0,MIN(A357,Career_History!E66)-Career_History!D66+1),0),IF(Career_History!G67=TRUE,IF(A357&lt;Career_History!D67,0,MIN(A357,Career_History!E67)-Career_History!D67+1),0))/365.2425</f>
        <v>15.581428776771597</v>
      </c>
      <c r="BK357" s="9">
        <f>SUM(IF(Career_History!I64=TRUE,IF(A357&lt;Career_History!D64,0,MIN(A357,Career_History!E64)-Career_History!D64+1),0),IF(Career_History!I65=TRUE,IF(A357&lt;Career_History!D65,0,MIN(A357,Career_History!E65)-Career_History!D65+1),0),IF(Career_History!I66=TRUE,IF(A357&lt;Career_History!D66,0,MIN(A357,Career_History!E66)-Career_History!D66+1),0),IF(Career_History!I67=TRUE,IF(A357&lt;Career_History!D67,0,MIN(A357,Career_History!E67)-Career_History!D67+1),0))/365.2425</f>
        <v>12.495807579895549</v>
      </c>
      <c r="BL357" s="9">
        <f>SUM(IF(Career_History!H64=TRUE,IF(A357&lt;Career_History!D64,0,MIN(A357,Career_History!E64)-Career_History!D64+1),0),IF(Career_History!H65=TRUE,IF(A357&lt;Career_History!D65,0,MIN(A357,Career_History!E65)-Career_History!D65+1),0),IF(Career_History!H66=TRUE,IF(A357&lt;Career_History!D66,0,MIN(A357,Career_History!E66)-Career_History!D66+1),0),IF(Career_History!H67=TRUE,IF(A357&lt;Career_History!D67,0,MIN(A357,Career_History!E67)-Career_History!D67+1),0))/365.2425</f>
        <v>3.0856211968760481</v>
      </c>
      <c r="BM357" s="9"/>
      <c r="BN357" s="9"/>
      <c r="BO357" s="9"/>
    </row>
    <row r="358" spans="1:67">
      <c r="A358" s="8">
        <v>45535</v>
      </c>
      <c r="B358" s="9">
        <f t="shared" si="15"/>
        <v>29.268225904707144</v>
      </c>
      <c r="C358" s="9">
        <f t="shared" si="16"/>
        <v>13.899258711677856</v>
      </c>
      <c r="D358" s="9">
        <f t="shared" si="17"/>
        <v>15.368967193029288</v>
      </c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  <c r="AJ358" s="9"/>
      <c r="AK358" s="9"/>
      <c r="AL358" s="9"/>
      <c r="AM358" s="9"/>
      <c r="AN358" s="9"/>
      <c r="AO358" s="9"/>
      <c r="AP358" s="9"/>
      <c r="AQ358" s="9"/>
      <c r="AR358" s="9"/>
      <c r="AS358" s="9"/>
      <c r="AT358" s="9"/>
      <c r="AU358" s="9">
        <f>SUM(IF(Career_History!G47=TRUE,IF(A358&lt;Career_History!D47,0,MIN(A358,Career_History!E47)-Career_History!D47+1),0),IF(Career_History!G48=TRUE,IF(A358&lt;Career_History!D48,0,MIN(A358,Career_History!E48)-Career_History!D48+1),0),IF(Career_History!G49=TRUE,IF(A358&lt;Career_History!D49,0,MIN(A358,Career_History!E49)-Career_History!D49+1),0))/365.2425</f>
        <v>36.170489469325176</v>
      </c>
      <c r="AV358" s="9">
        <f>SUM(IF(Career_History!I47=TRUE,IF(A358&lt;Career_History!D47,0,MIN(A358,Career_History!E47)-Career_History!D47+1),0),IF(Career_History!I48=TRUE,IF(A358&lt;Career_History!D48,0,MIN(A358,Career_History!E48)-Career_History!D48+1),0),IF(Career_History!I49=TRUE,IF(A358&lt;Career_History!D49,0,MIN(A358,Career_History!E49)-Career_History!D49+1),0))/365.2425</f>
        <v>16.999664606391644</v>
      </c>
      <c r="AW358" s="9">
        <f>SUM(IF(Career_History!H47=TRUE,IF(A358&lt;Career_History!D47,0,MIN(A358,Career_History!E47)-Career_History!D47+1),0),IF(Career_History!H48=TRUE,IF(A358&lt;Career_History!D48,0,MIN(A358,Career_History!E48)-Career_History!D48+1),0),IF(Career_History!H49=TRUE,IF(A358&lt;Career_History!D49,0,MIN(A358,Career_History!E49)-Career_History!D49+1),0))/365.2425</f>
        <v>19.170824862933529</v>
      </c>
      <c r="AX358" s="9"/>
      <c r="AY358" s="9"/>
      <c r="AZ358" s="9"/>
      <c r="BA358" s="9">
        <f>SUM(IF(Career_History!G53=TRUE,IF(A358&lt;Career_History!D53,0,MIN(A358,Career_History!E53)-Career_History!D53+1),0),IF(Career_History!G54=TRUE,IF(A358&lt;Career_History!D54,0,MIN(A358,Career_History!E54)-Career_History!D54+1),0),IF(Career_History!G55=TRUE,IF(A358&lt;Career_History!D55,0,MIN(A358,Career_History!E55)-Career_History!D55+1),0),IF(Career_History!G56=TRUE,IF(A358&lt;Career_History!D56,0,MIN(A358,Career_History!E56)-Career_History!D56+1),0),IF(Career_History!G57=TRUE,IF(A358&lt;Career_History!D57,0,MIN(A358,Career_History!E57)-Career_History!D57+1),0))/365.2425</f>
        <v>48.170735880955803</v>
      </c>
      <c r="BB358" s="9">
        <f>SUM(IF(Career_History!I53=TRUE,IF(A358&lt;Career_History!D53,0,MIN(A358,Career_History!E53)-Career_History!D53+1),0),IF(Career_History!I54=TRUE,IF(A358&lt;Career_History!D54,0,MIN(A358,Career_History!E54)-Career_History!D54+1),0),IF(Career_History!I55=TRUE,IF(A358&lt;Career_History!D55,0,MIN(A358,Career_History!E55)-Career_History!D55+1),0),IF(Career_History!I56=TRUE,IF(A358&lt;Career_History!D56,0,MIN(A358,Career_History!E56)-Career_History!D56+1),0),IF(Career_History!I57=TRUE,IF(A358&lt;Career_History!D57,0,MIN(A358,Career_History!E57)-Career_History!D57+1),0))/365.2425</f>
        <v>0</v>
      </c>
      <c r="BC358" s="9">
        <f>SUM(IF(Career_History!H53=TRUE,IF(A358&lt;Career_History!D53,0,MIN(A358,Career_History!E53)-Career_History!D53+1),0),IF(Career_History!H54=TRUE,IF(A358&lt;Career_History!D54,0,MIN(A358,Career_History!E54)-Career_History!D54+1),0),IF(Career_History!H55=TRUE,IF(A358&lt;Career_History!D55,0,MIN(A358,Career_History!E55)-Career_History!D55+1),0),IF(Career_History!H56=TRUE,IF(A358&lt;Career_History!D56,0,MIN(A358,Career_History!E56)-Career_History!D56+1),0),IF(Career_History!H57=TRUE,IF(A358&lt;Career_History!D57,0,MIN(A358,Career_History!E57)-Career_History!D57+1),0))/365.2425</f>
        <v>48.170735880955803</v>
      </c>
      <c r="BD358" s="9">
        <f>SUM(IF(Career_History!G58=TRUE,IF(A358&lt;Career_History!D58,0,MIN(A358,Career_History!E58)-Career_History!D58+1),0),IF(Career_History!G59=TRUE,IF(A358&lt;Career_History!D59,0,MIN(A358,Career_History!E59)-Career_History!D59+1),0),IF(Career_History!G60=TRUE,IF(A358&lt;Career_History!D60,0,MIN(A358,Career_History!E60)-Career_History!D60+1),0))/365.2425</f>
        <v>23.66646816840866</v>
      </c>
      <c r="BE358" s="9">
        <f>SUM(IF(Career_History!I58=TRUE,IF(A358&lt;Career_History!D58,0,MIN(A358,Career_History!E58)-Career_History!D58+1),0),IF(Career_History!I59=TRUE,IF(A358&lt;Career_History!D59,0,MIN(A358,Career_History!E59)-Career_History!D59+1),0),IF(Career_History!I60=TRUE,IF(A358&lt;Career_History!D60,0,MIN(A358,Career_History!E60)-Career_History!D60+1),0))/365.2425</f>
        <v>20.000410686051048</v>
      </c>
      <c r="BF358" s="9">
        <f>SUM(IF(Career_History!H58=TRUE,IF(A358&lt;Career_History!D58,0,MIN(A358,Career_History!E58)-Career_History!D58+1),0),IF(Career_History!H59=TRUE,IF(A358&lt;Career_History!D59,0,MIN(A358,Career_History!E59)-Career_History!D59+1),0),IF(Career_History!H60=TRUE,IF(A358&lt;Career_History!D60,0,MIN(A358,Career_History!E60)-Career_History!D60+1),0))/365.2425</f>
        <v>3.6660574823576115</v>
      </c>
      <c r="BG358" s="9">
        <f>SUM(IF(Career_History!G61=TRUE,IF(A358&lt;Career_History!D61,0,MIN(A358,Career_History!E61)-Career_History!D61+1),0),IF(Career_History!G62=TRUE,IF(A358&lt;Career_History!D62,0,MIN(A358,Career_History!E62)-Career_History!D62+1),0),IF(Career_History!G63=TRUE,IF(A358&lt;Career_History!D63,0,MIN(A358,Career_History!E63)-Career_History!D63+1),0))/365.2425</f>
        <v>22.667132110857853</v>
      </c>
      <c r="BH358" s="9">
        <f>SUM(IF(Career_History!I61=TRUE,IF(A358&lt;Career_History!D61,0,MIN(A358,Career_History!E61)-Career_History!D61+1),0),IF(Career_History!I62=TRUE,IF(A358&lt;Career_History!D62,0,MIN(A358,Career_History!E62)-Career_History!D62+1),0),IF(Career_History!I63=TRUE,IF(A358&lt;Career_History!D63,0,MIN(A358,Career_History!E63)-Career_History!D63+1),0))/365.2425</f>
        <v>20.000410686051048</v>
      </c>
      <c r="BI358" s="9">
        <f>SUM(IF(Career_History!H61=TRUE,IF(A358&lt;Career_History!D61,0,MIN(A358,Career_History!E61)-Career_History!D61+1),0),IF(Career_History!H62=TRUE,IF(A358&lt;Career_History!D62,0,MIN(A358,Career_History!E62)-Career_History!D62+1),0),IF(Career_History!H63=TRUE,IF(A358&lt;Career_History!D63,0,MIN(A358,Career_History!E63)-Career_History!D63+1),0))/365.2425</f>
        <v>2.6667214248068065</v>
      </c>
      <c r="BJ358" s="9">
        <f>SUM(IF(Career_History!G64=TRUE,IF(A358&lt;Career_History!D64,0,MIN(A358,Career_History!E64)-Career_History!D64+1),0),IF(Career_History!G65=TRUE,IF(A358&lt;Career_History!D65,0,MIN(A358,Career_History!E65)-Career_History!D65+1),0),IF(Career_History!G66=TRUE,IF(A358&lt;Career_History!D66,0,MIN(A358,Career_History!E66)-Career_History!D66+1),0),IF(Career_History!G67=TRUE,IF(A358&lt;Career_History!D67,0,MIN(A358,Career_History!E67)-Career_History!D67+1),0))/365.2425</f>
        <v>15.666303893988241</v>
      </c>
      <c r="BK358" s="9">
        <f>SUM(IF(Career_History!I64=TRUE,IF(A358&lt;Career_History!D64,0,MIN(A358,Career_History!E64)-Career_History!D64+1),0),IF(Career_History!I65=TRUE,IF(A358&lt;Career_History!D65,0,MIN(A358,Career_History!E65)-Career_History!D65+1),0),IF(Career_History!I66=TRUE,IF(A358&lt;Career_History!D66,0,MIN(A358,Career_History!E66)-Career_History!D66+1),0),IF(Career_History!I67=TRUE,IF(A358&lt;Career_History!D67,0,MIN(A358,Career_History!E67)-Career_History!D67+1),0))/365.2425</f>
        <v>12.495807579895549</v>
      </c>
      <c r="BL358" s="9">
        <f>SUM(IF(Career_History!H64=TRUE,IF(A358&lt;Career_History!D64,0,MIN(A358,Career_History!E64)-Career_History!D64+1),0),IF(Career_History!H65=TRUE,IF(A358&lt;Career_History!D65,0,MIN(A358,Career_History!E65)-Career_History!D65+1),0),IF(Career_History!H66=TRUE,IF(A358&lt;Career_History!D66,0,MIN(A358,Career_History!E66)-Career_History!D66+1),0),IF(Career_History!H67=TRUE,IF(A358&lt;Career_History!D67,0,MIN(A358,Career_History!E67)-Career_History!D67+1),0))/365.2425</f>
        <v>3.1704963140926918</v>
      </c>
      <c r="BM358" s="9"/>
      <c r="BN358" s="9"/>
      <c r="BO358" s="9"/>
    </row>
    <row r="359" spans="1:67">
      <c r="A359" s="8">
        <v>45565</v>
      </c>
      <c r="B359" s="9">
        <f t="shared" si="15"/>
        <v>29.350363114916803</v>
      </c>
      <c r="C359" s="9">
        <f t="shared" si="16"/>
        <v>13.899258711677856</v>
      </c>
      <c r="D359" s="9">
        <f t="shared" si="17"/>
        <v>15.451104403238944</v>
      </c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  <c r="AJ359" s="9"/>
      <c r="AK359" s="9"/>
      <c r="AL359" s="9"/>
      <c r="AM359" s="9"/>
      <c r="AN359" s="9"/>
      <c r="AO359" s="9"/>
      <c r="AP359" s="9"/>
      <c r="AQ359" s="9"/>
      <c r="AR359" s="9"/>
      <c r="AS359" s="9"/>
      <c r="AT359" s="9"/>
      <c r="AU359" s="9">
        <f>SUM(IF(Career_History!G47=TRUE,IF(A359&lt;Career_History!D47,0,MIN(A359,Career_History!E47)-Career_History!D47+1),0),IF(Career_History!G48=TRUE,IF(A359&lt;Career_History!D48,0,MIN(A359,Career_History!E48)-Career_History!D48+1),0),IF(Career_History!G49=TRUE,IF(A359&lt;Career_History!D49,0,MIN(A359,Career_History!E49)-Career_History!D49+1),0))/365.2425</f>
        <v>36.252626679534828</v>
      </c>
      <c r="AV359" s="9">
        <f>SUM(IF(Career_History!I47=TRUE,IF(A359&lt;Career_History!D47,0,MIN(A359,Career_History!E47)-Career_History!D47+1),0),IF(Career_History!I48=TRUE,IF(A359&lt;Career_History!D48,0,MIN(A359,Career_History!E48)-Career_History!D48+1),0),IF(Career_History!I49=TRUE,IF(A359&lt;Career_History!D49,0,MIN(A359,Career_History!E49)-Career_History!D49+1),0))/365.2425</f>
        <v>16.999664606391644</v>
      </c>
      <c r="AW359" s="9">
        <f>SUM(IF(Career_History!H47=TRUE,IF(A359&lt;Career_History!D47,0,MIN(A359,Career_History!E47)-Career_History!D47+1),0),IF(Career_History!H48=TRUE,IF(A359&lt;Career_History!D48,0,MIN(A359,Career_History!E48)-Career_History!D48+1),0),IF(Career_History!H49=TRUE,IF(A359&lt;Career_History!D49,0,MIN(A359,Career_History!E49)-Career_History!D49+1),0))/365.2425</f>
        <v>19.252962073143184</v>
      </c>
      <c r="AX359" s="9"/>
      <c r="AY359" s="9"/>
      <c r="AZ359" s="9"/>
      <c r="BA359" s="9">
        <f>SUM(IF(Career_History!G53=TRUE,IF(A359&lt;Career_History!D53,0,MIN(A359,Career_History!E53)-Career_History!D53+1),0),IF(Career_History!G54=TRUE,IF(A359&lt;Career_History!D54,0,MIN(A359,Career_History!E54)-Career_History!D54+1),0),IF(Career_History!G55=TRUE,IF(A359&lt;Career_History!D55,0,MIN(A359,Career_History!E55)-Career_History!D55+1),0),IF(Career_History!G56=TRUE,IF(A359&lt;Career_History!D56,0,MIN(A359,Career_History!E56)-Career_History!D56+1),0),IF(Career_History!G57=TRUE,IF(A359&lt;Career_History!D57,0,MIN(A359,Career_History!E57)-Career_History!D57+1),0))/365.2425</f>
        <v>48.252873091165455</v>
      </c>
      <c r="BB359" s="9">
        <f>SUM(IF(Career_History!I53=TRUE,IF(A359&lt;Career_History!D53,0,MIN(A359,Career_History!E53)-Career_History!D53+1),0),IF(Career_History!I54=TRUE,IF(A359&lt;Career_History!D54,0,MIN(A359,Career_History!E54)-Career_History!D54+1),0),IF(Career_History!I55=TRUE,IF(A359&lt;Career_History!D55,0,MIN(A359,Career_History!E55)-Career_History!D55+1),0),IF(Career_History!I56=TRUE,IF(A359&lt;Career_History!D56,0,MIN(A359,Career_History!E56)-Career_History!D56+1),0),IF(Career_History!I57=TRUE,IF(A359&lt;Career_History!D57,0,MIN(A359,Career_History!E57)-Career_History!D57+1),0))/365.2425</f>
        <v>0</v>
      </c>
      <c r="BC359" s="9">
        <f>SUM(IF(Career_History!H53=TRUE,IF(A359&lt;Career_History!D53,0,MIN(A359,Career_History!E53)-Career_History!D53+1),0),IF(Career_History!H54=TRUE,IF(A359&lt;Career_History!D54,0,MIN(A359,Career_History!E54)-Career_History!D54+1),0),IF(Career_History!H55=TRUE,IF(A359&lt;Career_History!D55,0,MIN(A359,Career_History!E55)-Career_History!D55+1),0),IF(Career_History!H56=TRUE,IF(A359&lt;Career_History!D56,0,MIN(A359,Career_History!E56)-Career_History!D56+1),0),IF(Career_History!H57=TRUE,IF(A359&lt;Career_History!D57,0,MIN(A359,Career_History!E57)-Career_History!D57+1),0))/365.2425</f>
        <v>48.252873091165455</v>
      </c>
      <c r="BD359" s="9">
        <f>SUM(IF(Career_History!G58=TRUE,IF(A359&lt;Career_History!D58,0,MIN(A359,Career_History!E58)-Career_History!D58+1),0),IF(Career_History!G59=TRUE,IF(A359&lt;Career_History!D59,0,MIN(A359,Career_History!E59)-Career_History!D59+1),0),IF(Career_History!G60=TRUE,IF(A359&lt;Career_History!D60,0,MIN(A359,Career_History!E60)-Career_History!D60+1),0))/365.2425</f>
        <v>23.748605378618315</v>
      </c>
      <c r="BE359" s="9">
        <f>SUM(IF(Career_History!I58=TRUE,IF(A359&lt;Career_History!D58,0,MIN(A359,Career_History!E58)-Career_History!D58+1),0),IF(Career_History!I59=TRUE,IF(A359&lt;Career_History!D59,0,MIN(A359,Career_History!E59)-Career_History!D59+1),0),IF(Career_History!I60=TRUE,IF(A359&lt;Career_History!D60,0,MIN(A359,Career_History!E60)-Career_History!D60+1),0))/365.2425</f>
        <v>20.000410686051048</v>
      </c>
      <c r="BF359" s="9">
        <f>SUM(IF(Career_History!H58=TRUE,IF(A359&lt;Career_History!D58,0,MIN(A359,Career_History!E58)-Career_History!D58+1),0),IF(Career_History!H59=TRUE,IF(A359&lt;Career_History!D59,0,MIN(A359,Career_History!E59)-Career_History!D59+1),0),IF(Career_History!H60=TRUE,IF(A359&lt;Career_History!D60,0,MIN(A359,Career_History!E60)-Career_History!D60+1),0))/365.2425</f>
        <v>3.7481946925672669</v>
      </c>
      <c r="BG359" s="9">
        <f>SUM(IF(Career_History!G61=TRUE,IF(A359&lt;Career_History!D61,0,MIN(A359,Career_History!E61)-Career_History!D61+1),0),IF(Career_History!G62=TRUE,IF(A359&lt;Career_History!D62,0,MIN(A359,Career_History!E62)-Career_History!D62+1),0),IF(Career_History!G63=TRUE,IF(A359&lt;Career_History!D63,0,MIN(A359,Career_History!E63)-Career_History!D63+1),0))/365.2425</f>
        <v>22.749269321067509</v>
      </c>
      <c r="BH359" s="9">
        <f>SUM(IF(Career_History!I61=TRUE,IF(A359&lt;Career_History!D61,0,MIN(A359,Career_History!E61)-Career_History!D61+1),0),IF(Career_History!I62=TRUE,IF(A359&lt;Career_History!D62,0,MIN(A359,Career_History!E62)-Career_History!D62+1),0),IF(Career_History!I63=TRUE,IF(A359&lt;Career_History!D63,0,MIN(A359,Career_History!E63)-Career_History!D63+1),0))/365.2425</f>
        <v>20.000410686051048</v>
      </c>
      <c r="BI359" s="9">
        <f>SUM(IF(Career_History!H61=TRUE,IF(A359&lt;Career_History!D61,0,MIN(A359,Career_History!E61)-Career_History!D61+1),0),IF(Career_History!H62=TRUE,IF(A359&lt;Career_History!D62,0,MIN(A359,Career_History!E62)-Career_History!D62+1),0),IF(Career_History!H63=TRUE,IF(A359&lt;Career_History!D63,0,MIN(A359,Career_History!E63)-Career_History!D63+1),0))/365.2425</f>
        <v>2.7488586350164614</v>
      </c>
      <c r="BJ359" s="9">
        <f>SUM(IF(Career_History!G64=TRUE,IF(A359&lt;Career_History!D64,0,MIN(A359,Career_History!E64)-Career_History!D64+1),0),IF(Career_History!G65=TRUE,IF(A359&lt;Career_History!D65,0,MIN(A359,Career_History!E65)-Career_History!D65+1),0),IF(Career_History!G66=TRUE,IF(A359&lt;Career_History!D66,0,MIN(A359,Career_History!E66)-Career_History!D66+1),0),IF(Career_History!G67=TRUE,IF(A359&lt;Career_History!D67,0,MIN(A359,Career_History!E67)-Career_History!D67+1),0))/365.2425</f>
        <v>15.748441104197896</v>
      </c>
      <c r="BK359" s="9">
        <f>SUM(IF(Career_History!I64=TRUE,IF(A359&lt;Career_History!D64,0,MIN(A359,Career_History!E64)-Career_History!D64+1),0),IF(Career_History!I65=TRUE,IF(A359&lt;Career_History!D65,0,MIN(A359,Career_History!E65)-Career_History!D65+1),0),IF(Career_History!I66=TRUE,IF(A359&lt;Career_History!D66,0,MIN(A359,Career_History!E66)-Career_History!D66+1),0),IF(Career_History!I67=TRUE,IF(A359&lt;Career_History!D67,0,MIN(A359,Career_History!E67)-Career_History!D67+1),0))/365.2425</f>
        <v>12.495807579895549</v>
      </c>
      <c r="BL359" s="9">
        <f>SUM(IF(Career_History!H64=TRUE,IF(A359&lt;Career_History!D64,0,MIN(A359,Career_History!E64)-Career_History!D64+1),0),IF(Career_History!H65=TRUE,IF(A359&lt;Career_History!D65,0,MIN(A359,Career_History!E65)-Career_History!D65+1),0),IF(Career_History!H66=TRUE,IF(A359&lt;Career_History!D66,0,MIN(A359,Career_History!E66)-Career_History!D66+1),0),IF(Career_History!H67=TRUE,IF(A359&lt;Career_History!D67,0,MIN(A359,Career_History!E67)-Career_History!D67+1),0))/365.2425</f>
        <v>3.2526335243023472</v>
      </c>
      <c r="BM359" s="9"/>
      <c r="BN359" s="9"/>
      <c r="BO359" s="9"/>
    </row>
    <row r="360" spans="1:67">
      <c r="A360" s="8">
        <v>45596</v>
      </c>
      <c r="B360" s="9">
        <f t="shared" si="15"/>
        <v>29.435238232133447</v>
      </c>
      <c r="C360" s="9">
        <f t="shared" si="16"/>
        <v>13.899258711677856</v>
      </c>
      <c r="D360" s="9">
        <f t="shared" si="17"/>
        <v>15.535979520455587</v>
      </c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  <c r="AJ360" s="9"/>
      <c r="AK360" s="9"/>
      <c r="AL360" s="9"/>
      <c r="AM360" s="9"/>
      <c r="AN360" s="9"/>
      <c r="AO360" s="9"/>
      <c r="AP360" s="9"/>
      <c r="AQ360" s="9"/>
      <c r="AR360" s="9"/>
      <c r="AS360" s="9"/>
      <c r="AT360" s="9"/>
      <c r="AU360" s="9">
        <f>SUM(IF(Career_History!G47=TRUE,IF(A360&lt;Career_History!D47,0,MIN(A360,Career_History!E47)-Career_History!D47+1),0),IF(Career_History!G48=TRUE,IF(A360&lt;Career_History!D48,0,MIN(A360,Career_History!E48)-Career_History!D48+1),0),IF(Career_History!G49=TRUE,IF(A360&lt;Career_History!D49,0,MIN(A360,Career_History!E49)-Career_History!D49+1),0))/365.2425</f>
        <v>36.337501796751475</v>
      </c>
      <c r="AV360" s="9">
        <f>SUM(IF(Career_History!I47=TRUE,IF(A360&lt;Career_History!D47,0,MIN(A360,Career_History!E47)-Career_History!D47+1),0),IF(Career_History!I48=TRUE,IF(A360&lt;Career_History!D48,0,MIN(A360,Career_History!E48)-Career_History!D48+1),0),IF(Career_History!I49=TRUE,IF(A360&lt;Career_History!D49,0,MIN(A360,Career_History!E49)-Career_History!D49+1),0))/365.2425</f>
        <v>16.999664606391644</v>
      </c>
      <c r="AW360" s="9">
        <f>SUM(IF(Career_History!H47=TRUE,IF(A360&lt;Career_History!D47,0,MIN(A360,Career_History!E47)-Career_History!D47+1),0),IF(Career_History!H48=TRUE,IF(A360&lt;Career_History!D48,0,MIN(A360,Career_History!E48)-Career_History!D48+1),0),IF(Career_History!H49=TRUE,IF(A360&lt;Career_History!D49,0,MIN(A360,Career_History!E49)-Career_History!D49+1),0))/365.2425</f>
        <v>19.337837190359828</v>
      </c>
      <c r="AX360" s="9"/>
      <c r="AY360" s="9"/>
      <c r="AZ360" s="9"/>
      <c r="BA360" s="9">
        <f>SUM(IF(Career_History!G53=TRUE,IF(A360&lt;Career_History!D53,0,MIN(A360,Career_History!E53)-Career_History!D53+1),0),IF(Career_History!G54=TRUE,IF(A360&lt;Career_History!D54,0,MIN(A360,Career_History!E54)-Career_History!D54+1),0),IF(Career_History!G55=TRUE,IF(A360&lt;Career_History!D55,0,MIN(A360,Career_History!E55)-Career_History!D55+1),0),IF(Career_History!G56=TRUE,IF(A360&lt;Career_History!D56,0,MIN(A360,Career_History!E56)-Career_History!D56+1),0),IF(Career_History!G57=TRUE,IF(A360&lt;Career_History!D57,0,MIN(A360,Career_History!E57)-Career_History!D57+1),0))/365.2425</f>
        <v>48.337748208382102</v>
      </c>
      <c r="BB360" s="9">
        <f>SUM(IF(Career_History!I53=TRUE,IF(A360&lt;Career_History!D53,0,MIN(A360,Career_History!E53)-Career_History!D53+1),0),IF(Career_History!I54=TRUE,IF(A360&lt;Career_History!D54,0,MIN(A360,Career_History!E54)-Career_History!D54+1),0),IF(Career_History!I55=TRUE,IF(A360&lt;Career_History!D55,0,MIN(A360,Career_History!E55)-Career_History!D55+1),0),IF(Career_History!I56=TRUE,IF(A360&lt;Career_History!D56,0,MIN(A360,Career_History!E56)-Career_History!D56+1),0),IF(Career_History!I57=TRUE,IF(A360&lt;Career_History!D57,0,MIN(A360,Career_History!E57)-Career_History!D57+1),0))/365.2425</f>
        <v>0</v>
      </c>
      <c r="BC360" s="9">
        <f>SUM(IF(Career_History!H53=TRUE,IF(A360&lt;Career_History!D53,0,MIN(A360,Career_History!E53)-Career_History!D53+1),0),IF(Career_History!H54=TRUE,IF(A360&lt;Career_History!D54,0,MIN(A360,Career_History!E54)-Career_History!D54+1),0),IF(Career_History!H55=TRUE,IF(A360&lt;Career_History!D55,0,MIN(A360,Career_History!E55)-Career_History!D55+1),0),IF(Career_History!H56=TRUE,IF(A360&lt;Career_History!D56,0,MIN(A360,Career_History!E56)-Career_History!D56+1),0),IF(Career_History!H57=TRUE,IF(A360&lt;Career_History!D57,0,MIN(A360,Career_History!E57)-Career_History!D57+1),0))/365.2425</f>
        <v>48.337748208382102</v>
      </c>
      <c r="BD360" s="9">
        <f>SUM(IF(Career_History!G58=TRUE,IF(A360&lt;Career_History!D58,0,MIN(A360,Career_History!E58)-Career_History!D58+1),0),IF(Career_History!G59=TRUE,IF(A360&lt;Career_History!D59,0,MIN(A360,Career_History!E59)-Career_History!D59+1),0),IF(Career_History!G60=TRUE,IF(A360&lt;Career_History!D60,0,MIN(A360,Career_History!E60)-Career_History!D60+1),0))/365.2425</f>
        <v>23.833480495834959</v>
      </c>
      <c r="BE360" s="9">
        <f>SUM(IF(Career_History!I58=TRUE,IF(A360&lt;Career_History!D58,0,MIN(A360,Career_History!E58)-Career_History!D58+1),0),IF(Career_History!I59=TRUE,IF(A360&lt;Career_History!D59,0,MIN(A360,Career_History!E59)-Career_History!D59+1),0),IF(Career_History!I60=TRUE,IF(A360&lt;Career_History!D60,0,MIN(A360,Career_History!E60)-Career_History!D60+1),0))/365.2425</f>
        <v>20.000410686051048</v>
      </c>
      <c r="BF360" s="9">
        <f>SUM(IF(Career_History!H58=TRUE,IF(A360&lt;Career_History!D58,0,MIN(A360,Career_History!E58)-Career_History!D58+1),0),IF(Career_History!H59=TRUE,IF(A360&lt;Career_History!D59,0,MIN(A360,Career_History!E59)-Career_History!D59+1),0),IF(Career_History!H60=TRUE,IF(A360&lt;Career_History!D60,0,MIN(A360,Career_History!E60)-Career_History!D60+1),0))/365.2425</f>
        <v>3.8330698097839107</v>
      </c>
      <c r="BG360" s="9">
        <f>SUM(IF(Career_History!G61=TRUE,IF(A360&lt;Career_History!D61,0,MIN(A360,Career_History!E61)-Career_History!D61+1),0),IF(Career_History!G62=TRUE,IF(A360&lt;Career_History!D62,0,MIN(A360,Career_History!E62)-Career_History!D62+1),0),IF(Career_History!G63=TRUE,IF(A360&lt;Career_History!D63,0,MIN(A360,Career_History!E63)-Career_History!D63+1),0))/365.2425</f>
        <v>22.834144438284152</v>
      </c>
      <c r="BH360" s="9">
        <f>SUM(IF(Career_History!I61=TRUE,IF(A360&lt;Career_History!D61,0,MIN(A360,Career_History!E61)-Career_History!D61+1),0),IF(Career_History!I62=TRUE,IF(A360&lt;Career_History!D62,0,MIN(A360,Career_History!E62)-Career_History!D62+1),0),IF(Career_History!I63=TRUE,IF(A360&lt;Career_History!D63,0,MIN(A360,Career_History!E63)-Career_History!D63+1),0))/365.2425</f>
        <v>20.000410686051048</v>
      </c>
      <c r="BI360" s="9">
        <f>SUM(IF(Career_History!H61=TRUE,IF(A360&lt;Career_History!D61,0,MIN(A360,Career_History!E61)-Career_History!D61+1),0),IF(Career_History!H62=TRUE,IF(A360&lt;Career_History!D62,0,MIN(A360,Career_History!E62)-Career_History!D62+1),0),IF(Career_History!H63=TRUE,IF(A360&lt;Career_History!D63,0,MIN(A360,Career_History!E63)-Career_History!D63+1),0))/365.2425</f>
        <v>2.8337337522331052</v>
      </c>
      <c r="BJ360" s="9">
        <f>SUM(IF(Career_History!G64=TRUE,IF(A360&lt;Career_History!D64,0,MIN(A360,Career_History!E64)-Career_History!D64+1),0),IF(Career_History!G65=TRUE,IF(A360&lt;Career_History!D65,0,MIN(A360,Career_History!E65)-Career_History!D65+1),0),IF(Career_History!G66=TRUE,IF(A360&lt;Career_History!D66,0,MIN(A360,Career_History!E66)-Career_History!D66+1),0),IF(Career_History!G67=TRUE,IF(A360&lt;Career_History!D67,0,MIN(A360,Career_History!E67)-Career_History!D67+1),0))/365.2425</f>
        <v>15.83331622141454</v>
      </c>
      <c r="BK360" s="9">
        <f>SUM(IF(Career_History!I64=TRUE,IF(A360&lt;Career_History!D64,0,MIN(A360,Career_History!E64)-Career_History!D64+1),0),IF(Career_History!I65=TRUE,IF(A360&lt;Career_History!D65,0,MIN(A360,Career_History!E65)-Career_History!D65+1),0),IF(Career_History!I66=TRUE,IF(A360&lt;Career_History!D66,0,MIN(A360,Career_History!E66)-Career_History!D66+1),0),IF(Career_History!I67=TRUE,IF(A360&lt;Career_History!D67,0,MIN(A360,Career_History!E67)-Career_History!D67+1),0))/365.2425</f>
        <v>12.495807579895549</v>
      </c>
      <c r="BL360" s="9">
        <f>SUM(IF(Career_History!H64=TRUE,IF(A360&lt;Career_History!D64,0,MIN(A360,Career_History!E64)-Career_History!D64+1),0),IF(Career_History!H65=TRUE,IF(A360&lt;Career_History!D65,0,MIN(A360,Career_History!E65)-Career_History!D65+1),0),IF(Career_History!H66=TRUE,IF(A360&lt;Career_History!D66,0,MIN(A360,Career_History!E66)-Career_History!D66+1),0),IF(Career_History!H67=TRUE,IF(A360&lt;Career_History!D67,0,MIN(A360,Career_History!E67)-Career_History!D67+1),0))/365.2425</f>
        <v>3.337508641518991</v>
      </c>
      <c r="BM360" s="9"/>
      <c r="BN360" s="9"/>
      <c r="BO360" s="9"/>
    </row>
    <row r="361" spans="1:67">
      <c r="A361" s="8">
        <v>45626</v>
      </c>
      <c r="B361" s="9">
        <f t="shared" si="15"/>
        <v>29.517375442343099</v>
      </c>
      <c r="C361" s="9">
        <f t="shared" si="16"/>
        <v>13.899258711677856</v>
      </c>
      <c r="D361" s="9">
        <f t="shared" si="17"/>
        <v>15.618116730665241</v>
      </c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  <c r="AJ361" s="9"/>
      <c r="AK361" s="9"/>
      <c r="AL361" s="9"/>
      <c r="AM361" s="9"/>
      <c r="AN361" s="9"/>
      <c r="AO361" s="9"/>
      <c r="AP361" s="9"/>
      <c r="AQ361" s="9"/>
      <c r="AR361" s="9"/>
      <c r="AS361" s="9"/>
      <c r="AT361" s="9"/>
      <c r="AU361" s="9">
        <f>SUM(IF(Career_History!G47=TRUE,IF(A361&lt;Career_History!D47,0,MIN(A361,Career_History!E47)-Career_History!D47+1),0),IF(Career_History!G48=TRUE,IF(A361&lt;Career_History!D48,0,MIN(A361,Career_History!E48)-Career_History!D48+1),0),IF(Career_History!G49=TRUE,IF(A361&lt;Career_History!D49,0,MIN(A361,Career_History!E49)-Career_History!D49+1),0))/365.2425</f>
        <v>36.419639006961127</v>
      </c>
      <c r="AV361" s="9">
        <f>SUM(IF(Career_History!I47=TRUE,IF(A361&lt;Career_History!D47,0,MIN(A361,Career_History!E47)-Career_History!D47+1),0),IF(Career_History!I48=TRUE,IF(A361&lt;Career_History!D48,0,MIN(A361,Career_History!E48)-Career_History!D48+1),0),IF(Career_History!I49=TRUE,IF(A361&lt;Career_History!D49,0,MIN(A361,Career_History!E49)-Career_History!D49+1),0))/365.2425</f>
        <v>16.999664606391644</v>
      </c>
      <c r="AW361" s="9">
        <f>SUM(IF(Career_History!H47=TRUE,IF(A361&lt;Career_History!D47,0,MIN(A361,Career_History!E47)-Career_History!D47+1),0),IF(Career_History!H48=TRUE,IF(A361&lt;Career_History!D48,0,MIN(A361,Career_History!E48)-Career_History!D48+1),0),IF(Career_History!H49=TRUE,IF(A361&lt;Career_History!D49,0,MIN(A361,Career_History!E49)-Career_History!D49+1),0))/365.2425</f>
        <v>19.419974400569483</v>
      </c>
      <c r="AX361" s="9"/>
      <c r="AY361" s="9"/>
      <c r="AZ361" s="9"/>
      <c r="BA361" s="9">
        <f>SUM(IF(Career_History!G53=TRUE,IF(A361&lt;Career_History!D53,0,MIN(A361,Career_History!E53)-Career_History!D53+1),0),IF(Career_History!G54=TRUE,IF(A361&lt;Career_History!D54,0,MIN(A361,Career_History!E54)-Career_History!D54+1),0),IF(Career_History!G55=TRUE,IF(A361&lt;Career_History!D55,0,MIN(A361,Career_History!E55)-Career_History!D55+1),0),IF(Career_History!G56=TRUE,IF(A361&lt;Career_History!D56,0,MIN(A361,Career_History!E56)-Career_History!D56+1),0),IF(Career_History!G57=TRUE,IF(A361&lt;Career_History!D57,0,MIN(A361,Career_History!E57)-Career_History!D57+1),0))/365.2425</f>
        <v>48.419885418591754</v>
      </c>
      <c r="BB361" s="9">
        <f>SUM(IF(Career_History!I53=TRUE,IF(A361&lt;Career_History!D53,0,MIN(A361,Career_History!E53)-Career_History!D53+1),0),IF(Career_History!I54=TRUE,IF(A361&lt;Career_History!D54,0,MIN(A361,Career_History!E54)-Career_History!D54+1),0),IF(Career_History!I55=TRUE,IF(A361&lt;Career_History!D55,0,MIN(A361,Career_History!E55)-Career_History!D55+1),0),IF(Career_History!I56=TRUE,IF(A361&lt;Career_History!D56,0,MIN(A361,Career_History!E56)-Career_History!D56+1),0),IF(Career_History!I57=TRUE,IF(A361&lt;Career_History!D57,0,MIN(A361,Career_History!E57)-Career_History!D57+1),0))/365.2425</f>
        <v>0</v>
      </c>
      <c r="BC361" s="9">
        <f>SUM(IF(Career_History!H53=TRUE,IF(A361&lt;Career_History!D53,0,MIN(A361,Career_History!E53)-Career_History!D53+1),0),IF(Career_History!H54=TRUE,IF(A361&lt;Career_History!D54,0,MIN(A361,Career_History!E54)-Career_History!D54+1),0),IF(Career_History!H55=TRUE,IF(A361&lt;Career_History!D55,0,MIN(A361,Career_History!E55)-Career_History!D55+1),0),IF(Career_History!H56=TRUE,IF(A361&lt;Career_History!D56,0,MIN(A361,Career_History!E56)-Career_History!D56+1),0),IF(Career_History!H57=TRUE,IF(A361&lt;Career_History!D57,0,MIN(A361,Career_History!E57)-Career_History!D57+1),0))/365.2425</f>
        <v>48.419885418591754</v>
      </c>
      <c r="BD361" s="9">
        <f>SUM(IF(Career_History!G58=TRUE,IF(A361&lt;Career_History!D58,0,MIN(A361,Career_History!E58)-Career_History!D58+1),0),IF(Career_History!G59=TRUE,IF(A361&lt;Career_History!D59,0,MIN(A361,Career_History!E59)-Career_History!D59+1),0),IF(Career_History!G60=TRUE,IF(A361&lt;Career_History!D60,0,MIN(A361,Career_History!E60)-Career_History!D60+1),0))/365.2425</f>
        <v>23.915617706044614</v>
      </c>
      <c r="BE361" s="9">
        <f>SUM(IF(Career_History!I58=TRUE,IF(A361&lt;Career_History!D58,0,MIN(A361,Career_History!E58)-Career_History!D58+1),0),IF(Career_History!I59=TRUE,IF(A361&lt;Career_History!D59,0,MIN(A361,Career_History!E59)-Career_History!D59+1),0),IF(Career_History!I60=TRUE,IF(A361&lt;Career_History!D60,0,MIN(A361,Career_History!E60)-Career_History!D60+1),0))/365.2425</f>
        <v>20.000410686051048</v>
      </c>
      <c r="BF361" s="9">
        <f>SUM(IF(Career_History!H58=TRUE,IF(A361&lt;Career_History!D58,0,MIN(A361,Career_History!E58)-Career_History!D58+1),0),IF(Career_History!H59=TRUE,IF(A361&lt;Career_History!D59,0,MIN(A361,Career_History!E59)-Career_History!D59+1),0),IF(Career_History!H60=TRUE,IF(A361&lt;Career_History!D60,0,MIN(A361,Career_History!E60)-Career_History!D60+1),0))/365.2425</f>
        <v>3.915207019993566</v>
      </c>
      <c r="BG361" s="9">
        <f>SUM(IF(Career_History!G61=TRUE,IF(A361&lt;Career_History!D61,0,MIN(A361,Career_History!E61)-Career_History!D61+1),0),IF(Career_History!G62=TRUE,IF(A361&lt;Career_History!D62,0,MIN(A361,Career_History!E62)-Career_History!D62+1),0),IF(Career_History!G63=TRUE,IF(A361&lt;Career_History!D63,0,MIN(A361,Career_History!E63)-Career_History!D63+1),0))/365.2425</f>
        <v>22.916281648493808</v>
      </c>
      <c r="BH361" s="9">
        <f>SUM(IF(Career_History!I61=TRUE,IF(A361&lt;Career_History!D61,0,MIN(A361,Career_History!E61)-Career_History!D61+1),0),IF(Career_History!I62=TRUE,IF(A361&lt;Career_History!D62,0,MIN(A361,Career_History!E62)-Career_History!D62+1),0),IF(Career_History!I63=TRUE,IF(A361&lt;Career_History!D63,0,MIN(A361,Career_History!E63)-Career_History!D63+1),0))/365.2425</f>
        <v>20.000410686051048</v>
      </c>
      <c r="BI361" s="9">
        <f>SUM(IF(Career_History!H61=TRUE,IF(A361&lt;Career_History!D61,0,MIN(A361,Career_History!E61)-Career_History!D61+1),0),IF(Career_History!H62=TRUE,IF(A361&lt;Career_History!D62,0,MIN(A361,Career_History!E62)-Career_History!D62+1),0),IF(Career_History!H63=TRUE,IF(A361&lt;Career_History!D63,0,MIN(A361,Career_History!E63)-Career_History!D63+1),0))/365.2425</f>
        <v>2.9158709624427606</v>
      </c>
      <c r="BJ361" s="9">
        <f>SUM(IF(Career_History!G64=TRUE,IF(A361&lt;Career_History!D64,0,MIN(A361,Career_History!E64)-Career_History!D64+1),0),IF(Career_History!G65=TRUE,IF(A361&lt;Career_History!D65,0,MIN(A361,Career_History!E65)-Career_History!D65+1),0),IF(Career_History!G66=TRUE,IF(A361&lt;Career_History!D66,0,MIN(A361,Career_History!E66)-Career_History!D66+1),0),IF(Career_History!G67=TRUE,IF(A361&lt;Career_History!D67,0,MIN(A361,Career_History!E67)-Career_History!D67+1),0))/365.2425</f>
        <v>15.915453431624195</v>
      </c>
      <c r="BK361" s="9">
        <f>SUM(IF(Career_History!I64=TRUE,IF(A361&lt;Career_History!D64,0,MIN(A361,Career_History!E64)-Career_History!D64+1),0),IF(Career_History!I65=TRUE,IF(A361&lt;Career_History!D65,0,MIN(A361,Career_History!E65)-Career_History!D65+1),0),IF(Career_History!I66=TRUE,IF(A361&lt;Career_History!D66,0,MIN(A361,Career_History!E66)-Career_History!D66+1),0),IF(Career_History!I67=TRUE,IF(A361&lt;Career_History!D67,0,MIN(A361,Career_History!E67)-Career_History!D67+1),0))/365.2425</f>
        <v>12.495807579895549</v>
      </c>
      <c r="BL361" s="9">
        <f>SUM(IF(Career_History!H64=TRUE,IF(A361&lt;Career_History!D64,0,MIN(A361,Career_History!E64)-Career_History!D64+1),0),IF(Career_History!H65=TRUE,IF(A361&lt;Career_History!D65,0,MIN(A361,Career_History!E65)-Career_History!D65+1),0),IF(Career_History!H66=TRUE,IF(A361&lt;Career_History!D66,0,MIN(A361,Career_History!E66)-Career_History!D66+1),0),IF(Career_History!H67=TRUE,IF(A361&lt;Career_History!D67,0,MIN(A361,Career_History!E67)-Career_History!D67+1),0))/365.2425</f>
        <v>3.4196458517286459</v>
      </c>
      <c r="BM361" s="9"/>
      <c r="BN361" s="9"/>
      <c r="BO361" s="9"/>
    </row>
    <row r="362" spans="1:67">
      <c r="A362" s="8">
        <v>45657</v>
      </c>
      <c r="B362" s="9">
        <f t="shared" si="15"/>
        <v>29.602250559559742</v>
      </c>
      <c r="C362" s="9">
        <f t="shared" si="16"/>
        <v>13.899258711677856</v>
      </c>
      <c r="D362" s="9">
        <f t="shared" si="17"/>
        <v>15.702991847881886</v>
      </c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  <c r="AJ362" s="9"/>
      <c r="AK362" s="9"/>
      <c r="AL362" s="9"/>
      <c r="AM362" s="9"/>
      <c r="AN362" s="9"/>
      <c r="AO362" s="9"/>
      <c r="AP362" s="9"/>
      <c r="AQ362" s="9"/>
      <c r="AR362" s="9"/>
      <c r="AS362" s="9"/>
      <c r="AT362" s="9"/>
      <c r="AU362" s="9">
        <f>SUM(IF(Career_History!G47=TRUE,IF(A362&lt;Career_History!D47,0,MIN(A362,Career_History!E47)-Career_History!D47+1),0),IF(Career_History!G48=TRUE,IF(A362&lt;Career_History!D48,0,MIN(A362,Career_History!E48)-Career_History!D48+1),0),IF(Career_History!G49=TRUE,IF(A362&lt;Career_History!D49,0,MIN(A362,Career_History!E49)-Career_History!D49+1),0))/365.2425</f>
        <v>36.504514124177774</v>
      </c>
      <c r="AV362" s="9">
        <f>SUM(IF(Career_History!I47=TRUE,IF(A362&lt;Career_History!D47,0,MIN(A362,Career_History!E47)-Career_History!D47+1),0),IF(Career_History!I48=TRUE,IF(A362&lt;Career_History!D48,0,MIN(A362,Career_History!E48)-Career_History!D48+1),0),IF(Career_History!I49=TRUE,IF(A362&lt;Career_History!D49,0,MIN(A362,Career_History!E49)-Career_History!D49+1),0))/365.2425</f>
        <v>16.999664606391644</v>
      </c>
      <c r="AW362" s="9">
        <f>SUM(IF(Career_History!H47=TRUE,IF(A362&lt;Career_History!D47,0,MIN(A362,Career_History!E47)-Career_History!D47+1),0),IF(Career_History!H48=TRUE,IF(A362&lt;Career_History!D48,0,MIN(A362,Career_History!E48)-Career_History!D48+1),0),IF(Career_History!H49=TRUE,IF(A362&lt;Career_History!D49,0,MIN(A362,Career_History!E49)-Career_History!D49+1),0))/365.2425</f>
        <v>19.504849517786127</v>
      </c>
      <c r="AX362" s="9"/>
      <c r="AY362" s="9"/>
      <c r="AZ362" s="9"/>
      <c r="BA362" s="9">
        <f>SUM(IF(Career_History!G53=TRUE,IF(A362&lt;Career_History!D53,0,MIN(A362,Career_History!E53)-Career_History!D53+1),0),IF(Career_History!G54=TRUE,IF(A362&lt;Career_History!D54,0,MIN(A362,Career_History!E54)-Career_History!D54+1),0),IF(Career_History!G55=TRUE,IF(A362&lt;Career_History!D55,0,MIN(A362,Career_History!E55)-Career_History!D55+1),0),IF(Career_History!G56=TRUE,IF(A362&lt;Career_History!D56,0,MIN(A362,Career_History!E56)-Career_History!D56+1),0),IF(Career_History!G57=TRUE,IF(A362&lt;Career_History!D57,0,MIN(A362,Career_History!E57)-Career_History!D57+1),0))/365.2425</f>
        <v>48.504760535808401</v>
      </c>
      <c r="BB362" s="9">
        <f>SUM(IF(Career_History!I53=TRUE,IF(A362&lt;Career_History!D53,0,MIN(A362,Career_History!E53)-Career_History!D53+1),0),IF(Career_History!I54=TRUE,IF(A362&lt;Career_History!D54,0,MIN(A362,Career_History!E54)-Career_History!D54+1),0),IF(Career_History!I55=TRUE,IF(A362&lt;Career_History!D55,0,MIN(A362,Career_History!E55)-Career_History!D55+1),0),IF(Career_History!I56=TRUE,IF(A362&lt;Career_History!D56,0,MIN(A362,Career_History!E56)-Career_History!D56+1),0),IF(Career_History!I57=TRUE,IF(A362&lt;Career_History!D57,0,MIN(A362,Career_History!E57)-Career_History!D57+1),0))/365.2425</f>
        <v>0</v>
      </c>
      <c r="BC362" s="9">
        <f>SUM(IF(Career_History!H53=TRUE,IF(A362&lt;Career_History!D53,0,MIN(A362,Career_History!E53)-Career_History!D53+1),0),IF(Career_History!H54=TRUE,IF(A362&lt;Career_History!D54,0,MIN(A362,Career_History!E54)-Career_History!D54+1),0),IF(Career_History!H55=TRUE,IF(A362&lt;Career_History!D55,0,MIN(A362,Career_History!E55)-Career_History!D55+1),0),IF(Career_History!H56=TRUE,IF(A362&lt;Career_History!D56,0,MIN(A362,Career_History!E56)-Career_History!D56+1),0),IF(Career_History!H57=TRUE,IF(A362&lt;Career_History!D57,0,MIN(A362,Career_History!E57)-Career_History!D57+1),0))/365.2425</f>
        <v>48.504760535808401</v>
      </c>
      <c r="BD362" s="9">
        <f>SUM(IF(Career_History!G58=TRUE,IF(A362&lt;Career_History!D58,0,MIN(A362,Career_History!E58)-Career_History!D58+1),0),IF(Career_History!G59=TRUE,IF(A362&lt;Career_History!D59,0,MIN(A362,Career_History!E59)-Career_History!D59+1),0),IF(Career_History!G60=TRUE,IF(A362&lt;Career_History!D60,0,MIN(A362,Career_History!E60)-Career_History!D60+1),0))/365.2425</f>
        <v>24.000492823261258</v>
      </c>
      <c r="BE362" s="9">
        <f>SUM(IF(Career_History!I58=TRUE,IF(A362&lt;Career_History!D58,0,MIN(A362,Career_History!E58)-Career_History!D58+1),0),IF(Career_History!I59=TRUE,IF(A362&lt;Career_History!D59,0,MIN(A362,Career_History!E59)-Career_History!D59+1),0),IF(Career_History!I60=TRUE,IF(A362&lt;Career_History!D60,0,MIN(A362,Career_History!E60)-Career_History!D60+1),0))/365.2425</f>
        <v>20.000410686051048</v>
      </c>
      <c r="BF362" s="9">
        <f>SUM(IF(Career_History!H58=TRUE,IF(A362&lt;Career_History!D58,0,MIN(A362,Career_History!E58)-Career_History!D58+1),0),IF(Career_History!H59=TRUE,IF(A362&lt;Career_History!D59,0,MIN(A362,Career_History!E59)-Career_History!D59+1),0),IF(Career_History!H60=TRUE,IF(A362&lt;Career_History!D60,0,MIN(A362,Career_History!E60)-Career_History!D60+1),0))/365.2425</f>
        <v>4.0000821372102093</v>
      </c>
      <c r="BG362" s="9">
        <f>SUM(IF(Career_History!G61=TRUE,IF(A362&lt;Career_History!D61,0,MIN(A362,Career_History!E61)-Career_History!D61+1),0),IF(Career_History!G62=TRUE,IF(A362&lt;Career_History!D62,0,MIN(A362,Career_History!E62)-Career_History!D62+1),0),IF(Career_History!G63=TRUE,IF(A362&lt;Career_History!D63,0,MIN(A362,Career_History!E63)-Career_History!D63+1),0))/365.2425</f>
        <v>23.001156765710451</v>
      </c>
      <c r="BH362" s="9">
        <f>SUM(IF(Career_History!I61=TRUE,IF(A362&lt;Career_History!D61,0,MIN(A362,Career_History!E61)-Career_History!D61+1),0),IF(Career_History!I62=TRUE,IF(A362&lt;Career_History!D62,0,MIN(A362,Career_History!E62)-Career_History!D62+1),0),IF(Career_History!I63=TRUE,IF(A362&lt;Career_History!D63,0,MIN(A362,Career_History!E63)-Career_History!D63+1),0))/365.2425</f>
        <v>20.000410686051048</v>
      </c>
      <c r="BI362" s="9">
        <f>SUM(IF(Career_History!H61=TRUE,IF(A362&lt;Career_History!D61,0,MIN(A362,Career_History!E61)-Career_History!D61+1),0),IF(Career_History!H62=TRUE,IF(A362&lt;Career_History!D62,0,MIN(A362,Career_History!E62)-Career_History!D62+1),0),IF(Career_History!H63=TRUE,IF(A362&lt;Career_History!D63,0,MIN(A362,Career_History!E63)-Career_History!D63+1),0))/365.2425</f>
        <v>3.0007460796594043</v>
      </c>
      <c r="BJ362" s="9">
        <f>SUM(IF(Career_History!G64=TRUE,IF(A362&lt;Career_History!D64,0,MIN(A362,Career_History!E64)-Career_History!D64+1),0),IF(Career_History!G65=TRUE,IF(A362&lt;Career_History!D65,0,MIN(A362,Career_History!E65)-Career_History!D65+1),0),IF(Career_History!G66=TRUE,IF(A362&lt;Career_History!D66,0,MIN(A362,Career_History!E66)-Career_History!D66+1),0),IF(Career_History!G67=TRUE,IF(A362&lt;Career_History!D67,0,MIN(A362,Career_History!E67)-Career_History!D67+1),0))/365.2425</f>
        <v>16.000328548840837</v>
      </c>
      <c r="BK362" s="9">
        <f>SUM(IF(Career_History!I64=TRUE,IF(A362&lt;Career_History!D64,0,MIN(A362,Career_History!E64)-Career_History!D64+1),0),IF(Career_History!I65=TRUE,IF(A362&lt;Career_History!D65,0,MIN(A362,Career_History!E65)-Career_History!D65+1),0),IF(Career_History!I66=TRUE,IF(A362&lt;Career_History!D66,0,MIN(A362,Career_History!E66)-Career_History!D66+1),0),IF(Career_History!I67=TRUE,IF(A362&lt;Career_History!D67,0,MIN(A362,Career_History!E67)-Career_History!D67+1),0))/365.2425</f>
        <v>12.495807579895549</v>
      </c>
      <c r="BL362" s="9">
        <f>SUM(IF(Career_History!H64=TRUE,IF(A362&lt;Career_History!D64,0,MIN(A362,Career_History!E64)-Career_History!D64+1),0),IF(Career_History!H65=TRUE,IF(A362&lt;Career_History!D65,0,MIN(A362,Career_History!E65)-Career_History!D65+1),0),IF(Career_History!H66=TRUE,IF(A362&lt;Career_History!D66,0,MIN(A362,Career_History!E66)-Career_History!D66+1),0),IF(Career_History!H67=TRUE,IF(A362&lt;Career_History!D67,0,MIN(A362,Career_History!E67)-Career_History!D67+1),0))/365.2425</f>
        <v>3.5045209689452896</v>
      </c>
      <c r="BM362" s="9"/>
      <c r="BN362" s="9"/>
      <c r="BO362" s="9"/>
    </row>
    <row r="363" spans="1:67">
      <c r="A363" s="8">
        <v>45688</v>
      </c>
      <c r="B363" s="9">
        <f t="shared" si="15"/>
        <v>29.68712567677639</v>
      </c>
      <c r="C363" s="9">
        <f t="shared" si="16"/>
        <v>13.899258711677856</v>
      </c>
      <c r="D363" s="9">
        <f t="shared" si="17"/>
        <v>15.787866965098527</v>
      </c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  <c r="AJ363" s="9"/>
      <c r="AK363" s="9"/>
      <c r="AL363" s="9"/>
      <c r="AM363" s="9"/>
      <c r="AN363" s="9"/>
      <c r="AO363" s="9"/>
      <c r="AP363" s="9"/>
      <c r="AQ363" s="9"/>
      <c r="AR363" s="9"/>
      <c r="AS363" s="9"/>
      <c r="AT363" s="9"/>
      <c r="AU363" s="9">
        <f>SUM(IF(Career_History!G47=TRUE,IF(A363&lt;Career_History!D47,0,MIN(A363,Career_History!E47)-Career_History!D47+1),0),IF(Career_History!G48=TRUE,IF(A363&lt;Career_History!D48,0,MIN(A363,Career_History!E48)-Career_History!D48+1),0),IF(Career_History!G49=TRUE,IF(A363&lt;Career_History!D49,0,MIN(A363,Career_History!E49)-Career_History!D49+1),0))/365.2425</f>
        <v>36.589389241394414</v>
      </c>
      <c r="AV363" s="9">
        <f>SUM(IF(Career_History!I47=TRUE,IF(A363&lt;Career_History!D47,0,MIN(A363,Career_History!E47)-Career_History!D47+1),0),IF(Career_History!I48=TRUE,IF(A363&lt;Career_History!D48,0,MIN(A363,Career_History!E48)-Career_History!D48+1),0),IF(Career_History!I49=TRUE,IF(A363&lt;Career_History!D49,0,MIN(A363,Career_History!E49)-Career_History!D49+1),0))/365.2425</f>
        <v>16.999664606391644</v>
      </c>
      <c r="AW363" s="9">
        <f>SUM(IF(Career_History!H47=TRUE,IF(A363&lt;Career_History!D47,0,MIN(A363,Career_History!E47)-Career_History!D47+1),0),IF(Career_History!H48=TRUE,IF(A363&lt;Career_History!D48,0,MIN(A363,Career_History!E48)-Career_History!D48+1),0),IF(Career_History!H49=TRUE,IF(A363&lt;Career_History!D49,0,MIN(A363,Career_History!E49)-Career_History!D49+1),0))/365.2425</f>
        <v>19.589724635002771</v>
      </c>
      <c r="AX363" s="9"/>
      <c r="AY363" s="9"/>
      <c r="AZ363" s="9"/>
      <c r="BA363" s="9">
        <f>SUM(IF(Career_History!G53=TRUE,IF(A363&lt;Career_History!D53,0,MIN(A363,Career_History!E53)-Career_History!D53+1),0),IF(Career_History!G54=TRUE,IF(A363&lt;Career_History!D54,0,MIN(A363,Career_History!E54)-Career_History!D54+1),0),IF(Career_History!G55=TRUE,IF(A363&lt;Career_History!D55,0,MIN(A363,Career_History!E55)-Career_History!D55+1),0),IF(Career_History!G56=TRUE,IF(A363&lt;Career_History!D56,0,MIN(A363,Career_History!E56)-Career_History!D56+1),0),IF(Career_History!G57=TRUE,IF(A363&lt;Career_History!D57,0,MIN(A363,Career_History!E57)-Career_History!D57+1),0))/365.2425</f>
        <v>48.589635653025042</v>
      </c>
      <c r="BB363" s="9">
        <f>SUM(IF(Career_History!I53=TRUE,IF(A363&lt;Career_History!D53,0,MIN(A363,Career_History!E53)-Career_History!D53+1),0),IF(Career_History!I54=TRUE,IF(A363&lt;Career_History!D54,0,MIN(A363,Career_History!E54)-Career_History!D54+1),0),IF(Career_History!I55=TRUE,IF(A363&lt;Career_History!D55,0,MIN(A363,Career_History!E55)-Career_History!D55+1),0),IF(Career_History!I56=TRUE,IF(A363&lt;Career_History!D56,0,MIN(A363,Career_History!E56)-Career_History!D56+1),0),IF(Career_History!I57=TRUE,IF(A363&lt;Career_History!D57,0,MIN(A363,Career_History!E57)-Career_History!D57+1),0))/365.2425</f>
        <v>0</v>
      </c>
      <c r="BC363" s="9">
        <f>SUM(IF(Career_History!H53=TRUE,IF(A363&lt;Career_History!D53,0,MIN(A363,Career_History!E53)-Career_History!D53+1),0),IF(Career_History!H54=TRUE,IF(A363&lt;Career_History!D54,0,MIN(A363,Career_History!E54)-Career_History!D54+1),0),IF(Career_History!H55=TRUE,IF(A363&lt;Career_History!D55,0,MIN(A363,Career_History!E55)-Career_History!D55+1),0),IF(Career_History!H56=TRUE,IF(A363&lt;Career_History!D56,0,MIN(A363,Career_History!E56)-Career_History!D56+1),0),IF(Career_History!H57=TRUE,IF(A363&lt;Career_History!D57,0,MIN(A363,Career_History!E57)-Career_History!D57+1),0))/365.2425</f>
        <v>48.589635653025042</v>
      </c>
      <c r="BD363" s="9">
        <f>SUM(IF(Career_History!G58=TRUE,IF(A363&lt;Career_History!D58,0,MIN(A363,Career_History!E58)-Career_History!D58+1),0),IF(Career_History!G59=TRUE,IF(A363&lt;Career_History!D59,0,MIN(A363,Career_History!E59)-Career_History!D59+1),0),IF(Career_History!G60=TRUE,IF(A363&lt;Career_History!D60,0,MIN(A363,Career_History!E60)-Career_History!D60+1),0))/365.2425</f>
        <v>24.085367940477902</v>
      </c>
      <c r="BE363" s="9">
        <f>SUM(IF(Career_History!I58=TRUE,IF(A363&lt;Career_History!D58,0,MIN(A363,Career_History!E58)-Career_History!D58+1),0),IF(Career_History!I59=TRUE,IF(A363&lt;Career_History!D59,0,MIN(A363,Career_History!E59)-Career_History!D59+1),0),IF(Career_History!I60=TRUE,IF(A363&lt;Career_History!D60,0,MIN(A363,Career_History!E60)-Career_History!D60+1),0))/365.2425</f>
        <v>20.000410686051048</v>
      </c>
      <c r="BF363" s="9">
        <f>SUM(IF(Career_History!H58=TRUE,IF(A363&lt;Career_History!D58,0,MIN(A363,Career_History!E58)-Career_History!D58+1),0),IF(Career_History!H59=TRUE,IF(A363&lt;Career_History!D59,0,MIN(A363,Career_History!E59)-Career_History!D59+1),0),IF(Career_History!H60=TRUE,IF(A363&lt;Career_History!D60,0,MIN(A363,Career_History!E60)-Career_History!D60+1),0))/365.2425</f>
        <v>4.0849572544268531</v>
      </c>
      <c r="BG363" s="9">
        <f>SUM(IF(Career_History!G61=TRUE,IF(A363&lt;Career_History!D61,0,MIN(A363,Career_History!E61)-Career_History!D61+1),0),IF(Career_History!G62=TRUE,IF(A363&lt;Career_History!D62,0,MIN(A363,Career_History!E62)-Career_History!D62+1),0),IF(Career_History!G63=TRUE,IF(A363&lt;Career_History!D63,0,MIN(A363,Career_History!E63)-Career_History!D63+1),0))/365.2425</f>
        <v>23.086031882927095</v>
      </c>
      <c r="BH363" s="9">
        <f>SUM(IF(Career_History!I61=TRUE,IF(A363&lt;Career_History!D61,0,MIN(A363,Career_History!E61)-Career_History!D61+1),0),IF(Career_History!I62=TRUE,IF(A363&lt;Career_History!D62,0,MIN(A363,Career_History!E62)-Career_History!D62+1),0),IF(Career_History!I63=TRUE,IF(A363&lt;Career_History!D63,0,MIN(A363,Career_History!E63)-Career_History!D63+1),0))/365.2425</f>
        <v>20.000410686051048</v>
      </c>
      <c r="BI363" s="9">
        <f>SUM(IF(Career_History!H61=TRUE,IF(A363&lt;Career_History!D61,0,MIN(A363,Career_History!E61)-Career_History!D61+1),0),IF(Career_History!H62=TRUE,IF(A363&lt;Career_History!D62,0,MIN(A363,Career_History!E62)-Career_History!D62+1),0),IF(Career_History!H63=TRUE,IF(A363&lt;Career_History!D63,0,MIN(A363,Career_History!E63)-Career_History!D63+1),0))/365.2425</f>
        <v>3.0856211968760481</v>
      </c>
      <c r="BJ363" s="9">
        <f>SUM(IF(Career_History!G64=TRUE,IF(A363&lt;Career_History!D64,0,MIN(A363,Career_History!E64)-Career_History!D64+1),0),IF(Career_History!G65=TRUE,IF(A363&lt;Career_History!D65,0,MIN(A363,Career_History!E65)-Career_History!D65+1),0),IF(Career_History!G66=TRUE,IF(A363&lt;Career_History!D66,0,MIN(A363,Career_History!E66)-Career_History!D66+1),0),IF(Career_History!G67=TRUE,IF(A363&lt;Career_History!D67,0,MIN(A363,Career_History!E67)-Career_History!D67+1),0))/365.2425</f>
        <v>16.085203666057481</v>
      </c>
      <c r="BK363" s="9">
        <f>SUM(IF(Career_History!I64=TRUE,IF(A363&lt;Career_History!D64,0,MIN(A363,Career_History!E64)-Career_History!D64+1),0),IF(Career_History!I65=TRUE,IF(A363&lt;Career_History!D65,0,MIN(A363,Career_History!E65)-Career_History!D65+1),0),IF(Career_History!I66=TRUE,IF(A363&lt;Career_History!D66,0,MIN(A363,Career_History!E66)-Career_History!D66+1),0),IF(Career_History!I67=TRUE,IF(A363&lt;Career_History!D67,0,MIN(A363,Career_History!E67)-Career_History!D67+1),0))/365.2425</f>
        <v>12.495807579895549</v>
      </c>
      <c r="BL363" s="9">
        <f>SUM(IF(Career_History!H64=TRUE,IF(A363&lt;Career_History!D64,0,MIN(A363,Career_History!E64)-Career_History!D64+1),0),IF(Career_History!H65=TRUE,IF(A363&lt;Career_History!D65,0,MIN(A363,Career_History!E65)-Career_History!D65+1),0),IF(Career_History!H66=TRUE,IF(A363&lt;Career_History!D66,0,MIN(A363,Career_History!E66)-Career_History!D66+1),0),IF(Career_History!H67=TRUE,IF(A363&lt;Career_History!D67,0,MIN(A363,Career_History!E67)-Career_History!D67+1),0))/365.2425</f>
        <v>3.5893960861619334</v>
      </c>
      <c r="BM363" s="9"/>
      <c r="BN363" s="9"/>
      <c r="BO363" s="9"/>
    </row>
    <row r="364" spans="1:67">
      <c r="A364" s="8">
        <v>45716</v>
      </c>
      <c r="B364" s="9">
        <f t="shared" si="15"/>
        <v>27.863132028720646</v>
      </c>
      <c r="C364" s="9">
        <f t="shared" si="16"/>
        <v>10.499325790399528</v>
      </c>
      <c r="D364" s="9">
        <f t="shared" si="17"/>
        <v>17.363806238321114</v>
      </c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  <c r="AJ364" s="9"/>
      <c r="AK364" s="9"/>
      <c r="AL364" s="9"/>
      <c r="AM364" s="9"/>
      <c r="AN364" s="9"/>
      <c r="AO364" s="9"/>
      <c r="AP364" s="9"/>
      <c r="AQ364" s="9"/>
      <c r="AR364" s="9"/>
      <c r="AS364" s="9"/>
      <c r="AT364" s="9"/>
      <c r="AU364" s="9"/>
      <c r="AV364" s="9"/>
      <c r="AW364" s="9"/>
      <c r="AX364" s="9"/>
      <c r="AY364" s="9"/>
      <c r="AZ364" s="9"/>
      <c r="BA364" s="9">
        <f>SUM(IF(Career_History!G53=TRUE,IF(A364&lt;Career_History!D53,0,MIN(A364,Career_History!E53)-Career_History!D53+1),0),IF(Career_History!G54=TRUE,IF(A364&lt;Career_History!D54,0,MIN(A364,Career_History!E54)-Career_History!D54+1),0),IF(Career_History!G55=TRUE,IF(A364&lt;Career_History!D55,0,MIN(A364,Career_History!E55)-Career_History!D55+1),0),IF(Career_History!G56=TRUE,IF(A364&lt;Career_History!D56,0,MIN(A364,Career_History!E56)-Career_History!D56+1),0),IF(Career_History!G57=TRUE,IF(A364&lt;Career_History!D57,0,MIN(A364,Career_History!E57)-Career_History!D57+1),0))/365.2425</f>
        <v>48.666297049220724</v>
      </c>
      <c r="BB364" s="9">
        <f>SUM(IF(Career_History!I53=TRUE,IF(A364&lt;Career_History!D53,0,MIN(A364,Career_History!E53)-Career_History!D53+1),0),IF(Career_History!I54=TRUE,IF(A364&lt;Career_History!D54,0,MIN(A364,Career_History!E54)-Career_History!D54+1),0),IF(Career_History!I55=TRUE,IF(A364&lt;Career_History!D55,0,MIN(A364,Career_History!E55)-Career_History!D55+1),0),IF(Career_History!I56=TRUE,IF(A364&lt;Career_History!D56,0,MIN(A364,Career_History!E56)-Career_History!D56+1),0),IF(Career_History!I57=TRUE,IF(A364&lt;Career_History!D57,0,MIN(A364,Career_History!E57)-Career_History!D57+1),0))/365.2425</f>
        <v>0</v>
      </c>
      <c r="BC364" s="9">
        <f>SUM(IF(Career_History!H53=TRUE,IF(A364&lt;Career_History!D53,0,MIN(A364,Career_History!E53)-Career_History!D53+1),0),IF(Career_History!H54=TRUE,IF(A364&lt;Career_History!D54,0,MIN(A364,Career_History!E54)-Career_History!D54+1),0),IF(Career_History!H55=TRUE,IF(A364&lt;Career_History!D55,0,MIN(A364,Career_History!E55)-Career_History!D55+1),0),IF(Career_History!H56=TRUE,IF(A364&lt;Career_History!D56,0,MIN(A364,Career_History!E56)-Career_History!D56+1),0),IF(Career_History!H57=TRUE,IF(A364&lt;Career_History!D57,0,MIN(A364,Career_History!E57)-Career_History!D57+1),0))/365.2425</f>
        <v>48.666297049220724</v>
      </c>
      <c r="BD364" s="9">
        <f>SUM(IF(Career_History!G58=TRUE,IF(A364&lt;Career_History!D58,0,MIN(A364,Career_History!E58)-Career_History!D58+1),0),IF(Career_History!G59=TRUE,IF(A364&lt;Career_History!D59,0,MIN(A364,Career_History!E59)-Career_History!D59+1),0),IF(Career_History!G60=TRUE,IF(A364&lt;Career_History!D60,0,MIN(A364,Career_History!E60)-Career_History!D60+1),0))/365.2425</f>
        <v>24.16202933667358</v>
      </c>
      <c r="BE364" s="9">
        <f>SUM(IF(Career_History!I58=TRUE,IF(A364&lt;Career_History!D58,0,MIN(A364,Career_History!E58)-Career_History!D58+1),0),IF(Career_History!I59=TRUE,IF(A364&lt;Career_History!D59,0,MIN(A364,Career_History!E59)-Career_History!D59+1),0),IF(Career_History!I60=TRUE,IF(A364&lt;Career_History!D60,0,MIN(A364,Career_History!E60)-Career_History!D60+1),0))/365.2425</f>
        <v>20.000410686051048</v>
      </c>
      <c r="BF364" s="9">
        <f>SUM(IF(Career_History!H58=TRUE,IF(A364&lt;Career_History!D58,0,MIN(A364,Career_History!E58)-Career_History!D58+1),0),IF(Career_History!H59=TRUE,IF(A364&lt;Career_History!D59,0,MIN(A364,Career_History!E59)-Career_History!D59+1),0),IF(Career_History!H60=TRUE,IF(A364&lt;Career_History!D60,0,MIN(A364,Career_History!E60)-Career_History!D60+1),0))/365.2425</f>
        <v>4.1616186506225317</v>
      </c>
      <c r="BG364" s="9">
        <f>SUM(IF(Career_History!G61=TRUE,IF(A364&lt;Career_History!D61,0,MIN(A364,Career_History!E61)-Career_History!D61+1),0),IF(Career_History!G62=TRUE,IF(A364&lt;Career_History!D62,0,MIN(A364,Career_History!E62)-Career_History!D62+1),0),IF(Career_History!G63=TRUE,IF(A364&lt;Career_History!D63,0,MIN(A364,Career_History!E63)-Career_History!D63+1),0))/365.2425</f>
        <v>23.162693279122774</v>
      </c>
      <c r="BH364" s="9">
        <f>SUM(IF(Career_History!I61=TRUE,IF(A364&lt;Career_History!D61,0,MIN(A364,Career_History!E61)-Career_History!D61+1),0),IF(Career_History!I62=TRUE,IF(A364&lt;Career_History!D62,0,MIN(A364,Career_History!E62)-Career_History!D62+1),0),IF(Career_History!I63=TRUE,IF(A364&lt;Career_History!D63,0,MIN(A364,Career_History!E63)-Career_History!D63+1),0))/365.2425</f>
        <v>20.000410686051048</v>
      </c>
      <c r="BI364" s="9">
        <f>SUM(IF(Career_History!H61=TRUE,IF(A364&lt;Career_History!D61,0,MIN(A364,Career_History!E61)-Career_History!D61+1),0),IF(Career_History!H62=TRUE,IF(A364&lt;Career_History!D62,0,MIN(A364,Career_History!E62)-Career_History!D62+1),0),IF(Career_History!H63=TRUE,IF(A364&lt;Career_History!D63,0,MIN(A364,Career_History!E63)-Career_History!D63+1),0))/365.2425</f>
        <v>3.1622825930717262</v>
      </c>
      <c r="BJ364" s="9">
        <f>SUM(IF(Career_History!G64=TRUE,IF(A364&lt;Career_History!D64,0,MIN(A364,Career_History!E64)-Career_History!D64+1),0),IF(Career_History!G65=TRUE,IF(A364&lt;Career_History!D65,0,MIN(A364,Career_History!E65)-Career_History!D65+1),0),IF(Career_History!G66=TRUE,IF(A364&lt;Career_History!D66,0,MIN(A364,Career_History!E66)-Career_History!D66+1),0),IF(Career_History!G67=TRUE,IF(A364&lt;Career_History!D67,0,MIN(A364,Career_History!E67)-Career_History!D67+1),0))/365.2425</f>
        <v>16.16186506225316</v>
      </c>
      <c r="BK364" s="9">
        <f>SUM(IF(Career_History!I64=TRUE,IF(A364&lt;Career_History!D64,0,MIN(A364,Career_History!E64)-Career_History!D64+1),0),IF(Career_History!I65=TRUE,IF(A364&lt;Career_History!D65,0,MIN(A364,Career_History!E65)-Career_History!D65+1),0),IF(Career_History!I66=TRUE,IF(A364&lt;Career_History!D66,0,MIN(A364,Career_History!E66)-Career_History!D66+1),0),IF(Career_History!I67=TRUE,IF(A364&lt;Career_History!D67,0,MIN(A364,Career_History!E67)-Career_History!D67+1),0))/365.2425</f>
        <v>12.495807579895549</v>
      </c>
      <c r="BL364" s="9">
        <f>SUM(IF(Career_History!H64=TRUE,IF(A364&lt;Career_History!D64,0,MIN(A364,Career_History!E64)-Career_History!D64+1),0),IF(Career_History!H65=TRUE,IF(A364&lt;Career_History!D65,0,MIN(A364,Career_History!E65)-Career_History!D65+1),0),IF(Career_History!H66=TRUE,IF(A364&lt;Career_History!D66,0,MIN(A364,Career_History!E66)-Career_History!D66+1),0),IF(Career_History!H67=TRUE,IF(A364&lt;Career_History!D67,0,MIN(A364,Career_History!E67)-Career_History!D67+1),0))/365.2425</f>
        <v>3.6660574823576115</v>
      </c>
      <c r="BM364" s="9">
        <f>SUM(IF(Career_History!G68=TRUE,IF(A364&lt;Career_History!D68,0,MIN(A364,Career_History!E68)-Career_History!D68+1),0),IF(Career_History!G69=TRUE,IF(A364&lt;Career_History!D69,0,MIN(A364,Career_History!E69)-Career_History!D69+1),0))/365.2425</f>
        <v>27.162775416332984</v>
      </c>
      <c r="BN364" s="9">
        <f>SUM(IF(Career_History!I68=TRUE,IF(A364&lt;Career_History!D68,0,MIN(A364,Career_History!E68)-Career_History!D68+1),0),IF(Career_History!I69=TRUE,IF(A364&lt;Career_History!D69,0,MIN(A364,Career_History!E69)-Career_History!D69+1),0))/365.2425</f>
        <v>0</v>
      </c>
      <c r="BO364" s="9">
        <f>SUM(IF(Career_History!H68=TRUE,IF(A364&lt;Career_History!D68,0,MIN(A364,Career_History!E68)-Career_History!D68+1),0),IF(Career_History!H69=TRUE,IF(A364&lt;Career_History!D69,0,MIN(A364,Career_History!E69)-Career_History!D69+1),0))/365.2425</f>
        <v>27.162775416332984</v>
      </c>
    </row>
    <row r="365" spans="1:67">
      <c r="A365" s="8">
        <v>45747</v>
      </c>
      <c r="B365" s="9">
        <f t="shared" si="15"/>
        <v>27.948007145937289</v>
      </c>
      <c r="C365" s="9">
        <f t="shared" si="16"/>
        <v>10.499325790399528</v>
      </c>
      <c r="D365" s="9">
        <f t="shared" si="17"/>
        <v>17.448681355537758</v>
      </c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  <c r="AJ365" s="9"/>
      <c r="AK365" s="9"/>
      <c r="AL365" s="9"/>
      <c r="AM365" s="9"/>
      <c r="AN365" s="9"/>
      <c r="AO365" s="9"/>
      <c r="AP365" s="9"/>
      <c r="AQ365" s="9"/>
      <c r="AR365" s="9"/>
      <c r="AS365" s="9"/>
      <c r="AT365" s="9"/>
      <c r="AU365" s="9"/>
      <c r="AV365" s="9"/>
      <c r="AW365" s="9"/>
      <c r="AX365" s="9"/>
      <c r="AY365" s="9"/>
      <c r="AZ365" s="9"/>
      <c r="BA365" s="9">
        <f>SUM(IF(Career_History!G53=TRUE,IF(A365&lt;Career_History!D53,0,MIN(A365,Career_History!E53)-Career_History!D53+1),0),IF(Career_History!G54=TRUE,IF(A365&lt;Career_History!D54,0,MIN(A365,Career_History!E54)-Career_History!D54+1),0),IF(Career_History!G55=TRUE,IF(A365&lt;Career_History!D55,0,MIN(A365,Career_History!E55)-Career_History!D55+1),0),IF(Career_History!G56=TRUE,IF(A365&lt;Career_History!D56,0,MIN(A365,Career_History!E56)-Career_History!D56+1),0),IF(Career_History!G57=TRUE,IF(A365&lt;Career_History!D57,0,MIN(A365,Career_History!E57)-Career_History!D57+1),0))/365.2425</f>
        <v>48.751172166437364</v>
      </c>
      <c r="BB365" s="9">
        <f>SUM(IF(Career_History!I53=TRUE,IF(A365&lt;Career_History!D53,0,MIN(A365,Career_History!E53)-Career_History!D53+1),0),IF(Career_History!I54=TRUE,IF(A365&lt;Career_History!D54,0,MIN(A365,Career_History!E54)-Career_History!D54+1),0),IF(Career_History!I55=TRUE,IF(A365&lt;Career_History!D55,0,MIN(A365,Career_History!E55)-Career_History!D55+1),0),IF(Career_History!I56=TRUE,IF(A365&lt;Career_History!D56,0,MIN(A365,Career_History!E56)-Career_History!D56+1),0),IF(Career_History!I57=TRUE,IF(A365&lt;Career_History!D57,0,MIN(A365,Career_History!E57)-Career_History!D57+1),0))/365.2425</f>
        <v>0</v>
      </c>
      <c r="BC365" s="9">
        <f>SUM(IF(Career_History!H53=TRUE,IF(A365&lt;Career_History!D53,0,MIN(A365,Career_History!E53)-Career_History!D53+1),0),IF(Career_History!H54=TRUE,IF(A365&lt;Career_History!D54,0,MIN(A365,Career_History!E54)-Career_History!D54+1),0),IF(Career_History!H55=TRUE,IF(A365&lt;Career_History!D55,0,MIN(A365,Career_History!E55)-Career_History!D55+1),0),IF(Career_History!H56=TRUE,IF(A365&lt;Career_History!D56,0,MIN(A365,Career_History!E56)-Career_History!D56+1),0),IF(Career_History!H57=TRUE,IF(A365&lt;Career_History!D57,0,MIN(A365,Career_History!E57)-Career_History!D57+1),0))/365.2425</f>
        <v>48.751172166437364</v>
      </c>
      <c r="BD365" s="9">
        <f>SUM(IF(Career_History!G58=TRUE,IF(A365&lt;Career_History!D58,0,MIN(A365,Career_History!E58)-Career_History!D58+1),0),IF(Career_History!G59=TRUE,IF(A365&lt;Career_History!D59,0,MIN(A365,Career_History!E59)-Career_History!D59+1),0),IF(Career_History!G60=TRUE,IF(A365&lt;Career_History!D60,0,MIN(A365,Career_History!E60)-Career_History!D60+1),0))/365.2425</f>
        <v>24.246904453890224</v>
      </c>
      <c r="BE365" s="9">
        <f>SUM(IF(Career_History!I58=TRUE,IF(A365&lt;Career_History!D58,0,MIN(A365,Career_History!E58)-Career_History!D58+1),0),IF(Career_History!I59=TRUE,IF(A365&lt;Career_History!D59,0,MIN(A365,Career_History!E59)-Career_History!D59+1),0),IF(Career_History!I60=TRUE,IF(A365&lt;Career_History!D60,0,MIN(A365,Career_History!E60)-Career_History!D60+1),0))/365.2425</f>
        <v>20.000410686051048</v>
      </c>
      <c r="BF365" s="9">
        <f>SUM(IF(Career_History!H58=TRUE,IF(A365&lt;Career_History!D58,0,MIN(A365,Career_History!E58)-Career_History!D58+1),0),IF(Career_History!H59=TRUE,IF(A365&lt;Career_History!D59,0,MIN(A365,Career_History!E59)-Career_History!D59+1),0),IF(Career_History!H60=TRUE,IF(A365&lt;Career_History!D60,0,MIN(A365,Career_History!E60)-Career_History!D60+1),0))/365.2425</f>
        <v>4.2464937678391754</v>
      </c>
      <c r="BG365" s="9">
        <f>SUM(IF(Career_History!G61=TRUE,IF(A365&lt;Career_History!D61,0,MIN(A365,Career_History!E61)-Career_History!D61+1),0),IF(Career_History!G62=TRUE,IF(A365&lt;Career_History!D62,0,MIN(A365,Career_History!E62)-Career_History!D62+1),0),IF(Career_History!G63=TRUE,IF(A365&lt;Career_History!D63,0,MIN(A365,Career_History!E63)-Career_History!D63+1),0))/365.2425</f>
        <v>23.247568396339418</v>
      </c>
      <c r="BH365" s="9">
        <f>SUM(IF(Career_History!I61=TRUE,IF(A365&lt;Career_History!D61,0,MIN(A365,Career_History!E61)-Career_History!D61+1),0),IF(Career_History!I62=TRUE,IF(A365&lt;Career_History!D62,0,MIN(A365,Career_History!E62)-Career_History!D62+1),0),IF(Career_History!I63=TRUE,IF(A365&lt;Career_History!D63,0,MIN(A365,Career_History!E63)-Career_History!D63+1),0))/365.2425</f>
        <v>20.000410686051048</v>
      </c>
      <c r="BI365" s="9">
        <f>SUM(IF(Career_History!H61=TRUE,IF(A365&lt;Career_History!D61,0,MIN(A365,Career_History!E61)-Career_History!D61+1),0),IF(Career_History!H62=TRUE,IF(A365&lt;Career_History!D62,0,MIN(A365,Career_History!E62)-Career_History!D62+1),0),IF(Career_History!H63=TRUE,IF(A365&lt;Career_History!D63,0,MIN(A365,Career_History!E63)-Career_History!D63+1),0))/365.2425</f>
        <v>3.24715771028837</v>
      </c>
      <c r="BJ365" s="9">
        <f>SUM(IF(Career_History!G64=TRUE,IF(A365&lt;Career_History!D64,0,MIN(A365,Career_History!E64)-Career_History!D64+1),0),IF(Career_History!G65=TRUE,IF(A365&lt;Career_History!D65,0,MIN(A365,Career_History!E65)-Career_History!D65+1),0),IF(Career_History!G66=TRUE,IF(A365&lt;Career_History!D66,0,MIN(A365,Career_History!E66)-Career_History!D66+1),0),IF(Career_History!G67=TRUE,IF(A365&lt;Career_History!D67,0,MIN(A365,Career_History!E67)-Career_History!D67+1),0))/365.2425</f>
        <v>16.246740179469803</v>
      </c>
      <c r="BK365" s="9">
        <f>SUM(IF(Career_History!I64=TRUE,IF(A365&lt;Career_History!D64,0,MIN(A365,Career_History!E64)-Career_History!D64+1),0),IF(Career_History!I65=TRUE,IF(A365&lt;Career_History!D65,0,MIN(A365,Career_History!E65)-Career_History!D65+1),0),IF(Career_History!I66=TRUE,IF(A365&lt;Career_History!D66,0,MIN(A365,Career_History!E66)-Career_History!D66+1),0),IF(Career_History!I67=TRUE,IF(A365&lt;Career_History!D67,0,MIN(A365,Career_History!E67)-Career_History!D67+1),0))/365.2425</f>
        <v>12.495807579895549</v>
      </c>
      <c r="BL365" s="9">
        <f>SUM(IF(Career_History!H64=TRUE,IF(A365&lt;Career_History!D64,0,MIN(A365,Career_History!E64)-Career_History!D64+1),0),IF(Career_History!H65=TRUE,IF(A365&lt;Career_History!D65,0,MIN(A365,Career_History!E65)-Career_History!D65+1),0),IF(Career_History!H66=TRUE,IF(A365&lt;Career_History!D66,0,MIN(A365,Career_History!E66)-Career_History!D66+1),0),IF(Career_History!H67=TRUE,IF(A365&lt;Career_History!D67,0,MIN(A365,Career_History!E67)-Career_History!D67+1),0))/365.2425</f>
        <v>3.7509325995742553</v>
      </c>
      <c r="BM365" s="9">
        <f>SUM(IF(Career_History!G68=TRUE,IF(A365&lt;Career_History!D68,0,MIN(A365,Career_History!E68)-Career_History!D68+1),0),IF(Career_History!G69=TRUE,IF(A365&lt;Career_History!D69,0,MIN(A365,Career_History!E69)-Career_History!D69+1),0))/365.2425</f>
        <v>27.247650533549628</v>
      </c>
      <c r="BN365" s="9">
        <f>SUM(IF(Career_History!I68=TRUE,IF(A365&lt;Career_History!D68,0,MIN(A365,Career_History!E68)-Career_History!D68+1),0),IF(Career_History!I69=TRUE,IF(A365&lt;Career_History!D69,0,MIN(A365,Career_History!E69)-Career_History!D69+1),0))/365.2425</f>
        <v>0</v>
      </c>
      <c r="BO365" s="9">
        <f>SUM(IF(Career_History!H68=TRUE,IF(A365&lt;Career_History!D68,0,MIN(A365,Career_History!E68)-Career_History!D68+1),0),IF(Career_History!H69=TRUE,IF(A365&lt;Career_History!D69,0,MIN(A365,Career_History!E69)-Career_History!D69+1),0))/365.2425</f>
        <v>27.247650533549628</v>
      </c>
    </row>
    <row r="366" spans="1:67">
      <c r="A366" s="8">
        <v>45777</v>
      </c>
      <c r="B366" s="9">
        <f t="shared" si="15"/>
        <v>28.030144356146945</v>
      </c>
      <c r="C366" s="9">
        <f t="shared" si="16"/>
        <v>10.499325790399528</v>
      </c>
      <c r="D366" s="9">
        <f t="shared" si="17"/>
        <v>17.530818565747413</v>
      </c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  <c r="AJ366" s="9"/>
      <c r="AK366" s="9"/>
      <c r="AL366" s="9"/>
      <c r="AM366" s="9"/>
      <c r="AN366" s="9"/>
      <c r="AO366" s="9"/>
      <c r="AP366" s="9"/>
      <c r="AQ366" s="9"/>
      <c r="AR366" s="9"/>
      <c r="AS366" s="9"/>
      <c r="AT366" s="9"/>
      <c r="AU366" s="9"/>
      <c r="AV366" s="9"/>
      <c r="AW366" s="9"/>
      <c r="AX366" s="9"/>
      <c r="AY366" s="9"/>
      <c r="AZ366" s="9"/>
      <c r="BA366" s="9">
        <f>SUM(IF(Career_History!G53=TRUE,IF(A366&lt;Career_History!D53,0,MIN(A366,Career_History!E53)-Career_History!D53+1),0),IF(Career_History!G54=TRUE,IF(A366&lt;Career_History!D54,0,MIN(A366,Career_History!E54)-Career_History!D54+1),0),IF(Career_History!G55=TRUE,IF(A366&lt;Career_History!D55,0,MIN(A366,Career_History!E55)-Career_History!D55+1),0),IF(Career_History!G56=TRUE,IF(A366&lt;Career_History!D56,0,MIN(A366,Career_History!E56)-Career_History!D56+1),0),IF(Career_History!G57=TRUE,IF(A366&lt;Career_History!D57,0,MIN(A366,Career_History!E57)-Career_History!D57+1),0))/365.2425</f>
        <v>48.833309376647023</v>
      </c>
      <c r="BB366" s="9">
        <f>SUM(IF(Career_History!I53=TRUE,IF(A366&lt;Career_History!D53,0,MIN(A366,Career_History!E53)-Career_History!D53+1),0),IF(Career_History!I54=TRUE,IF(A366&lt;Career_History!D54,0,MIN(A366,Career_History!E54)-Career_History!D54+1),0),IF(Career_History!I55=TRUE,IF(A366&lt;Career_History!D55,0,MIN(A366,Career_History!E55)-Career_History!D55+1),0),IF(Career_History!I56=TRUE,IF(A366&lt;Career_History!D56,0,MIN(A366,Career_History!E56)-Career_History!D56+1),0),IF(Career_History!I57=TRUE,IF(A366&lt;Career_History!D57,0,MIN(A366,Career_History!E57)-Career_History!D57+1),0))/365.2425</f>
        <v>0</v>
      </c>
      <c r="BC366" s="9">
        <f>SUM(IF(Career_History!H53=TRUE,IF(A366&lt;Career_History!D53,0,MIN(A366,Career_History!E53)-Career_History!D53+1),0),IF(Career_History!H54=TRUE,IF(A366&lt;Career_History!D54,0,MIN(A366,Career_History!E54)-Career_History!D54+1),0),IF(Career_History!H55=TRUE,IF(A366&lt;Career_History!D55,0,MIN(A366,Career_History!E55)-Career_History!D55+1),0),IF(Career_History!H56=TRUE,IF(A366&lt;Career_History!D56,0,MIN(A366,Career_History!E56)-Career_History!D56+1),0),IF(Career_History!H57=TRUE,IF(A366&lt;Career_History!D57,0,MIN(A366,Career_History!E57)-Career_History!D57+1),0))/365.2425</f>
        <v>48.833309376647023</v>
      </c>
      <c r="BD366" s="9">
        <f>SUM(IF(Career_History!G58=TRUE,IF(A366&lt;Career_History!D58,0,MIN(A366,Career_History!E58)-Career_History!D58+1),0),IF(Career_History!G59=TRUE,IF(A366&lt;Career_History!D59,0,MIN(A366,Career_History!E59)-Career_History!D59+1),0),IF(Career_History!G60=TRUE,IF(A366&lt;Career_History!D60,0,MIN(A366,Career_History!E60)-Career_History!D60+1),0))/365.2425</f>
        <v>24.329041664099879</v>
      </c>
      <c r="BE366" s="9">
        <f>SUM(IF(Career_History!I58=TRUE,IF(A366&lt;Career_History!D58,0,MIN(A366,Career_History!E58)-Career_History!D58+1),0),IF(Career_History!I59=TRUE,IF(A366&lt;Career_History!D59,0,MIN(A366,Career_History!E59)-Career_History!D59+1),0),IF(Career_History!I60=TRUE,IF(A366&lt;Career_History!D60,0,MIN(A366,Career_History!E60)-Career_History!D60+1),0))/365.2425</f>
        <v>20.000410686051048</v>
      </c>
      <c r="BF366" s="9">
        <f>SUM(IF(Career_History!H58=TRUE,IF(A366&lt;Career_History!D58,0,MIN(A366,Career_History!E58)-Career_History!D58+1),0),IF(Career_History!H59=TRUE,IF(A366&lt;Career_History!D59,0,MIN(A366,Career_History!E59)-Career_History!D59+1),0),IF(Career_History!H60=TRUE,IF(A366&lt;Career_History!D60,0,MIN(A366,Career_History!E60)-Career_History!D60+1),0))/365.2425</f>
        <v>4.3286309780488308</v>
      </c>
      <c r="BG366" s="9">
        <f>SUM(IF(Career_History!G61=TRUE,IF(A366&lt;Career_History!D61,0,MIN(A366,Career_History!E61)-Career_History!D61+1),0),IF(Career_History!G62=TRUE,IF(A366&lt;Career_History!D62,0,MIN(A366,Career_History!E62)-Career_History!D62+1),0),IF(Career_History!G63=TRUE,IF(A366&lt;Career_History!D63,0,MIN(A366,Career_History!E63)-Career_History!D63+1),0))/365.2425</f>
        <v>23.329705606549073</v>
      </c>
      <c r="BH366" s="9">
        <f>SUM(IF(Career_History!I61=TRUE,IF(A366&lt;Career_History!D61,0,MIN(A366,Career_History!E61)-Career_History!D61+1),0),IF(Career_History!I62=TRUE,IF(A366&lt;Career_History!D62,0,MIN(A366,Career_History!E62)-Career_History!D62+1),0),IF(Career_History!I63=TRUE,IF(A366&lt;Career_History!D63,0,MIN(A366,Career_History!E63)-Career_History!D63+1),0))/365.2425</f>
        <v>20.000410686051048</v>
      </c>
      <c r="BI366" s="9">
        <f>SUM(IF(Career_History!H61=TRUE,IF(A366&lt;Career_History!D61,0,MIN(A366,Career_History!E61)-Career_History!D61+1),0),IF(Career_History!H62=TRUE,IF(A366&lt;Career_History!D62,0,MIN(A366,Career_History!E62)-Career_History!D62+1),0),IF(Career_History!H63=TRUE,IF(A366&lt;Career_History!D63,0,MIN(A366,Career_History!E63)-Career_History!D63+1),0))/365.2425</f>
        <v>3.3292949204980253</v>
      </c>
      <c r="BJ366" s="9">
        <f>SUM(IF(Career_History!G64=TRUE,IF(A366&lt;Career_History!D64,0,MIN(A366,Career_History!E64)-Career_History!D64+1),0),IF(Career_History!G65=TRUE,IF(A366&lt;Career_History!D65,0,MIN(A366,Career_History!E65)-Career_History!D65+1),0),IF(Career_History!G66=TRUE,IF(A366&lt;Career_History!D66,0,MIN(A366,Career_History!E66)-Career_History!D66+1),0),IF(Career_History!G67=TRUE,IF(A366&lt;Career_History!D67,0,MIN(A366,Career_History!E67)-Career_History!D67+1),0))/365.2425</f>
        <v>16.328877389679459</v>
      </c>
      <c r="BK366" s="9">
        <f>SUM(IF(Career_History!I64=TRUE,IF(A366&lt;Career_History!D64,0,MIN(A366,Career_History!E64)-Career_History!D64+1),0),IF(Career_History!I65=TRUE,IF(A366&lt;Career_History!D65,0,MIN(A366,Career_History!E65)-Career_History!D65+1),0),IF(Career_History!I66=TRUE,IF(A366&lt;Career_History!D66,0,MIN(A366,Career_History!E66)-Career_History!D66+1),0),IF(Career_History!I67=TRUE,IF(A366&lt;Career_History!D67,0,MIN(A366,Career_History!E67)-Career_History!D67+1),0))/365.2425</f>
        <v>12.495807579895549</v>
      </c>
      <c r="BL366" s="9">
        <f>SUM(IF(Career_History!H64=TRUE,IF(A366&lt;Career_History!D64,0,MIN(A366,Career_History!E64)-Career_History!D64+1),0),IF(Career_History!H65=TRUE,IF(A366&lt;Career_History!D65,0,MIN(A366,Career_History!E65)-Career_History!D65+1),0),IF(Career_History!H66=TRUE,IF(A366&lt;Career_History!D66,0,MIN(A366,Career_History!E66)-Career_History!D66+1),0),IF(Career_History!H67=TRUE,IF(A366&lt;Career_History!D67,0,MIN(A366,Career_History!E67)-Career_History!D67+1),0))/365.2425</f>
        <v>3.8330698097839107</v>
      </c>
      <c r="BM366" s="9">
        <f>SUM(IF(Career_History!G68=TRUE,IF(A366&lt;Career_History!D68,0,MIN(A366,Career_History!E68)-Career_History!D68+1),0),IF(Career_History!G69=TRUE,IF(A366&lt;Career_History!D69,0,MIN(A366,Career_History!E69)-Career_History!D69+1),0))/365.2425</f>
        <v>27.329787743759283</v>
      </c>
      <c r="BN366" s="9">
        <f>SUM(IF(Career_History!I68=TRUE,IF(A366&lt;Career_History!D68,0,MIN(A366,Career_History!E68)-Career_History!D68+1),0),IF(Career_History!I69=TRUE,IF(A366&lt;Career_History!D69,0,MIN(A366,Career_History!E69)-Career_History!D69+1),0))/365.2425</f>
        <v>0</v>
      </c>
      <c r="BO366" s="9">
        <f>SUM(IF(Career_History!H68=TRUE,IF(A366&lt;Career_History!D68,0,MIN(A366,Career_History!E68)-Career_History!D68+1),0),IF(Career_History!H69=TRUE,IF(A366&lt;Career_History!D69,0,MIN(A366,Career_History!E69)-Career_History!D69+1),0))/365.2425</f>
        <v>27.329787743759283</v>
      </c>
    </row>
    <row r="367" spans="1:67">
      <c r="A367" s="8">
        <v>45808</v>
      </c>
      <c r="B367" s="9">
        <f t="shared" si="15"/>
        <v>28.115019473363581</v>
      </c>
      <c r="C367" s="9">
        <f t="shared" si="16"/>
        <v>10.499325790399528</v>
      </c>
      <c r="D367" s="9">
        <f t="shared" si="17"/>
        <v>17.615693682964057</v>
      </c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  <c r="AJ367" s="9"/>
      <c r="AK367" s="9"/>
      <c r="AL367" s="9"/>
      <c r="AM367" s="9"/>
      <c r="AN367" s="9"/>
      <c r="AO367" s="9"/>
      <c r="AP367" s="9"/>
      <c r="AQ367" s="9"/>
      <c r="AR367" s="9"/>
      <c r="AS367" s="9"/>
      <c r="AT367" s="9"/>
      <c r="AU367" s="9"/>
      <c r="AV367" s="9"/>
      <c r="AW367" s="9"/>
      <c r="AX367" s="9"/>
      <c r="AY367" s="9"/>
      <c r="AZ367" s="9"/>
      <c r="BA367" s="9">
        <f>SUM(IF(Career_History!G53=TRUE,IF(A367&lt;Career_History!D53,0,MIN(A367,Career_History!E53)-Career_History!D53+1),0),IF(Career_History!G54=TRUE,IF(A367&lt;Career_History!D54,0,MIN(A367,Career_History!E54)-Career_History!D54+1),0),IF(Career_History!G55=TRUE,IF(A367&lt;Career_History!D55,0,MIN(A367,Career_History!E55)-Career_History!D55+1),0),IF(Career_History!G56=TRUE,IF(A367&lt;Career_History!D56,0,MIN(A367,Career_History!E56)-Career_History!D56+1),0),IF(Career_History!G57=TRUE,IF(A367&lt;Career_History!D57,0,MIN(A367,Career_History!E57)-Career_History!D57+1),0))/365.2425</f>
        <v>48.918184493863663</v>
      </c>
      <c r="BB367" s="9">
        <f>SUM(IF(Career_History!I53=TRUE,IF(A367&lt;Career_History!D53,0,MIN(A367,Career_History!E53)-Career_History!D53+1),0),IF(Career_History!I54=TRUE,IF(A367&lt;Career_History!D54,0,MIN(A367,Career_History!E54)-Career_History!D54+1),0),IF(Career_History!I55=TRUE,IF(A367&lt;Career_History!D55,0,MIN(A367,Career_History!E55)-Career_History!D55+1),0),IF(Career_History!I56=TRUE,IF(A367&lt;Career_History!D56,0,MIN(A367,Career_History!E56)-Career_History!D56+1),0),IF(Career_History!I57=TRUE,IF(A367&lt;Career_History!D57,0,MIN(A367,Career_History!E57)-Career_History!D57+1),0))/365.2425</f>
        <v>0</v>
      </c>
      <c r="BC367" s="9">
        <f>SUM(IF(Career_History!H53=TRUE,IF(A367&lt;Career_History!D53,0,MIN(A367,Career_History!E53)-Career_History!D53+1),0),IF(Career_History!H54=TRUE,IF(A367&lt;Career_History!D54,0,MIN(A367,Career_History!E54)-Career_History!D54+1),0),IF(Career_History!H55=TRUE,IF(A367&lt;Career_History!D55,0,MIN(A367,Career_History!E55)-Career_History!D55+1),0),IF(Career_History!H56=TRUE,IF(A367&lt;Career_History!D56,0,MIN(A367,Career_History!E56)-Career_History!D56+1),0),IF(Career_History!H57=TRUE,IF(A367&lt;Career_History!D57,0,MIN(A367,Career_History!E57)-Career_History!D57+1),0))/365.2425</f>
        <v>48.918184493863663</v>
      </c>
      <c r="BD367" s="9">
        <f>SUM(IF(Career_History!G58=TRUE,IF(A367&lt;Career_History!D58,0,MIN(A367,Career_History!E58)-Career_History!D58+1),0),IF(Career_History!G59=TRUE,IF(A367&lt;Career_History!D59,0,MIN(A367,Career_History!E59)-Career_History!D59+1),0),IF(Career_History!G60=TRUE,IF(A367&lt;Career_History!D60,0,MIN(A367,Career_History!E60)-Career_History!D60+1),0))/365.2425</f>
        <v>24.413916781316523</v>
      </c>
      <c r="BE367" s="9">
        <f>SUM(IF(Career_History!I58=TRUE,IF(A367&lt;Career_History!D58,0,MIN(A367,Career_History!E58)-Career_History!D58+1),0),IF(Career_History!I59=TRUE,IF(A367&lt;Career_History!D59,0,MIN(A367,Career_History!E59)-Career_History!D59+1),0),IF(Career_History!I60=TRUE,IF(A367&lt;Career_History!D60,0,MIN(A367,Career_History!E60)-Career_History!D60+1),0))/365.2425</f>
        <v>20.000410686051048</v>
      </c>
      <c r="BF367" s="9">
        <f>SUM(IF(Career_History!H58=TRUE,IF(A367&lt;Career_History!D58,0,MIN(A367,Career_History!E58)-Career_History!D58+1),0),IF(Career_History!H59=TRUE,IF(A367&lt;Career_History!D59,0,MIN(A367,Career_History!E59)-Career_History!D59+1),0),IF(Career_History!H60=TRUE,IF(A367&lt;Career_History!D60,0,MIN(A367,Career_History!E60)-Career_History!D60+1),0))/365.2425</f>
        <v>4.4135060952654745</v>
      </c>
      <c r="BG367" s="9">
        <f>SUM(IF(Career_History!G61=TRUE,IF(A367&lt;Career_History!D61,0,MIN(A367,Career_History!E61)-Career_History!D61+1),0),IF(Career_History!G62=TRUE,IF(A367&lt;Career_History!D62,0,MIN(A367,Career_History!E62)-Career_History!D62+1),0),IF(Career_History!G63=TRUE,IF(A367&lt;Career_History!D63,0,MIN(A367,Career_History!E63)-Career_History!D63+1),0))/365.2425</f>
        <v>23.414580723765717</v>
      </c>
      <c r="BH367" s="9">
        <f>SUM(IF(Career_History!I61=TRUE,IF(A367&lt;Career_History!D61,0,MIN(A367,Career_History!E61)-Career_History!D61+1),0),IF(Career_History!I62=TRUE,IF(A367&lt;Career_History!D62,0,MIN(A367,Career_History!E62)-Career_History!D62+1),0),IF(Career_History!I63=TRUE,IF(A367&lt;Career_History!D63,0,MIN(A367,Career_History!E63)-Career_History!D63+1),0))/365.2425</f>
        <v>20.000410686051048</v>
      </c>
      <c r="BI367" s="9">
        <f>SUM(IF(Career_History!H61=TRUE,IF(A367&lt;Career_History!D61,0,MIN(A367,Career_History!E61)-Career_History!D61+1),0),IF(Career_History!H62=TRUE,IF(A367&lt;Career_History!D62,0,MIN(A367,Career_History!E62)-Career_History!D62+1),0),IF(Career_History!H63=TRUE,IF(A367&lt;Career_History!D63,0,MIN(A367,Career_History!E63)-Career_History!D63+1),0))/365.2425</f>
        <v>3.4141700377146691</v>
      </c>
      <c r="BJ367" s="9">
        <f>SUM(IF(Career_History!G64=TRUE,IF(A367&lt;Career_History!D64,0,MIN(A367,Career_History!E64)-Career_History!D64+1),0),IF(Career_History!G65=TRUE,IF(A367&lt;Career_History!D65,0,MIN(A367,Career_History!E65)-Career_History!D65+1),0),IF(Career_History!G66=TRUE,IF(A367&lt;Career_History!D66,0,MIN(A367,Career_History!E66)-Career_History!D66+1),0),IF(Career_History!G67=TRUE,IF(A367&lt;Career_History!D67,0,MIN(A367,Career_History!E67)-Career_History!D67+1),0))/365.2425</f>
        <v>16.413752506896103</v>
      </c>
      <c r="BK367" s="9">
        <f>SUM(IF(Career_History!I64=TRUE,IF(A367&lt;Career_History!D64,0,MIN(A367,Career_History!E64)-Career_History!D64+1),0),IF(Career_History!I65=TRUE,IF(A367&lt;Career_History!D65,0,MIN(A367,Career_History!E65)-Career_History!D65+1),0),IF(Career_History!I66=TRUE,IF(A367&lt;Career_History!D66,0,MIN(A367,Career_History!E66)-Career_History!D66+1),0),IF(Career_History!I67=TRUE,IF(A367&lt;Career_History!D67,0,MIN(A367,Career_History!E67)-Career_History!D67+1),0))/365.2425</f>
        <v>12.495807579895549</v>
      </c>
      <c r="BL367" s="9">
        <f>SUM(IF(Career_History!H64=TRUE,IF(A367&lt;Career_History!D64,0,MIN(A367,Career_History!E64)-Career_History!D64+1),0),IF(Career_History!H65=TRUE,IF(A367&lt;Career_History!D65,0,MIN(A367,Career_History!E65)-Career_History!D65+1),0),IF(Career_History!H66=TRUE,IF(A367&lt;Career_History!D66,0,MIN(A367,Career_History!E66)-Career_History!D66+1),0),IF(Career_History!H67=TRUE,IF(A367&lt;Career_History!D67,0,MIN(A367,Career_History!E67)-Career_History!D67+1),0))/365.2425</f>
        <v>3.9179449270005544</v>
      </c>
      <c r="BM367" s="9">
        <f>SUM(IF(Career_History!G68=TRUE,IF(A367&lt;Career_History!D68,0,MIN(A367,Career_History!E68)-Career_History!D68+1),0),IF(Career_History!G69=TRUE,IF(A367&lt;Career_History!D69,0,MIN(A367,Career_History!E69)-Career_History!D69+1),0))/365.2425</f>
        <v>27.414662860975927</v>
      </c>
      <c r="BN367" s="9">
        <f>SUM(IF(Career_History!I68=TRUE,IF(A367&lt;Career_History!D68,0,MIN(A367,Career_History!E68)-Career_History!D68+1),0),IF(Career_History!I69=TRUE,IF(A367&lt;Career_History!D69,0,MIN(A367,Career_History!E69)-Career_History!D69+1),0))/365.2425</f>
        <v>0</v>
      </c>
      <c r="BO367" s="9">
        <f>SUM(IF(Career_History!H68=TRUE,IF(A367&lt;Career_History!D68,0,MIN(A367,Career_History!E68)-Career_History!D68+1),0),IF(Career_History!H69=TRUE,IF(A367&lt;Career_History!D69,0,MIN(A367,Career_History!E69)-Career_History!D69+1),0))/365.2425</f>
        <v>27.414662860975927</v>
      </c>
    </row>
    <row r="368" spans="1:67">
      <c r="A368" s="8">
        <v>45838</v>
      </c>
      <c r="B368" s="9">
        <f t="shared" si="15"/>
        <v>28.19715668357324</v>
      </c>
      <c r="C368" s="9">
        <f t="shared" si="16"/>
        <v>10.499325790399528</v>
      </c>
      <c r="D368" s="9">
        <f t="shared" si="17"/>
        <v>17.697830893173709</v>
      </c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  <c r="AJ368" s="9"/>
      <c r="AK368" s="9"/>
      <c r="AL368" s="9"/>
      <c r="AM368" s="9"/>
      <c r="AN368" s="9"/>
      <c r="AO368" s="9"/>
      <c r="AP368" s="9"/>
      <c r="AQ368" s="9"/>
      <c r="AR368" s="9"/>
      <c r="AS368" s="9"/>
      <c r="AT368" s="9"/>
      <c r="AU368" s="9"/>
      <c r="AV368" s="9"/>
      <c r="AW368" s="9"/>
      <c r="AX368" s="9"/>
      <c r="AY368" s="9"/>
      <c r="AZ368" s="9"/>
      <c r="BA368" s="9">
        <f>SUM(IF(Career_History!G53=TRUE,IF(A368&lt;Career_History!D53,0,MIN(A368,Career_History!E53)-Career_History!D53+1),0),IF(Career_History!G54=TRUE,IF(A368&lt;Career_History!D54,0,MIN(A368,Career_History!E54)-Career_History!D54+1),0),IF(Career_History!G55=TRUE,IF(A368&lt;Career_History!D55,0,MIN(A368,Career_History!E55)-Career_History!D55+1),0),IF(Career_History!G56=TRUE,IF(A368&lt;Career_History!D56,0,MIN(A368,Career_History!E56)-Career_History!D56+1),0),IF(Career_History!G57=TRUE,IF(A368&lt;Career_History!D57,0,MIN(A368,Career_History!E57)-Career_History!D57+1),0))/365.2425</f>
        <v>49.000321704073322</v>
      </c>
      <c r="BB368" s="9">
        <f>SUM(IF(Career_History!I53=TRUE,IF(A368&lt;Career_History!D53,0,MIN(A368,Career_History!E53)-Career_History!D53+1),0),IF(Career_History!I54=TRUE,IF(A368&lt;Career_History!D54,0,MIN(A368,Career_History!E54)-Career_History!D54+1),0),IF(Career_History!I55=TRUE,IF(A368&lt;Career_History!D55,0,MIN(A368,Career_History!E55)-Career_History!D55+1),0),IF(Career_History!I56=TRUE,IF(A368&lt;Career_History!D56,0,MIN(A368,Career_History!E56)-Career_History!D56+1),0),IF(Career_History!I57=TRUE,IF(A368&lt;Career_History!D57,0,MIN(A368,Career_History!E57)-Career_History!D57+1),0))/365.2425</f>
        <v>0</v>
      </c>
      <c r="BC368" s="9">
        <f>SUM(IF(Career_History!H53=TRUE,IF(A368&lt;Career_History!D53,0,MIN(A368,Career_History!E53)-Career_History!D53+1),0),IF(Career_History!H54=TRUE,IF(A368&lt;Career_History!D54,0,MIN(A368,Career_History!E54)-Career_History!D54+1),0),IF(Career_History!H55=TRUE,IF(A368&lt;Career_History!D55,0,MIN(A368,Career_History!E55)-Career_History!D55+1),0),IF(Career_History!H56=TRUE,IF(A368&lt;Career_History!D56,0,MIN(A368,Career_History!E56)-Career_History!D56+1),0),IF(Career_History!H57=TRUE,IF(A368&lt;Career_History!D57,0,MIN(A368,Career_History!E57)-Career_History!D57+1),0))/365.2425</f>
        <v>49.000321704073322</v>
      </c>
      <c r="BD368" s="9">
        <f>SUM(IF(Career_History!G58=TRUE,IF(A368&lt;Career_History!D58,0,MIN(A368,Career_History!E58)-Career_History!D58+1),0),IF(Career_History!G59=TRUE,IF(A368&lt;Career_History!D59,0,MIN(A368,Career_History!E59)-Career_History!D59+1),0),IF(Career_History!G60=TRUE,IF(A368&lt;Career_History!D60,0,MIN(A368,Career_History!E60)-Career_History!D60+1),0))/365.2425</f>
        <v>24.496053991526178</v>
      </c>
      <c r="BE368" s="9">
        <f>SUM(IF(Career_History!I58=TRUE,IF(A368&lt;Career_History!D58,0,MIN(A368,Career_History!E58)-Career_History!D58+1),0),IF(Career_History!I59=TRUE,IF(A368&lt;Career_History!D59,0,MIN(A368,Career_History!E59)-Career_History!D59+1),0),IF(Career_History!I60=TRUE,IF(A368&lt;Career_History!D60,0,MIN(A368,Career_History!E60)-Career_History!D60+1),0))/365.2425</f>
        <v>20.000410686051048</v>
      </c>
      <c r="BF368" s="9">
        <f>SUM(IF(Career_History!H58=TRUE,IF(A368&lt;Career_History!D58,0,MIN(A368,Career_History!E58)-Career_History!D58+1),0),IF(Career_History!H59=TRUE,IF(A368&lt;Career_History!D59,0,MIN(A368,Career_History!E59)-Career_History!D59+1),0),IF(Career_History!H60=TRUE,IF(A368&lt;Career_History!D60,0,MIN(A368,Career_History!E60)-Career_History!D60+1),0))/365.2425</f>
        <v>4.495643305475129</v>
      </c>
      <c r="BG368" s="9">
        <f>SUM(IF(Career_History!G61=TRUE,IF(A368&lt;Career_History!D61,0,MIN(A368,Career_History!E61)-Career_History!D61+1),0),IF(Career_History!G62=TRUE,IF(A368&lt;Career_History!D62,0,MIN(A368,Career_History!E62)-Career_History!D62+1),0),IF(Career_History!G63=TRUE,IF(A368&lt;Career_History!D63,0,MIN(A368,Career_History!E63)-Career_History!D63+1),0))/365.2425</f>
        <v>23.496717933975372</v>
      </c>
      <c r="BH368" s="9">
        <f>SUM(IF(Career_History!I61=TRUE,IF(A368&lt;Career_History!D61,0,MIN(A368,Career_History!E61)-Career_History!D61+1),0),IF(Career_History!I62=TRUE,IF(A368&lt;Career_History!D62,0,MIN(A368,Career_History!E62)-Career_History!D62+1),0),IF(Career_History!I63=TRUE,IF(A368&lt;Career_History!D63,0,MIN(A368,Career_History!E63)-Career_History!D63+1),0))/365.2425</f>
        <v>20.000410686051048</v>
      </c>
      <c r="BI368" s="9">
        <f>SUM(IF(Career_History!H61=TRUE,IF(A368&lt;Career_History!D61,0,MIN(A368,Career_History!E61)-Career_History!D61+1),0),IF(Career_History!H62=TRUE,IF(A368&lt;Career_History!D62,0,MIN(A368,Career_History!E62)-Career_History!D62+1),0),IF(Career_History!H63=TRUE,IF(A368&lt;Career_History!D63,0,MIN(A368,Career_History!E63)-Career_History!D63+1),0))/365.2425</f>
        <v>3.496307247924324</v>
      </c>
      <c r="BJ368" s="9">
        <f>SUM(IF(Career_History!G64=TRUE,IF(A368&lt;Career_History!D64,0,MIN(A368,Career_History!E64)-Career_History!D64+1),0),IF(Career_History!G65=TRUE,IF(A368&lt;Career_History!D65,0,MIN(A368,Career_History!E65)-Career_History!D65+1),0),IF(Career_History!G66=TRUE,IF(A368&lt;Career_History!D66,0,MIN(A368,Career_History!E66)-Career_History!D66+1),0),IF(Career_History!G67=TRUE,IF(A368&lt;Career_History!D67,0,MIN(A368,Career_History!E67)-Career_History!D67+1),0))/365.2425</f>
        <v>16.495889717105758</v>
      </c>
      <c r="BK368" s="9">
        <f>SUM(IF(Career_History!I64=TRUE,IF(A368&lt;Career_History!D64,0,MIN(A368,Career_History!E64)-Career_History!D64+1),0),IF(Career_History!I65=TRUE,IF(A368&lt;Career_History!D65,0,MIN(A368,Career_History!E65)-Career_History!D65+1),0),IF(Career_History!I66=TRUE,IF(A368&lt;Career_History!D66,0,MIN(A368,Career_History!E66)-Career_History!D66+1),0),IF(Career_History!I67=TRUE,IF(A368&lt;Career_History!D67,0,MIN(A368,Career_History!E67)-Career_History!D67+1),0))/365.2425</f>
        <v>12.495807579895549</v>
      </c>
      <c r="BL368" s="9">
        <f>SUM(IF(Career_History!H64=TRUE,IF(A368&lt;Career_History!D64,0,MIN(A368,Career_History!E64)-Career_History!D64+1),0),IF(Career_History!H65=TRUE,IF(A368&lt;Career_History!D65,0,MIN(A368,Career_History!E65)-Career_History!D65+1),0),IF(Career_History!H66=TRUE,IF(A368&lt;Career_History!D66,0,MIN(A368,Career_History!E66)-Career_History!D66+1),0),IF(Career_History!H67=TRUE,IF(A368&lt;Career_History!D67,0,MIN(A368,Career_History!E67)-Career_History!D67+1),0))/365.2425</f>
        <v>4.0000821372102093</v>
      </c>
      <c r="BM368" s="9">
        <f>SUM(IF(Career_History!G68=TRUE,IF(A368&lt;Career_History!D68,0,MIN(A368,Career_History!E68)-Career_History!D68+1),0),IF(Career_History!G69=TRUE,IF(A368&lt;Career_History!D69,0,MIN(A368,Career_History!E69)-Career_History!D69+1),0))/365.2425</f>
        <v>27.496800071185582</v>
      </c>
      <c r="BN368" s="9">
        <f>SUM(IF(Career_History!I68=TRUE,IF(A368&lt;Career_History!D68,0,MIN(A368,Career_History!E68)-Career_History!D68+1),0),IF(Career_History!I69=TRUE,IF(A368&lt;Career_History!D69,0,MIN(A368,Career_History!E69)-Career_History!D69+1),0))/365.2425</f>
        <v>0</v>
      </c>
      <c r="BO368" s="9">
        <f>SUM(IF(Career_History!H68=TRUE,IF(A368&lt;Career_History!D68,0,MIN(A368,Career_History!E68)-Career_History!D68+1),0),IF(Career_History!H69=TRUE,IF(A368&lt;Career_History!D69,0,MIN(A368,Career_History!E69)-Career_History!D69+1),0))/365.2425</f>
        <v>27.496800071185582</v>
      </c>
    </row>
    <row r="369" spans="1:67">
      <c r="A369" s="8">
        <v>45869</v>
      </c>
      <c r="B369" s="9">
        <f t="shared" si="15"/>
        <v>28.282031800789884</v>
      </c>
      <c r="C369" s="9">
        <f t="shared" si="16"/>
        <v>10.499325790399528</v>
      </c>
      <c r="D369" s="9">
        <f t="shared" si="17"/>
        <v>17.782706010390356</v>
      </c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  <c r="AJ369" s="9"/>
      <c r="AK369" s="9"/>
      <c r="AL369" s="9"/>
      <c r="AM369" s="9"/>
      <c r="AN369" s="9"/>
      <c r="AO369" s="9"/>
      <c r="AP369" s="9"/>
      <c r="AQ369" s="9"/>
      <c r="AR369" s="9"/>
      <c r="AS369" s="9"/>
      <c r="AT369" s="9"/>
      <c r="AU369" s="9"/>
      <c r="AV369" s="9"/>
      <c r="AW369" s="9"/>
      <c r="AX369" s="9"/>
      <c r="AY369" s="9"/>
      <c r="AZ369" s="9"/>
      <c r="BA369" s="9">
        <f>SUM(IF(Career_History!G53=TRUE,IF(A369&lt;Career_History!D53,0,MIN(A369,Career_History!E53)-Career_History!D53+1),0),IF(Career_History!G54=TRUE,IF(A369&lt;Career_History!D54,0,MIN(A369,Career_History!E54)-Career_History!D54+1),0),IF(Career_History!G55=TRUE,IF(A369&lt;Career_History!D55,0,MIN(A369,Career_History!E55)-Career_History!D55+1),0),IF(Career_History!G56=TRUE,IF(A369&lt;Career_History!D56,0,MIN(A369,Career_History!E56)-Career_History!D56+1),0),IF(Career_History!G57=TRUE,IF(A369&lt;Career_History!D57,0,MIN(A369,Career_History!E57)-Career_History!D57+1),0))/365.2425</f>
        <v>49.085196821289962</v>
      </c>
      <c r="BB369" s="9">
        <f>SUM(IF(Career_History!I53=TRUE,IF(A369&lt;Career_History!D53,0,MIN(A369,Career_History!E53)-Career_History!D53+1),0),IF(Career_History!I54=TRUE,IF(A369&lt;Career_History!D54,0,MIN(A369,Career_History!E54)-Career_History!D54+1),0),IF(Career_History!I55=TRUE,IF(A369&lt;Career_History!D55,0,MIN(A369,Career_History!E55)-Career_History!D55+1),0),IF(Career_History!I56=TRUE,IF(A369&lt;Career_History!D56,0,MIN(A369,Career_History!E56)-Career_History!D56+1),0),IF(Career_History!I57=TRUE,IF(A369&lt;Career_History!D57,0,MIN(A369,Career_History!E57)-Career_History!D57+1),0))/365.2425</f>
        <v>0</v>
      </c>
      <c r="BC369" s="9">
        <f>SUM(IF(Career_History!H53=TRUE,IF(A369&lt;Career_History!D53,0,MIN(A369,Career_History!E53)-Career_History!D53+1),0),IF(Career_History!H54=TRUE,IF(A369&lt;Career_History!D54,0,MIN(A369,Career_History!E54)-Career_History!D54+1),0),IF(Career_History!H55=TRUE,IF(A369&lt;Career_History!D55,0,MIN(A369,Career_History!E55)-Career_History!D55+1),0),IF(Career_History!H56=TRUE,IF(A369&lt;Career_History!D56,0,MIN(A369,Career_History!E56)-Career_History!D56+1),0),IF(Career_History!H57=TRUE,IF(A369&lt;Career_History!D57,0,MIN(A369,Career_History!E57)-Career_History!D57+1),0))/365.2425</f>
        <v>49.085196821289962</v>
      </c>
      <c r="BD369" s="9">
        <f>SUM(IF(Career_History!G58=TRUE,IF(A369&lt;Career_History!D58,0,MIN(A369,Career_History!E58)-Career_History!D58+1),0),IF(Career_History!G59=TRUE,IF(A369&lt;Career_History!D59,0,MIN(A369,Career_History!E59)-Career_History!D59+1),0),IF(Career_History!G60=TRUE,IF(A369&lt;Career_History!D60,0,MIN(A369,Career_History!E60)-Career_History!D60+1),0))/365.2425</f>
        <v>24.580929108742822</v>
      </c>
      <c r="BE369" s="9">
        <f>SUM(IF(Career_History!I58=TRUE,IF(A369&lt;Career_History!D58,0,MIN(A369,Career_History!E58)-Career_History!D58+1),0),IF(Career_History!I59=TRUE,IF(A369&lt;Career_History!D59,0,MIN(A369,Career_History!E59)-Career_History!D59+1),0),IF(Career_History!I60=TRUE,IF(A369&lt;Career_History!D60,0,MIN(A369,Career_History!E60)-Career_History!D60+1),0))/365.2425</f>
        <v>20.000410686051048</v>
      </c>
      <c r="BF369" s="9">
        <f>SUM(IF(Career_History!H58=TRUE,IF(A369&lt;Career_History!D58,0,MIN(A369,Career_History!E58)-Career_History!D58+1),0),IF(Career_History!H59=TRUE,IF(A369&lt;Career_History!D59,0,MIN(A369,Career_History!E59)-Career_History!D59+1),0),IF(Career_History!H60=TRUE,IF(A369&lt;Career_History!D60,0,MIN(A369,Career_History!E60)-Career_History!D60+1),0))/365.2425</f>
        <v>4.5805184226917728</v>
      </c>
      <c r="BG369" s="9">
        <f>SUM(IF(Career_History!G61=TRUE,IF(A369&lt;Career_History!D61,0,MIN(A369,Career_History!E61)-Career_History!D61+1),0),IF(Career_History!G62=TRUE,IF(A369&lt;Career_History!D62,0,MIN(A369,Career_History!E62)-Career_History!D62+1),0),IF(Career_History!G63=TRUE,IF(A369&lt;Career_History!D63,0,MIN(A369,Career_History!E63)-Career_History!D63+1),0))/365.2425</f>
        <v>23.581593051192016</v>
      </c>
      <c r="BH369" s="9">
        <f>SUM(IF(Career_History!I61=TRUE,IF(A369&lt;Career_History!D61,0,MIN(A369,Career_History!E61)-Career_History!D61+1),0),IF(Career_History!I62=TRUE,IF(A369&lt;Career_History!D62,0,MIN(A369,Career_History!E62)-Career_History!D62+1),0),IF(Career_History!I63=TRUE,IF(A369&lt;Career_History!D63,0,MIN(A369,Career_History!E63)-Career_History!D63+1),0))/365.2425</f>
        <v>20.000410686051048</v>
      </c>
      <c r="BI369" s="9">
        <f>SUM(IF(Career_History!H61=TRUE,IF(A369&lt;Career_History!D61,0,MIN(A369,Career_History!E61)-Career_History!D61+1),0),IF(Career_History!H62=TRUE,IF(A369&lt;Career_History!D62,0,MIN(A369,Career_History!E62)-Career_History!D62+1),0),IF(Career_History!H63=TRUE,IF(A369&lt;Career_History!D63,0,MIN(A369,Career_History!E63)-Career_History!D63+1),0))/365.2425</f>
        <v>3.5811823651409678</v>
      </c>
      <c r="BJ369" s="9">
        <f>SUM(IF(Career_History!G64=TRUE,IF(A369&lt;Career_History!D64,0,MIN(A369,Career_History!E64)-Career_History!D64+1),0),IF(Career_History!G65=TRUE,IF(A369&lt;Career_History!D65,0,MIN(A369,Career_History!E65)-Career_History!D65+1),0),IF(Career_History!G66=TRUE,IF(A369&lt;Career_History!D66,0,MIN(A369,Career_History!E66)-Career_History!D66+1),0),IF(Career_History!G67=TRUE,IF(A369&lt;Career_History!D67,0,MIN(A369,Career_History!E67)-Career_History!D67+1),0))/365.2425</f>
        <v>16.580764834322402</v>
      </c>
      <c r="BK369" s="9">
        <f>SUM(IF(Career_History!I64=TRUE,IF(A369&lt;Career_History!D64,0,MIN(A369,Career_History!E64)-Career_History!D64+1),0),IF(Career_History!I65=TRUE,IF(A369&lt;Career_History!D65,0,MIN(A369,Career_History!E65)-Career_History!D65+1),0),IF(Career_History!I66=TRUE,IF(A369&lt;Career_History!D66,0,MIN(A369,Career_History!E66)-Career_History!D66+1),0),IF(Career_History!I67=TRUE,IF(A369&lt;Career_History!D67,0,MIN(A369,Career_History!E67)-Career_History!D67+1),0))/365.2425</f>
        <v>12.495807579895549</v>
      </c>
      <c r="BL369" s="9">
        <f>SUM(IF(Career_History!H64=TRUE,IF(A369&lt;Career_History!D64,0,MIN(A369,Career_History!E64)-Career_History!D64+1),0),IF(Career_History!H65=TRUE,IF(A369&lt;Career_History!D65,0,MIN(A369,Career_History!E65)-Career_History!D65+1),0),IF(Career_History!H66=TRUE,IF(A369&lt;Career_History!D66,0,MIN(A369,Career_History!E66)-Career_History!D66+1),0),IF(Career_History!H67=TRUE,IF(A369&lt;Career_History!D67,0,MIN(A369,Career_History!E67)-Career_History!D67+1),0))/365.2425</f>
        <v>4.0849572544268531</v>
      </c>
      <c r="BM369" s="9">
        <f>SUM(IF(Career_History!G68=TRUE,IF(A369&lt;Career_History!D68,0,MIN(A369,Career_History!E68)-Career_History!D68+1),0),IF(Career_History!G69=TRUE,IF(A369&lt;Career_History!D69,0,MIN(A369,Career_History!E69)-Career_History!D69+1),0))/365.2425</f>
        <v>27.581675188402226</v>
      </c>
      <c r="BN369" s="9">
        <f>SUM(IF(Career_History!I68=TRUE,IF(A369&lt;Career_History!D68,0,MIN(A369,Career_History!E68)-Career_History!D68+1),0),IF(Career_History!I69=TRUE,IF(A369&lt;Career_History!D69,0,MIN(A369,Career_History!E69)-Career_History!D69+1),0))/365.2425</f>
        <v>0</v>
      </c>
      <c r="BO369" s="9">
        <f>SUM(IF(Career_History!H68=TRUE,IF(A369&lt;Career_History!D68,0,MIN(A369,Career_History!E68)-Career_History!D68+1),0),IF(Career_History!H69=TRUE,IF(A369&lt;Career_History!D69,0,MIN(A369,Career_History!E69)-Career_History!D69+1),0))/365.2425</f>
        <v>27.581675188402226</v>
      </c>
    </row>
    <row r="370" spans="1:67">
      <c r="A370" s="8">
        <v>45900</v>
      </c>
      <c r="B370" s="9">
        <f t="shared" si="15"/>
        <v>28.366906918006531</v>
      </c>
      <c r="C370" s="9">
        <f t="shared" si="16"/>
        <v>10.499325790399528</v>
      </c>
      <c r="D370" s="9">
        <f t="shared" si="17"/>
        <v>17.867581127607</v>
      </c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  <c r="AJ370" s="9"/>
      <c r="AK370" s="9"/>
      <c r="AL370" s="9"/>
      <c r="AM370" s="9"/>
      <c r="AN370" s="9"/>
      <c r="AO370" s="9"/>
      <c r="AP370" s="9"/>
      <c r="AQ370" s="9"/>
      <c r="AR370" s="9"/>
      <c r="AS370" s="9"/>
      <c r="AT370" s="9"/>
      <c r="AU370" s="9"/>
      <c r="AV370" s="9"/>
      <c r="AW370" s="9"/>
      <c r="AX370" s="9"/>
      <c r="AY370" s="9"/>
      <c r="AZ370" s="9"/>
      <c r="BA370" s="9">
        <f>SUM(IF(Career_History!G53=TRUE,IF(A370&lt;Career_History!D53,0,MIN(A370,Career_History!E53)-Career_History!D53+1),0),IF(Career_History!G54=TRUE,IF(A370&lt;Career_History!D54,0,MIN(A370,Career_History!E54)-Career_History!D54+1),0),IF(Career_History!G55=TRUE,IF(A370&lt;Career_History!D55,0,MIN(A370,Career_History!E55)-Career_History!D55+1),0),IF(Career_History!G56=TRUE,IF(A370&lt;Career_History!D56,0,MIN(A370,Career_History!E56)-Career_History!D56+1),0),IF(Career_History!G57=TRUE,IF(A370&lt;Career_History!D57,0,MIN(A370,Career_History!E57)-Career_History!D57+1),0))/365.2425</f>
        <v>49.170071938506609</v>
      </c>
      <c r="BB370" s="9">
        <f>SUM(IF(Career_History!I53=TRUE,IF(A370&lt;Career_History!D53,0,MIN(A370,Career_History!E53)-Career_History!D53+1),0),IF(Career_History!I54=TRUE,IF(A370&lt;Career_History!D54,0,MIN(A370,Career_History!E54)-Career_History!D54+1),0),IF(Career_History!I55=TRUE,IF(A370&lt;Career_History!D55,0,MIN(A370,Career_History!E55)-Career_History!D55+1),0),IF(Career_History!I56=TRUE,IF(A370&lt;Career_History!D56,0,MIN(A370,Career_History!E56)-Career_History!D56+1),0),IF(Career_History!I57=TRUE,IF(A370&lt;Career_History!D57,0,MIN(A370,Career_History!E57)-Career_History!D57+1),0))/365.2425</f>
        <v>0</v>
      </c>
      <c r="BC370" s="9">
        <f>SUM(IF(Career_History!H53=TRUE,IF(A370&lt;Career_History!D53,0,MIN(A370,Career_History!E53)-Career_History!D53+1),0),IF(Career_History!H54=TRUE,IF(A370&lt;Career_History!D54,0,MIN(A370,Career_History!E54)-Career_History!D54+1),0),IF(Career_History!H55=TRUE,IF(A370&lt;Career_History!D55,0,MIN(A370,Career_History!E55)-Career_History!D55+1),0),IF(Career_History!H56=TRUE,IF(A370&lt;Career_History!D56,0,MIN(A370,Career_History!E56)-Career_History!D56+1),0),IF(Career_History!H57=TRUE,IF(A370&lt;Career_History!D57,0,MIN(A370,Career_History!E57)-Career_History!D57+1),0))/365.2425</f>
        <v>49.170071938506609</v>
      </c>
      <c r="BD370" s="9">
        <f>SUM(IF(Career_History!G58=TRUE,IF(A370&lt;Career_History!D58,0,MIN(A370,Career_History!E58)-Career_History!D58+1),0),IF(Career_History!G59=TRUE,IF(A370&lt;Career_History!D59,0,MIN(A370,Career_History!E59)-Career_History!D59+1),0),IF(Career_History!G60=TRUE,IF(A370&lt;Career_History!D60,0,MIN(A370,Career_History!E60)-Career_History!D60+1),0))/365.2425</f>
        <v>24.665804225959466</v>
      </c>
      <c r="BE370" s="9">
        <f>SUM(IF(Career_History!I58=TRUE,IF(A370&lt;Career_History!D58,0,MIN(A370,Career_History!E58)-Career_History!D58+1),0),IF(Career_History!I59=TRUE,IF(A370&lt;Career_History!D59,0,MIN(A370,Career_History!E59)-Career_History!D59+1),0),IF(Career_History!I60=TRUE,IF(A370&lt;Career_History!D60,0,MIN(A370,Career_History!E60)-Career_History!D60+1),0))/365.2425</f>
        <v>20.000410686051048</v>
      </c>
      <c r="BF370" s="9">
        <f>SUM(IF(Career_History!H58=TRUE,IF(A370&lt;Career_History!D58,0,MIN(A370,Career_History!E58)-Career_History!D58+1),0),IF(Career_History!H59=TRUE,IF(A370&lt;Career_History!D59,0,MIN(A370,Career_History!E59)-Career_History!D59+1),0),IF(Career_History!H60=TRUE,IF(A370&lt;Career_History!D60,0,MIN(A370,Career_History!E60)-Career_History!D60+1),0))/365.2425</f>
        <v>4.6653935399084165</v>
      </c>
      <c r="BG370" s="9">
        <f>SUM(IF(Career_History!G61=TRUE,IF(A370&lt;Career_History!D61,0,MIN(A370,Career_History!E61)-Career_History!D61+1),0),IF(Career_History!G62=TRUE,IF(A370&lt;Career_History!D62,0,MIN(A370,Career_History!E62)-Career_History!D62+1),0),IF(Career_History!G63=TRUE,IF(A370&lt;Career_History!D63,0,MIN(A370,Career_History!E63)-Career_History!D63+1),0))/365.2425</f>
        <v>23.66646816840866</v>
      </c>
      <c r="BH370" s="9">
        <f>SUM(IF(Career_History!I61=TRUE,IF(A370&lt;Career_History!D61,0,MIN(A370,Career_History!E61)-Career_History!D61+1),0),IF(Career_History!I62=TRUE,IF(A370&lt;Career_History!D62,0,MIN(A370,Career_History!E62)-Career_History!D62+1),0),IF(Career_History!I63=TRUE,IF(A370&lt;Career_History!D63,0,MIN(A370,Career_History!E63)-Career_History!D63+1),0))/365.2425</f>
        <v>20.000410686051048</v>
      </c>
      <c r="BI370" s="9">
        <f>SUM(IF(Career_History!H61=TRUE,IF(A370&lt;Career_History!D61,0,MIN(A370,Career_History!E61)-Career_History!D61+1),0),IF(Career_History!H62=TRUE,IF(A370&lt;Career_History!D62,0,MIN(A370,Career_History!E62)-Career_History!D62+1),0),IF(Career_History!H63=TRUE,IF(A370&lt;Career_History!D63,0,MIN(A370,Career_History!E63)-Career_History!D63+1),0))/365.2425</f>
        <v>3.6660574823576115</v>
      </c>
      <c r="BJ370" s="9">
        <f>SUM(IF(Career_History!G64=TRUE,IF(A370&lt;Career_History!D64,0,MIN(A370,Career_History!E64)-Career_History!D64+1),0),IF(Career_History!G65=TRUE,IF(A370&lt;Career_History!D65,0,MIN(A370,Career_History!E65)-Career_History!D65+1),0),IF(Career_History!G66=TRUE,IF(A370&lt;Career_History!D66,0,MIN(A370,Career_History!E66)-Career_History!D66+1),0),IF(Career_History!G67=TRUE,IF(A370&lt;Career_History!D67,0,MIN(A370,Career_History!E67)-Career_History!D67+1),0))/365.2425</f>
        <v>16.665639951539045</v>
      </c>
      <c r="BK370" s="9">
        <f>SUM(IF(Career_History!I64=TRUE,IF(A370&lt;Career_History!D64,0,MIN(A370,Career_History!E64)-Career_History!D64+1),0),IF(Career_History!I65=TRUE,IF(A370&lt;Career_History!D65,0,MIN(A370,Career_History!E65)-Career_History!D65+1),0),IF(Career_History!I66=TRUE,IF(A370&lt;Career_History!D66,0,MIN(A370,Career_History!E66)-Career_History!D66+1),0),IF(Career_History!I67=TRUE,IF(A370&lt;Career_History!D67,0,MIN(A370,Career_History!E67)-Career_History!D67+1),0))/365.2425</f>
        <v>12.495807579895549</v>
      </c>
      <c r="BL370" s="9">
        <f>SUM(IF(Career_History!H64=TRUE,IF(A370&lt;Career_History!D64,0,MIN(A370,Career_History!E64)-Career_History!D64+1),0),IF(Career_History!H65=TRUE,IF(A370&lt;Career_History!D65,0,MIN(A370,Career_History!E65)-Career_History!D65+1),0),IF(Career_History!H66=TRUE,IF(A370&lt;Career_History!D66,0,MIN(A370,Career_History!E66)-Career_History!D66+1),0),IF(Career_History!H67=TRUE,IF(A370&lt;Career_History!D67,0,MIN(A370,Career_History!E67)-Career_History!D67+1),0))/365.2425</f>
        <v>4.1698323716434968</v>
      </c>
      <c r="BM370" s="9">
        <f>SUM(IF(Career_History!G68=TRUE,IF(A370&lt;Career_History!D68,0,MIN(A370,Career_History!E68)-Career_History!D68+1),0),IF(Career_History!G69=TRUE,IF(A370&lt;Career_History!D69,0,MIN(A370,Career_History!E69)-Career_History!D69+1),0))/365.2425</f>
        <v>27.66655030561887</v>
      </c>
      <c r="BN370" s="9">
        <f>SUM(IF(Career_History!I68=TRUE,IF(A370&lt;Career_History!D68,0,MIN(A370,Career_History!E68)-Career_History!D68+1),0),IF(Career_History!I69=TRUE,IF(A370&lt;Career_History!D69,0,MIN(A370,Career_History!E69)-Career_History!D69+1),0))/365.2425</f>
        <v>0</v>
      </c>
      <c r="BO370" s="9">
        <f>SUM(IF(Career_History!H68=TRUE,IF(A370&lt;Career_History!D68,0,MIN(A370,Career_History!E68)-Career_History!D68+1),0),IF(Career_History!H69=TRUE,IF(A370&lt;Career_History!D69,0,MIN(A370,Career_History!E69)-Career_History!D69+1),0))/365.2425</f>
        <v>27.66655030561887</v>
      </c>
    </row>
    <row r="371" spans="1:67">
      <c r="A371" s="8">
        <v>45930</v>
      </c>
      <c r="B371" s="9">
        <f t="shared" si="15"/>
        <v>28.449044128216183</v>
      </c>
      <c r="C371" s="9">
        <f t="shared" si="16"/>
        <v>10.499325790399528</v>
      </c>
      <c r="D371" s="9">
        <f t="shared" si="17"/>
        <v>17.949718337816655</v>
      </c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  <c r="AJ371" s="9"/>
      <c r="AK371" s="9"/>
      <c r="AL371" s="9"/>
      <c r="AM371" s="9"/>
      <c r="AN371" s="9"/>
      <c r="AO371" s="9"/>
      <c r="AP371" s="9"/>
      <c r="AQ371" s="9"/>
      <c r="AR371" s="9"/>
      <c r="AS371" s="9"/>
      <c r="AT371" s="9"/>
      <c r="AU371" s="9"/>
      <c r="AV371" s="9"/>
      <c r="AW371" s="9"/>
      <c r="AX371" s="9"/>
      <c r="AY371" s="9"/>
      <c r="AZ371" s="9"/>
      <c r="BA371" s="9">
        <f>SUM(IF(Career_History!G53=TRUE,IF(A371&lt;Career_History!D53,0,MIN(A371,Career_History!E53)-Career_History!D53+1),0),IF(Career_History!G54=TRUE,IF(A371&lt;Career_History!D54,0,MIN(A371,Career_History!E54)-Career_History!D54+1),0),IF(Career_History!G55=TRUE,IF(A371&lt;Career_History!D55,0,MIN(A371,Career_History!E55)-Career_History!D55+1),0),IF(Career_History!G56=TRUE,IF(A371&lt;Career_History!D56,0,MIN(A371,Career_History!E56)-Career_History!D56+1),0),IF(Career_History!G57=TRUE,IF(A371&lt;Career_History!D57,0,MIN(A371,Career_History!E57)-Career_History!D57+1),0))/365.2425</f>
        <v>49.252209148716261</v>
      </c>
      <c r="BB371" s="9">
        <f>SUM(IF(Career_History!I53=TRUE,IF(A371&lt;Career_History!D53,0,MIN(A371,Career_History!E53)-Career_History!D53+1),0),IF(Career_History!I54=TRUE,IF(A371&lt;Career_History!D54,0,MIN(A371,Career_History!E54)-Career_History!D54+1),0),IF(Career_History!I55=TRUE,IF(A371&lt;Career_History!D55,0,MIN(A371,Career_History!E55)-Career_History!D55+1),0),IF(Career_History!I56=TRUE,IF(A371&lt;Career_History!D56,0,MIN(A371,Career_History!E56)-Career_History!D56+1),0),IF(Career_History!I57=TRUE,IF(A371&lt;Career_History!D57,0,MIN(A371,Career_History!E57)-Career_History!D57+1),0))/365.2425</f>
        <v>0</v>
      </c>
      <c r="BC371" s="9">
        <f>SUM(IF(Career_History!H53=TRUE,IF(A371&lt;Career_History!D53,0,MIN(A371,Career_History!E53)-Career_History!D53+1),0),IF(Career_History!H54=TRUE,IF(A371&lt;Career_History!D54,0,MIN(A371,Career_History!E54)-Career_History!D54+1),0),IF(Career_History!H55=TRUE,IF(A371&lt;Career_History!D55,0,MIN(A371,Career_History!E55)-Career_History!D55+1),0),IF(Career_History!H56=TRUE,IF(A371&lt;Career_History!D56,0,MIN(A371,Career_History!E56)-Career_History!D56+1),0),IF(Career_History!H57=TRUE,IF(A371&lt;Career_History!D57,0,MIN(A371,Career_History!E57)-Career_History!D57+1),0))/365.2425</f>
        <v>49.252209148716261</v>
      </c>
      <c r="BD371" s="9">
        <f>SUM(IF(Career_History!G58=TRUE,IF(A371&lt;Career_History!D58,0,MIN(A371,Career_History!E58)-Career_History!D58+1),0),IF(Career_History!G59=TRUE,IF(A371&lt;Career_History!D59,0,MIN(A371,Career_History!E59)-Career_History!D59+1),0),IF(Career_History!G60=TRUE,IF(A371&lt;Career_History!D60,0,MIN(A371,Career_History!E60)-Career_History!D60+1),0))/365.2425</f>
        <v>24.747941436169121</v>
      </c>
      <c r="BE371" s="9">
        <f>SUM(IF(Career_History!I58=TRUE,IF(A371&lt;Career_History!D58,0,MIN(A371,Career_History!E58)-Career_History!D58+1),0),IF(Career_History!I59=TRUE,IF(A371&lt;Career_History!D59,0,MIN(A371,Career_History!E59)-Career_History!D59+1),0),IF(Career_History!I60=TRUE,IF(A371&lt;Career_History!D60,0,MIN(A371,Career_History!E60)-Career_History!D60+1),0))/365.2425</f>
        <v>20.000410686051048</v>
      </c>
      <c r="BF371" s="9">
        <f>SUM(IF(Career_History!H58=TRUE,IF(A371&lt;Career_History!D58,0,MIN(A371,Career_History!E58)-Career_History!D58+1),0),IF(Career_History!H59=TRUE,IF(A371&lt;Career_History!D59,0,MIN(A371,Career_History!E59)-Career_History!D59+1),0),IF(Career_History!H60=TRUE,IF(A371&lt;Career_History!D60,0,MIN(A371,Career_History!E60)-Career_History!D60+1),0))/365.2425</f>
        <v>4.7475307501180719</v>
      </c>
      <c r="BG371" s="9">
        <f>SUM(IF(Career_History!G61=TRUE,IF(A371&lt;Career_History!D61,0,MIN(A371,Career_History!E61)-Career_History!D61+1),0),IF(Career_History!G62=TRUE,IF(A371&lt;Career_History!D62,0,MIN(A371,Career_History!E62)-Career_History!D62+1),0),IF(Career_History!G63=TRUE,IF(A371&lt;Career_History!D63,0,MIN(A371,Career_History!E63)-Career_History!D63+1),0))/365.2425</f>
        <v>23.748605378618315</v>
      </c>
      <c r="BH371" s="9">
        <f>SUM(IF(Career_History!I61=TRUE,IF(A371&lt;Career_History!D61,0,MIN(A371,Career_History!E61)-Career_History!D61+1),0),IF(Career_History!I62=TRUE,IF(A371&lt;Career_History!D62,0,MIN(A371,Career_History!E62)-Career_History!D62+1),0),IF(Career_History!I63=TRUE,IF(A371&lt;Career_History!D63,0,MIN(A371,Career_History!E63)-Career_History!D63+1),0))/365.2425</f>
        <v>20.000410686051048</v>
      </c>
      <c r="BI371" s="9">
        <f>SUM(IF(Career_History!H61=TRUE,IF(A371&lt;Career_History!D61,0,MIN(A371,Career_History!E61)-Career_History!D61+1),0),IF(Career_History!H62=TRUE,IF(A371&lt;Career_History!D62,0,MIN(A371,Career_History!E62)-Career_History!D62+1),0),IF(Career_History!H63=TRUE,IF(A371&lt;Career_History!D63,0,MIN(A371,Career_History!E63)-Career_History!D63+1),0))/365.2425</f>
        <v>3.7481946925672669</v>
      </c>
      <c r="BJ371" s="9">
        <f>SUM(IF(Career_History!G64=TRUE,IF(A371&lt;Career_History!D64,0,MIN(A371,Career_History!E64)-Career_History!D64+1),0),IF(Career_History!G65=TRUE,IF(A371&lt;Career_History!D65,0,MIN(A371,Career_History!E65)-Career_History!D65+1),0),IF(Career_History!G66=TRUE,IF(A371&lt;Career_History!D66,0,MIN(A371,Career_History!E66)-Career_History!D66+1),0),IF(Career_History!G67=TRUE,IF(A371&lt;Career_History!D67,0,MIN(A371,Career_History!E67)-Career_History!D67+1),0))/365.2425</f>
        <v>16.747777161748701</v>
      </c>
      <c r="BK371" s="9">
        <f>SUM(IF(Career_History!I64=TRUE,IF(A371&lt;Career_History!D64,0,MIN(A371,Career_History!E64)-Career_History!D64+1),0),IF(Career_History!I65=TRUE,IF(A371&lt;Career_History!D65,0,MIN(A371,Career_History!E65)-Career_History!D65+1),0),IF(Career_History!I66=TRUE,IF(A371&lt;Career_History!D66,0,MIN(A371,Career_History!E66)-Career_History!D66+1),0),IF(Career_History!I67=TRUE,IF(A371&lt;Career_History!D67,0,MIN(A371,Career_History!E67)-Career_History!D67+1),0))/365.2425</f>
        <v>12.495807579895549</v>
      </c>
      <c r="BL371" s="9">
        <f>SUM(IF(Career_History!H64=TRUE,IF(A371&lt;Career_History!D64,0,MIN(A371,Career_History!E64)-Career_History!D64+1),0),IF(Career_History!H65=TRUE,IF(A371&lt;Career_History!D65,0,MIN(A371,Career_History!E65)-Career_History!D65+1),0),IF(Career_History!H66=TRUE,IF(A371&lt;Career_History!D66,0,MIN(A371,Career_History!E66)-Career_History!D66+1),0),IF(Career_History!H67=TRUE,IF(A371&lt;Career_History!D67,0,MIN(A371,Career_History!E67)-Career_History!D67+1),0))/365.2425</f>
        <v>4.2519695818531522</v>
      </c>
      <c r="BM371" s="9">
        <f>SUM(IF(Career_History!G68=TRUE,IF(A371&lt;Career_History!D68,0,MIN(A371,Career_History!E68)-Career_History!D68+1),0),IF(Career_History!G69=TRUE,IF(A371&lt;Career_History!D69,0,MIN(A371,Career_History!E69)-Career_History!D69+1),0))/365.2425</f>
        <v>27.748687515828525</v>
      </c>
      <c r="BN371" s="9">
        <f>SUM(IF(Career_History!I68=TRUE,IF(A371&lt;Career_History!D68,0,MIN(A371,Career_History!E68)-Career_History!D68+1),0),IF(Career_History!I69=TRUE,IF(A371&lt;Career_History!D69,0,MIN(A371,Career_History!E69)-Career_History!D69+1),0))/365.2425</f>
        <v>0</v>
      </c>
      <c r="BO371" s="9">
        <f>SUM(IF(Career_History!H68=TRUE,IF(A371&lt;Career_History!D68,0,MIN(A371,Career_History!E68)-Career_History!D68+1),0),IF(Career_History!H69=TRUE,IF(A371&lt;Career_History!D69,0,MIN(A371,Career_History!E69)-Career_History!D69+1),0))/365.2425</f>
        <v>27.748687515828525</v>
      </c>
    </row>
    <row r="372" spans="1:67">
      <c r="A372" s="8">
        <v>45961</v>
      </c>
      <c r="B372" s="9">
        <f t="shared" si="15"/>
        <v>28.533919245432827</v>
      </c>
      <c r="C372" s="9">
        <f t="shared" si="16"/>
        <v>10.499325790399528</v>
      </c>
      <c r="D372" s="9">
        <f t="shared" si="17"/>
        <v>18.034593455033296</v>
      </c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  <c r="AJ372" s="9"/>
      <c r="AK372" s="9"/>
      <c r="AL372" s="9"/>
      <c r="AM372" s="9"/>
      <c r="AN372" s="9"/>
      <c r="AO372" s="9"/>
      <c r="AP372" s="9"/>
      <c r="AQ372" s="9"/>
      <c r="AR372" s="9"/>
      <c r="AS372" s="9"/>
      <c r="AT372" s="9"/>
      <c r="AU372" s="9"/>
      <c r="AV372" s="9"/>
      <c r="AW372" s="9"/>
      <c r="AX372" s="9"/>
      <c r="AY372" s="9"/>
      <c r="AZ372" s="9"/>
      <c r="BA372" s="9">
        <f>SUM(IF(Career_History!G53=TRUE,IF(A372&lt;Career_History!D53,0,MIN(A372,Career_History!E53)-Career_History!D53+1),0),IF(Career_History!G54=TRUE,IF(A372&lt;Career_History!D54,0,MIN(A372,Career_History!E54)-Career_History!D54+1),0),IF(Career_History!G55=TRUE,IF(A372&lt;Career_History!D55,0,MIN(A372,Career_History!E55)-Career_History!D55+1),0),IF(Career_History!G56=TRUE,IF(A372&lt;Career_History!D56,0,MIN(A372,Career_History!E56)-Career_History!D56+1),0),IF(Career_History!G57=TRUE,IF(A372&lt;Career_History!D57,0,MIN(A372,Career_History!E57)-Career_History!D57+1),0))/365.2425</f>
        <v>49.337084265932909</v>
      </c>
      <c r="BB372" s="9">
        <f>SUM(IF(Career_History!I53=TRUE,IF(A372&lt;Career_History!D53,0,MIN(A372,Career_History!E53)-Career_History!D53+1),0),IF(Career_History!I54=TRUE,IF(A372&lt;Career_History!D54,0,MIN(A372,Career_History!E54)-Career_History!D54+1),0),IF(Career_History!I55=TRUE,IF(A372&lt;Career_History!D55,0,MIN(A372,Career_History!E55)-Career_History!D55+1),0),IF(Career_History!I56=TRUE,IF(A372&lt;Career_History!D56,0,MIN(A372,Career_History!E56)-Career_History!D56+1),0),IF(Career_History!I57=TRUE,IF(A372&lt;Career_History!D57,0,MIN(A372,Career_History!E57)-Career_History!D57+1),0))/365.2425</f>
        <v>0</v>
      </c>
      <c r="BC372" s="9">
        <f>SUM(IF(Career_History!H53=TRUE,IF(A372&lt;Career_History!D53,0,MIN(A372,Career_History!E53)-Career_History!D53+1),0),IF(Career_History!H54=TRUE,IF(A372&lt;Career_History!D54,0,MIN(A372,Career_History!E54)-Career_History!D54+1),0),IF(Career_History!H55=TRUE,IF(A372&lt;Career_History!D55,0,MIN(A372,Career_History!E55)-Career_History!D55+1),0),IF(Career_History!H56=TRUE,IF(A372&lt;Career_History!D56,0,MIN(A372,Career_History!E56)-Career_History!D56+1),0),IF(Career_History!H57=TRUE,IF(A372&lt;Career_History!D57,0,MIN(A372,Career_History!E57)-Career_History!D57+1),0))/365.2425</f>
        <v>49.337084265932909</v>
      </c>
      <c r="BD372" s="9">
        <f>SUM(IF(Career_History!G58=TRUE,IF(A372&lt;Career_History!D58,0,MIN(A372,Career_History!E58)-Career_History!D58+1),0),IF(Career_History!G59=TRUE,IF(A372&lt;Career_History!D59,0,MIN(A372,Career_History!E59)-Career_History!D59+1),0),IF(Career_History!G60=TRUE,IF(A372&lt;Career_History!D60,0,MIN(A372,Career_History!E60)-Career_History!D60+1),0))/365.2425</f>
        <v>24.832816553385765</v>
      </c>
      <c r="BE372" s="9">
        <f>SUM(IF(Career_History!I58=TRUE,IF(A372&lt;Career_History!D58,0,MIN(A372,Career_History!E58)-Career_History!D58+1),0),IF(Career_History!I59=TRUE,IF(A372&lt;Career_History!D59,0,MIN(A372,Career_History!E59)-Career_History!D59+1),0),IF(Career_History!I60=TRUE,IF(A372&lt;Career_History!D60,0,MIN(A372,Career_History!E60)-Career_History!D60+1),0))/365.2425</f>
        <v>20.000410686051048</v>
      </c>
      <c r="BF372" s="9">
        <f>SUM(IF(Career_History!H58=TRUE,IF(A372&lt;Career_History!D58,0,MIN(A372,Career_History!E58)-Career_History!D58+1),0),IF(Career_History!H59=TRUE,IF(A372&lt;Career_History!D59,0,MIN(A372,Career_History!E59)-Career_History!D59+1),0),IF(Career_History!H60=TRUE,IF(A372&lt;Career_History!D60,0,MIN(A372,Career_History!E60)-Career_History!D60+1),0))/365.2425</f>
        <v>4.8324058673347157</v>
      </c>
      <c r="BG372" s="9">
        <f>SUM(IF(Career_History!G61=TRUE,IF(A372&lt;Career_History!D61,0,MIN(A372,Career_History!E61)-Career_History!D61+1),0),IF(Career_History!G62=TRUE,IF(A372&lt;Career_History!D62,0,MIN(A372,Career_History!E62)-Career_History!D62+1),0),IF(Career_History!G63=TRUE,IF(A372&lt;Career_History!D63,0,MIN(A372,Career_History!E63)-Career_History!D63+1),0))/365.2425</f>
        <v>23.833480495834959</v>
      </c>
      <c r="BH372" s="9">
        <f>SUM(IF(Career_History!I61=TRUE,IF(A372&lt;Career_History!D61,0,MIN(A372,Career_History!E61)-Career_History!D61+1),0),IF(Career_History!I62=TRUE,IF(A372&lt;Career_History!D62,0,MIN(A372,Career_History!E62)-Career_History!D62+1),0),IF(Career_History!I63=TRUE,IF(A372&lt;Career_History!D63,0,MIN(A372,Career_History!E63)-Career_History!D63+1),0))/365.2425</f>
        <v>20.000410686051048</v>
      </c>
      <c r="BI372" s="9">
        <f>SUM(IF(Career_History!H61=TRUE,IF(A372&lt;Career_History!D61,0,MIN(A372,Career_History!E61)-Career_History!D61+1),0),IF(Career_History!H62=TRUE,IF(A372&lt;Career_History!D62,0,MIN(A372,Career_History!E62)-Career_History!D62+1),0),IF(Career_History!H63=TRUE,IF(A372&lt;Career_History!D63,0,MIN(A372,Career_History!E63)-Career_History!D63+1),0))/365.2425</f>
        <v>3.8330698097839107</v>
      </c>
      <c r="BJ372" s="9">
        <f>SUM(IF(Career_History!G64=TRUE,IF(A372&lt;Career_History!D64,0,MIN(A372,Career_History!E64)-Career_History!D64+1),0),IF(Career_History!G65=TRUE,IF(A372&lt;Career_History!D65,0,MIN(A372,Career_History!E65)-Career_History!D65+1),0),IF(Career_History!G66=TRUE,IF(A372&lt;Career_History!D66,0,MIN(A372,Career_History!E66)-Career_History!D66+1),0),IF(Career_History!G67=TRUE,IF(A372&lt;Career_History!D67,0,MIN(A372,Career_History!E67)-Career_History!D67+1),0))/365.2425</f>
        <v>16.832652278965345</v>
      </c>
      <c r="BK372" s="9">
        <f>SUM(IF(Career_History!I64=TRUE,IF(A372&lt;Career_History!D64,0,MIN(A372,Career_History!E64)-Career_History!D64+1),0),IF(Career_History!I65=TRUE,IF(A372&lt;Career_History!D65,0,MIN(A372,Career_History!E65)-Career_History!D65+1),0),IF(Career_History!I66=TRUE,IF(A372&lt;Career_History!D66,0,MIN(A372,Career_History!E66)-Career_History!D66+1),0),IF(Career_History!I67=TRUE,IF(A372&lt;Career_History!D67,0,MIN(A372,Career_History!E67)-Career_History!D67+1),0))/365.2425</f>
        <v>12.495807579895549</v>
      </c>
      <c r="BL372" s="9">
        <f>SUM(IF(Career_History!H64=TRUE,IF(A372&lt;Career_History!D64,0,MIN(A372,Career_History!E64)-Career_History!D64+1),0),IF(Career_History!H65=TRUE,IF(A372&lt;Career_History!D65,0,MIN(A372,Career_History!E65)-Career_History!D65+1),0),IF(Career_History!H66=TRUE,IF(A372&lt;Career_History!D66,0,MIN(A372,Career_History!E66)-Career_History!D66+1),0),IF(Career_History!H67=TRUE,IF(A372&lt;Career_History!D67,0,MIN(A372,Career_History!E67)-Career_History!D67+1),0))/365.2425</f>
        <v>4.336844699069796</v>
      </c>
      <c r="BM372" s="9">
        <f>SUM(IF(Career_History!G68=TRUE,IF(A372&lt;Career_History!D68,0,MIN(A372,Career_History!E68)-Career_History!D68+1),0),IF(Career_History!G69=TRUE,IF(A372&lt;Career_History!D69,0,MIN(A372,Career_History!E69)-Career_History!D69+1),0))/365.2425</f>
        <v>27.833562633045169</v>
      </c>
      <c r="BN372" s="9">
        <f>SUM(IF(Career_History!I68=TRUE,IF(A372&lt;Career_History!D68,0,MIN(A372,Career_History!E68)-Career_History!D68+1),0),IF(Career_History!I69=TRUE,IF(A372&lt;Career_History!D69,0,MIN(A372,Career_History!E69)-Career_History!D69+1),0))/365.2425</f>
        <v>0</v>
      </c>
      <c r="BO372" s="9">
        <f>SUM(IF(Career_History!H68=TRUE,IF(A372&lt;Career_History!D68,0,MIN(A372,Career_History!E68)-Career_History!D68+1),0),IF(Career_History!H69=TRUE,IF(A372&lt;Career_History!D69,0,MIN(A372,Career_History!E69)-Career_History!D69+1),0))/365.2425</f>
        <v>27.833562633045169</v>
      </c>
    </row>
    <row r="373" spans="1:67">
      <c r="A373" s="8">
        <v>45991</v>
      </c>
      <c r="B373" s="9">
        <f t="shared" si="15"/>
        <v>28.616056455642486</v>
      </c>
      <c r="C373" s="9">
        <f t="shared" si="16"/>
        <v>10.499325790399528</v>
      </c>
      <c r="D373" s="9">
        <f t="shared" si="17"/>
        <v>18.116730665242955</v>
      </c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  <c r="AJ373" s="9"/>
      <c r="AK373" s="9"/>
      <c r="AL373" s="9"/>
      <c r="AM373" s="9"/>
      <c r="AN373" s="9"/>
      <c r="AO373" s="9"/>
      <c r="AP373" s="9"/>
      <c r="AQ373" s="9"/>
      <c r="AR373" s="9"/>
      <c r="AS373" s="9"/>
      <c r="AT373" s="9"/>
      <c r="AU373" s="9"/>
      <c r="AV373" s="9"/>
      <c r="AW373" s="9"/>
      <c r="AX373" s="9"/>
      <c r="AY373" s="9"/>
      <c r="AZ373" s="9"/>
      <c r="BA373" s="9">
        <f>SUM(IF(Career_History!G53=TRUE,IF(A373&lt;Career_History!D53,0,MIN(A373,Career_History!E53)-Career_History!D53+1),0),IF(Career_History!G54=TRUE,IF(A373&lt;Career_History!D54,0,MIN(A373,Career_History!E54)-Career_History!D54+1),0),IF(Career_History!G55=TRUE,IF(A373&lt;Career_History!D55,0,MIN(A373,Career_History!E55)-Career_History!D55+1),0),IF(Career_History!G56=TRUE,IF(A373&lt;Career_History!D56,0,MIN(A373,Career_History!E56)-Career_History!D56+1),0),IF(Career_History!G57=TRUE,IF(A373&lt;Career_History!D57,0,MIN(A373,Career_History!E57)-Career_History!D57+1),0))/365.2425</f>
        <v>49.41922147614256</v>
      </c>
      <c r="BB373" s="9">
        <f>SUM(IF(Career_History!I53=TRUE,IF(A373&lt;Career_History!D53,0,MIN(A373,Career_History!E53)-Career_History!D53+1),0),IF(Career_History!I54=TRUE,IF(A373&lt;Career_History!D54,0,MIN(A373,Career_History!E54)-Career_History!D54+1),0),IF(Career_History!I55=TRUE,IF(A373&lt;Career_History!D55,0,MIN(A373,Career_History!E55)-Career_History!D55+1),0),IF(Career_History!I56=TRUE,IF(A373&lt;Career_History!D56,0,MIN(A373,Career_History!E56)-Career_History!D56+1),0),IF(Career_History!I57=TRUE,IF(A373&lt;Career_History!D57,0,MIN(A373,Career_History!E57)-Career_History!D57+1),0))/365.2425</f>
        <v>0</v>
      </c>
      <c r="BC373" s="9">
        <f>SUM(IF(Career_History!H53=TRUE,IF(A373&lt;Career_History!D53,0,MIN(A373,Career_History!E53)-Career_History!D53+1),0),IF(Career_History!H54=TRUE,IF(A373&lt;Career_History!D54,0,MIN(A373,Career_History!E54)-Career_History!D54+1),0),IF(Career_History!H55=TRUE,IF(A373&lt;Career_History!D55,0,MIN(A373,Career_History!E55)-Career_History!D55+1),0),IF(Career_History!H56=TRUE,IF(A373&lt;Career_History!D56,0,MIN(A373,Career_History!E56)-Career_History!D56+1),0),IF(Career_History!H57=TRUE,IF(A373&lt;Career_History!D57,0,MIN(A373,Career_History!E57)-Career_History!D57+1),0))/365.2425</f>
        <v>49.41922147614256</v>
      </c>
      <c r="BD373" s="9">
        <f>SUM(IF(Career_History!G58=TRUE,IF(A373&lt;Career_History!D58,0,MIN(A373,Career_History!E58)-Career_History!D58+1),0),IF(Career_History!G59=TRUE,IF(A373&lt;Career_History!D59,0,MIN(A373,Career_History!E59)-Career_History!D59+1),0),IF(Career_History!G60=TRUE,IF(A373&lt;Career_History!D60,0,MIN(A373,Career_History!E60)-Career_History!D60+1),0))/365.2425</f>
        <v>24.91495376359542</v>
      </c>
      <c r="BE373" s="9">
        <f>SUM(IF(Career_History!I58=TRUE,IF(A373&lt;Career_History!D58,0,MIN(A373,Career_History!E58)-Career_History!D58+1),0),IF(Career_History!I59=TRUE,IF(A373&lt;Career_History!D59,0,MIN(A373,Career_History!E59)-Career_History!D59+1),0),IF(Career_History!I60=TRUE,IF(A373&lt;Career_History!D60,0,MIN(A373,Career_History!E60)-Career_History!D60+1),0))/365.2425</f>
        <v>20.000410686051048</v>
      </c>
      <c r="BF373" s="9">
        <f>SUM(IF(Career_History!H58=TRUE,IF(A373&lt;Career_History!D58,0,MIN(A373,Career_History!E58)-Career_History!D58+1),0),IF(Career_History!H59=TRUE,IF(A373&lt;Career_History!D59,0,MIN(A373,Career_History!E59)-Career_History!D59+1),0),IF(Career_History!H60=TRUE,IF(A373&lt;Career_History!D60,0,MIN(A373,Career_History!E60)-Career_History!D60+1),0))/365.2425</f>
        <v>4.914543077544371</v>
      </c>
      <c r="BG373" s="9">
        <f>SUM(IF(Career_History!G61=TRUE,IF(A373&lt;Career_History!D61,0,MIN(A373,Career_History!E61)-Career_History!D61+1),0),IF(Career_History!G62=TRUE,IF(A373&lt;Career_History!D62,0,MIN(A373,Career_History!E62)-Career_History!D62+1),0),IF(Career_History!G63=TRUE,IF(A373&lt;Career_History!D63,0,MIN(A373,Career_History!E63)-Career_History!D63+1),0))/365.2425</f>
        <v>23.915617706044614</v>
      </c>
      <c r="BH373" s="9">
        <f>SUM(IF(Career_History!I61=TRUE,IF(A373&lt;Career_History!D61,0,MIN(A373,Career_History!E61)-Career_History!D61+1),0),IF(Career_History!I62=TRUE,IF(A373&lt;Career_History!D62,0,MIN(A373,Career_History!E62)-Career_History!D62+1),0),IF(Career_History!I63=TRUE,IF(A373&lt;Career_History!D63,0,MIN(A373,Career_History!E63)-Career_History!D63+1),0))/365.2425</f>
        <v>20.000410686051048</v>
      </c>
      <c r="BI373" s="9">
        <f>SUM(IF(Career_History!H61=TRUE,IF(A373&lt;Career_History!D61,0,MIN(A373,Career_History!E61)-Career_History!D61+1),0),IF(Career_History!H62=TRUE,IF(A373&lt;Career_History!D62,0,MIN(A373,Career_History!E62)-Career_History!D62+1),0),IF(Career_History!H63=TRUE,IF(A373&lt;Career_History!D63,0,MIN(A373,Career_History!E63)-Career_History!D63+1),0))/365.2425</f>
        <v>3.915207019993566</v>
      </c>
      <c r="BJ373" s="9">
        <f>SUM(IF(Career_History!G64=TRUE,IF(A373&lt;Career_History!D64,0,MIN(A373,Career_History!E64)-Career_History!D64+1),0),IF(Career_History!G65=TRUE,IF(A373&lt;Career_History!D65,0,MIN(A373,Career_History!E65)-Career_History!D65+1),0),IF(Career_History!G66=TRUE,IF(A373&lt;Career_History!D66,0,MIN(A373,Career_History!E66)-Career_History!D66+1),0),IF(Career_History!G67=TRUE,IF(A373&lt;Career_History!D67,0,MIN(A373,Career_History!E67)-Career_History!D67+1),0))/365.2425</f>
        <v>16.914789489175</v>
      </c>
      <c r="BK373" s="9">
        <f>SUM(IF(Career_History!I64=TRUE,IF(A373&lt;Career_History!D64,0,MIN(A373,Career_History!E64)-Career_History!D64+1),0),IF(Career_History!I65=TRUE,IF(A373&lt;Career_History!D65,0,MIN(A373,Career_History!E65)-Career_History!D65+1),0),IF(Career_History!I66=TRUE,IF(A373&lt;Career_History!D66,0,MIN(A373,Career_History!E66)-Career_History!D66+1),0),IF(Career_History!I67=TRUE,IF(A373&lt;Career_History!D67,0,MIN(A373,Career_History!E67)-Career_History!D67+1),0))/365.2425</f>
        <v>12.495807579895549</v>
      </c>
      <c r="BL373" s="9">
        <f>SUM(IF(Career_History!H64=TRUE,IF(A373&lt;Career_History!D64,0,MIN(A373,Career_History!E64)-Career_History!D64+1),0),IF(Career_History!H65=TRUE,IF(A373&lt;Career_History!D65,0,MIN(A373,Career_History!E65)-Career_History!D65+1),0),IF(Career_History!H66=TRUE,IF(A373&lt;Career_History!D66,0,MIN(A373,Career_History!E66)-Career_History!D66+1),0),IF(Career_History!H67=TRUE,IF(A373&lt;Career_History!D67,0,MIN(A373,Career_History!E67)-Career_History!D67+1),0))/365.2425</f>
        <v>4.4189819092794513</v>
      </c>
      <c r="BM373" s="9">
        <f>SUM(IF(Career_History!G68=TRUE,IF(A373&lt;Career_History!D68,0,MIN(A373,Career_History!E68)-Career_History!D68+1),0),IF(Career_History!G69=TRUE,IF(A373&lt;Career_History!D69,0,MIN(A373,Career_History!E69)-Career_History!D69+1),0))/365.2425</f>
        <v>27.915699843254824</v>
      </c>
      <c r="BN373" s="9">
        <f>SUM(IF(Career_History!I68=TRUE,IF(A373&lt;Career_History!D68,0,MIN(A373,Career_History!E68)-Career_History!D68+1),0),IF(Career_History!I69=TRUE,IF(A373&lt;Career_History!D69,0,MIN(A373,Career_History!E69)-Career_History!D69+1),0))/365.2425</f>
        <v>0</v>
      </c>
      <c r="BO373" s="9">
        <f>SUM(IF(Career_History!H68=TRUE,IF(A373&lt;Career_History!D68,0,MIN(A373,Career_History!E68)-Career_History!D68+1),0),IF(Career_History!H69=TRUE,IF(A373&lt;Career_History!D69,0,MIN(A373,Career_History!E69)-Career_History!D69+1),0))/365.2425</f>
        <v>27.915699843254824</v>
      </c>
    </row>
    <row r="374" spans="1:67">
      <c r="A374" s="8">
        <v>46022</v>
      </c>
      <c r="B374" s="9">
        <f t="shared" si="15"/>
        <v>28.700931572859126</v>
      </c>
      <c r="C374" s="9">
        <f t="shared" si="16"/>
        <v>10.499325790399528</v>
      </c>
      <c r="D374" s="9">
        <f t="shared" si="17"/>
        <v>18.201605782459598</v>
      </c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>
        <f>SUM(IF(Career_History!G53=TRUE,IF(A374&lt;Career_History!D53,0,MIN(A374,Career_History!E53)-Career_History!D53+1),0),IF(Career_History!G54=TRUE,IF(A374&lt;Career_History!D54,0,MIN(A374,Career_History!E54)-Career_History!D54+1),0),IF(Career_History!G55=TRUE,IF(A374&lt;Career_History!D55,0,MIN(A374,Career_History!E55)-Career_History!D55+1),0),IF(Career_History!G56=TRUE,IF(A374&lt;Career_History!D56,0,MIN(A374,Career_History!E56)-Career_History!D56+1),0),IF(Career_History!G57=TRUE,IF(A374&lt;Career_History!D57,0,MIN(A374,Career_History!E57)-Career_History!D57+1),0))/365.2425</f>
        <v>49.504096593359208</v>
      </c>
      <c r="BB374" s="9">
        <f>SUM(IF(Career_History!I53=TRUE,IF(A374&lt;Career_History!D53,0,MIN(A374,Career_History!E53)-Career_History!D53+1),0),IF(Career_History!I54=TRUE,IF(A374&lt;Career_History!D54,0,MIN(A374,Career_History!E54)-Career_History!D54+1),0),IF(Career_History!I55=TRUE,IF(A374&lt;Career_History!D55,0,MIN(A374,Career_History!E55)-Career_History!D55+1),0),IF(Career_History!I56=TRUE,IF(A374&lt;Career_History!D56,0,MIN(A374,Career_History!E56)-Career_History!D56+1),0),IF(Career_History!I57=TRUE,IF(A374&lt;Career_History!D57,0,MIN(A374,Career_History!E57)-Career_History!D57+1),0))/365.2425</f>
        <v>0</v>
      </c>
      <c r="BC374" s="9">
        <f>SUM(IF(Career_History!H53=TRUE,IF(A374&lt;Career_History!D53,0,MIN(A374,Career_History!E53)-Career_History!D53+1),0),IF(Career_History!H54=TRUE,IF(A374&lt;Career_History!D54,0,MIN(A374,Career_History!E54)-Career_History!D54+1),0),IF(Career_History!H55=TRUE,IF(A374&lt;Career_History!D55,0,MIN(A374,Career_History!E55)-Career_History!D55+1),0),IF(Career_History!H56=TRUE,IF(A374&lt;Career_History!D56,0,MIN(A374,Career_History!E56)-Career_History!D56+1),0),IF(Career_History!H57=TRUE,IF(A374&lt;Career_History!D57,0,MIN(A374,Career_History!E57)-Career_History!D57+1),0))/365.2425</f>
        <v>49.504096593359208</v>
      </c>
      <c r="BD374" s="9">
        <f>SUM(IF(Career_History!G58=TRUE,IF(A374&lt;Career_History!D58,0,MIN(A374,Career_History!E58)-Career_History!D58+1),0),IF(Career_History!G59=TRUE,IF(A374&lt;Career_History!D59,0,MIN(A374,Career_History!E59)-Career_History!D59+1),0),IF(Career_History!G60=TRUE,IF(A374&lt;Career_History!D60,0,MIN(A374,Career_History!E60)-Career_History!D60+1),0))/365.2425</f>
        <v>24.999828880812064</v>
      </c>
      <c r="BE374" s="9">
        <f>SUM(IF(Career_History!I58=TRUE,IF(A374&lt;Career_History!D58,0,MIN(A374,Career_History!E58)-Career_History!D58+1),0),IF(Career_History!I59=TRUE,IF(A374&lt;Career_History!D59,0,MIN(A374,Career_History!E59)-Career_History!D59+1),0),IF(Career_History!I60=TRUE,IF(A374&lt;Career_History!D60,0,MIN(A374,Career_History!E60)-Career_History!D60+1),0))/365.2425</f>
        <v>20.000410686051048</v>
      </c>
      <c r="BF374" s="9">
        <f>SUM(IF(Career_History!H58=TRUE,IF(A374&lt;Career_History!D58,0,MIN(A374,Career_History!E58)-Career_History!D58+1),0),IF(Career_History!H59=TRUE,IF(A374&lt;Career_History!D59,0,MIN(A374,Career_History!E59)-Career_History!D59+1),0),IF(Career_History!H60=TRUE,IF(A374&lt;Career_History!D60,0,MIN(A374,Career_History!E60)-Career_History!D60+1),0))/365.2425</f>
        <v>4.9994181947610148</v>
      </c>
      <c r="BG374" s="9">
        <f>SUM(IF(Career_History!G61=TRUE,IF(A374&lt;Career_History!D61,0,MIN(A374,Career_History!E61)-Career_History!D61+1),0),IF(Career_History!G62=TRUE,IF(A374&lt;Career_History!D62,0,MIN(A374,Career_History!E62)-Career_History!D62+1),0),IF(Career_History!G63=TRUE,IF(A374&lt;Career_History!D63,0,MIN(A374,Career_History!E63)-Career_History!D63+1),0))/365.2425</f>
        <v>24.000492823261258</v>
      </c>
      <c r="BH374" s="9">
        <f>SUM(IF(Career_History!I61=TRUE,IF(A374&lt;Career_History!D61,0,MIN(A374,Career_History!E61)-Career_History!D61+1),0),IF(Career_History!I62=TRUE,IF(A374&lt;Career_History!D62,0,MIN(A374,Career_History!E62)-Career_History!D62+1),0),IF(Career_History!I63=TRUE,IF(A374&lt;Career_History!D63,0,MIN(A374,Career_History!E63)-Career_History!D63+1),0))/365.2425</f>
        <v>20.000410686051048</v>
      </c>
      <c r="BI374" s="9">
        <f>SUM(IF(Career_History!H61=TRUE,IF(A374&lt;Career_History!D61,0,MIN(A374,Career_History!E61)-Career_History!D61+1),0),IF(Career_History!H62=TRUE,IF(A374&lt;Career_History!D62,0,MIN(A374,Career_History!E62)-Career_History!D62+1),0),IF(Career_History!H63=TRUE,IF(A374&lt;Career_History!D63,0,MIN(A374,Career_History!E63)-Career_History!D63+1),0))/365.2425</f>
        <v>4.0000821372102093</v>
      </c>
      <c r="BJ374" s="9">
        <f>SUM(IF(Career_History!G64=TRUE,IF(A374&lt;Career_History!D64,0,MIN(A374,Career_History!E64)-Career_History!D64+1),0),IF(Career_History!G65=TRUE,IF(A374&lt;Career_History!D65,0,MIN(A374,Career_History!E65)-Career_History!D65+1),0),IF(Career_History!G66=TRUE,IF(A374&lt;Career_History!D66,0,MIN(A374,Career_History!E66)-Career_History!D66+1),0),IF(Career_History!G67=TRUE,IF(A374&lt;Career_History!D67,0,MIN(A374,Career_History!E67)-Career_History!D67+1),0))/365.2425</f>
        <v>16.999664606391644</v>
      </c>
      <c r="BK374" s="9">
        <f>SUM(IF(Career_History!I64=TRUE,IF(A374&lt;Career_History!D64,0,MIN(A374,Career_History!E64)-Career_History!D64+1),0),IF(Career_History!I65=TRUE,IF(A374&lt;Career_History!D65,0,MIN(A374,Career_History!E65)-Career_History!D65+1),0),IF(Career_History!I66=TRUE,IF(A374&lt;Career_History!D66,0,MIN(A374,Career_History!E66)-Career_History!D66+1),0),IF(Career_History!I67=TRUE,IF(A374&lt;Career_History!D67,0,MIN(A374,Career_History!E67)-Career_History!D67+1),0))/365.2425</f>
        <v>12.495807579895549</v>
      </c>
      <c r="BL374" s="9">
        <f>SUM(IF(Career_History!H64=TRUE,IF(A374&lt;Career_History!D64,0,MIN(A374,Career_History!E64)-Career_History!D64+1),0),IF(Career_History!H65=TRUE,IF(A374&lt;Career_History!D65,0,MIN(A374,Career_History!E65)-Career_History!D65+1),0),IF(Career_History!H66=TRUE,IF(A374&lt;Career_History!D66,0,MIN(A374,Career_History!E66)-Career_History!D66+1),0),IF(Career_History!H67=TRUE,IF(A374&lt;Career_History!D67,0,MIN(A374,Career_History!E67)-Career_History!D67+1),0))/365.2425</f>
        <v>4.5038570264960951</v>
      </c>
      <c r="BM374" s="9">
        <f>SUM(IF(Career_History!G68=TRUE,IF(A374&lt;Career_History!D68,0,MIN(A374,Career_History!E68)-Career_History!D68+1),0),IF(Career_History!G69=TRUE,IF(A374&lt;Career_History!D69,0,MIN(A374,Career_History!E69)-Career_History!D69+1),0))/365.2425</f>
        <v>28.000574960471468</v>
      </c>
      <c r="BN374" s="9">
        <f>SUM(IF(Career_History!I68=TRUE,IF(A374&lt;Career_History!D68,0,MIN(A374,Career_History!E68)-Career_History!D68+1),0),IF(Career_History!I69=TRUE,IF(A374&lt;Career_History!D69,0,MIN(A374,Career_History!E69)-Career_History!D69+1),0))/365.2425</f>
        <v>0</v>
      </c>
      <c r="BO374" s="9">
        <f>SUM(IF(Career_History!H68=TRUE,IF(A374&lt;Career_History!D68,0,MIN(A374,Career_History!E68)-Career_History!D68+1),0),IF(Career_History!H69=TRUE,IF(A374&lt;Career_History!D69,0,MIN(A374,Career_History!E69)-Career_History!D69+1),0))/365.2425</f>
        <v>28.000574960471468</v>
      </c>
    </row>
    <row r="375" spans="1:67">
      <c r="A375" s="8">
        <v>46053</v>
      </c>
      <c r="B375" s="9">
        <f t="shared" si="15"/>
        <v>28.78580669007577</v>
      </c>
      <c r="C375" s="9">
        <f t="shared" si="16"/>
        <v>10.499325790399528</v>
      </c>
      <c r="D375" s="9">
        <f t="shared" si="17"/>
        <v>18.286480899676242</v>
      </c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  <c r="AJ375" s="9"/>
      <c r="AK375" s="9"/>
      <c r="AL375" s="9"/>
      <c r="AM375" s="9"/>
      <c r="AN375" s="9"/>
      <c r="AO375" s="9"/>
      <c r="AP375" s="9"/>
      <c r="AQ375" s="9"/>
      <c r="AR375" s="9"/>
      <c r="AS375" s="9"/>
      <c r="AT375" s="9"/>
      <c r="AU375" s="9"/>
      <c r="AV375" s="9"/>
      <c r="AW375" s="9"/>
      <c r="AX375" s="9"/>
      <c r="AY375" s="9"/>
      <c r="AZ375" s="9"/>
      <c r="BA375" s="9">
        <f>SUM(IF(Career_History!G53=TRUE,IF(A375&lt;Career_History!D53,0,MIN(A375,Career_History!E53)-Career_History!D53+1),0),IF(Career_History!G54=TRUE,IF(A375&lt;Career_History!D54,0,MIN(A375,Career_History!E54)-Career_History!D54+1),0),IF(Career_History!G55=TRUE,IF(A375&lt;Career_History!D55,0,MIN(A375,Career_History!E55)-Career_History!D55+1),0),IF(Career_History!G56=TRUE,IF(A375&lt;Career_History!D56,0,MIN(A375,Career_History!E56)-Career_History!D56+1),0),IF(Career_History!G57=TRUE,IF(A375&lt;Career_History!D57,0,MIN(A375,Career_History!E57)-Career_History!D57+1),0))/365.2425</f>
        <v>49.588971710575848</v>
      </c>
      <c r="BB375" s="9">
        <f>SUM(IF(Career_History!I53=TRUE,IF(A375&lt;Career_History!D53,0,MIN(A375,Career_History!E53)-Career_History!D53+1),0),IF(Career_History!I54=TRUE,IF(A375&lt;Career_History!D54,0,MIN(A375,Career_History!E54)-Career_History!D54+1),0),IF(Career_History!I55=TRUE,IF(A375&lt;Career_History!D55,0,MIN(A375,Career_History!E55)-Career_History!D55+1),0),IF(Career_History!I56=TRUE,IF(A375&lt;Career_History!D56,0,MIN(A375,Career_History!E56)-Career_History!D56+1),0),IF(Career_History!I57=TRUE,IF(A375&lt;Career_History!D57,0,MIN(A375,Career_History!E57)-Career_History!D57+1),0))/365.2425</f>
        <v>0</v>
      </c>
      <c r="BC375" s="9">
        <f>SUM(IF(Career_History!H53=TRUE,IF(A375&lt;Career_History!D53,0,MIN(A375,Career_History!E53)-Career_History!D53+1),0),IF(Career_History!H54=TRUE,IF(A375&lt;Career_History!D54,0,MIN(A375,Career_History!E54)-Career_History!D54+1),0),IF(Career_History!H55=TRUE,IF(A375&lt;Career_History!D55,0,MIN(A375,Career_History!E55)-Career_History!D55+1),0),IF(Career_History!H56=TRUE,IF(A375&lt;Career_History!D56,0,MIN(A375,Career_History!E56)-Career_History!D56+1),0),IF(Career_History!H57=TRUE,IF(A375&lt;Career_History!D57,0,MIN(A375,Career_History!E57)-Career_History!D57+1),0))/365.2425</f>
        <v>49.588971710575848</v>
      </c>
      <c r="BD375" s="9">
        <f>SUM(IF(Career_History!G58=TRUE,IF(A375&lt;Career_History!D58,0,MIN(A375,Career_History!E58)-Career_History!D58+1),0),IF(Career_History!G59=TRUE,IF(A375&lt;Career_History!D59,0,MIN(A375,Career_History!E59)-Career_History!D59+1),0),IF(Career_History!G60=TRUE,IF(A375&lt;Career_History!D60,0,MIN(A375,Career_History!E60)-Career_History!D60+1),0))/365.2425</f>
        <v>25.084703998028708</v>
      </c>
      <c r="BE375" s="9">
        <f>SUM(IF(Career_History!I58=TRUE,IF(A375&lt;Career_History!D58,0,MIN(A375,Career_History!E58)-Career_History!D58+1),0),IF(Career_History!I59=TRUE,IF(A375&lt;Career_History!D59,0,MIN(A375,Career_History!E59)-Career_History!D59+1),0),IF(Career_History!I60=TRUE,IF(A375&lt;Career_History!D60,0,MIN(A375,Career_History!E60)-Career_History!D60+1),0))/365.2425</f>
        <v>20.000410686051048</v>
      </c>
      <c r="BF375" s="9">
        <f>SUM(IF(Career_History!H58=TRUE,IF(A375&lt;Career_History!D58,0,MIN(A375,Career_History!E58)-Career_History!D58+1),0),IF(Career_History!H59=TRUE,IF(A375&lt;Career_History!D59,0,MIN(A375,Career_History!E59)-Career_History!D59+1),0),IF(Career_History!H60=TRUE,IF(A375&lt;Career_History!D60,0,MIN(A375,Career_History!E60)-Career_History!D60+1),0))/365.2425</f>
        <v>5.0842933119776585</v>
      </c>
      <c r="BG375" s="9">
        <f>SUM(IF(Career_History!G61=TRUE,IF(A375&lt;Career_History!D61,0,MIN(A375,Career_History!E61)-Career_History!D61+1),0),IF(Career_History!G62=TRUE,IF(A375&lt;Career_History!D62,0,MIN(A375,Career_History!E62)-Career_History!D62+1),0),IF(Career_History!G63=TRUE,IF(A375&lt;Career_History!D63,0,MIN(A375,Career_History!E63)-Career_History!D63+1),0))/365.2425</f>
        <v>24.085367940477902</v>
      </c>
      <c r="BH375" s="9">
        <f>SUM(IF(Career_History!I61=TRUE,IF(A375&lt;Career_History!D61,0,MIN(A375,Career_History!E61)-Career_History!D61+1),0),IF(Career_History!I62=TRUE,IF(A375&lt;Career_History!D62,0,MIN(A375,Career_History!E62)-Career_History!D62+1),0),IF(Career_History!I63=TRUE,IF(A375&lt;Career_History!D63,0,MIN(A375,Career_History!E63)-Career_History!D63+1),0))/365.2425</f>
        <v>20.000410686051048</v>
      </c>
      <c r="BI375" s="9">
        <f>SUM(IF(Career_History!H61=TRUE,IF(A375&lt;Career_History!D61,0,MIN(A375,Career_History!E61)-Career_History!D61+1),0),IF(Career_History!H62=TRUE,IF(A375&lt;Career_History!D62,0,MIN(A375,Career_History!E62)-Career_History!D62+1),0),IF(Career_History!H63=TRUE,IF(A375&lt;Career_History!D63,0,MIN(A375,Career_History!E63)-Career_History!D63+1),0))/365.2425</f>
        <v>4.0849572544268531</v>
      </c>
      <c r="BJ375" s="9">
        <f>SUM(IF(Career_History!G64=TRUE,IF(A375&lt;Career_History!D64,0,MIN(A375,Career_History!E64)-Career_History!D64+1),0),IF(Career_History!G65=TRUE,IF(A375&lt;Career_History!D65,0,MIN(A375,Career_History!E65)-Career_History!D65+1),0),IF(Career_History!G66=TRUE,IF(A375&lt;Career_History!D66,0,MIN(A375,Career_History!E66)-Career_History!D66+1),0),IF(Career_History!G67=TRUE,IF(A375&lt;Career_History!D67,0,MIN(A375,Career_History!E67)-Career_History!D67+1),0))/365.2425</f>
        <v>17.084539723608287</v>
      </c>
      <c r="BK375" s="9">
        <f>SUM(IF(Career_History!I64=TRUE,IF(A375&lt;Career_History!D64,0,MIN(A375,Career_History!E64)-Career_History!D64+1),0),IF(Career_History!I65=TRUE,IF(A375&lt;Career_History!D65,0,MIN(A375,Career_History!E65)-Career_History!D65+1),0),IF(Career_History!I66=TRUE,IF(A375&lt;Career_History!D66,0,MIN(A375,Career_History!E66)-Career_History!D66+1),0),IF(Career_History!I67=TRUE,IF(A375&lt;Career_History!D67,0,MIN(A375,Career_History!E67)-Career_History!D67+1),0))/365.2425</f>
        <v>12.495807579895549</v>
      </c>
      <c r="BL375" s="9">
        <f>SUM(IF(Career_History!H64=TRUE,IF(A375&lt;Career_History!D64,0,MIN(A375,Career_History!E64)-Career_History!D64+1),0),IF(Career_History!H65=TRUE,IF(A375&lt;Career_History!D65,0,MIN(A375,Career_History!E65)-Career_History!D65+1),0),IF(Career_History!H66=TRUE,IF(A375&lt;Career_History!D66,0,MIN(A375,Career_History!E66)-Career_History!D66+1),0),IF(Career_History!H67=TRUE,IF(A375&lt;Career_History!D67,0,MIN(A375,Career_History!E67)-Career_History!D67+1),0))/365.2425</f>
        <v>4.5887321437127389</v>
      </c>
      <c r="BM375" s="9">
        <f>SUM(IF(Career_History!G68=TRUE,IF(A375&lt;Career_History!D68,0,MIN(A375,Career_History!E68)-Career_History!D68+1),0),IF(Career_History!G69=TRUE,IF(A375&lt;Career_History!D69,0,MIN(A375,Career_History!E69)-Career_History!D69+1),0))/365.2425</f>
        <v>28.085450077688112</v>
      </c>
      <c r="BN375" s="9">
        <f>SUM(IF(Career_History!I68=TRUE,IF(A375&lt;Career_History!D68,0,MIN(A375,Career_History!E68)-Career_History!D68+1),0),IF(Career_History!I69=TRUE,IF(A375&lt;Career_History!D69,0,MIN(A375,Career_History!E69)-Career_History!D69+1),0))/365.2425</f>
        <v>0</v>
      </c>
      <c r="BO375" s="9">
        <f>SUM(IF(Career_History!H68=TRUE,IF(A375&lt;Career_History!D68,0,MIN(A375,Career_History!E68)-Career_History!D68+1),0),IF(Career_History!H69=TRUE,IF(A375&lt;Career_History!D69,0,MIN(A375,Career_History!E69)-Career_History!D69+1),0))/365.2425</f>
        <v>28.085450077688112</v>
      </c>
    </row>
    <row r="376" spans="1:67">
      <c r="A376" s="8">
        <v>46081</v>
      </c>
      <c r="B376" s="9">
        <f t="shared" si="15"/>
        <v>28.862468086271452</v>
      </c>
      <c r="C376" s="9">
        <f t="shared" si="16"/>
        <v>10.499325790399528</v>
      </c>
      <c r="D376" s="9">
        <f t="shared" si="17"/>
        <v>18.363142295871921</v>
      </c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  <c r="AJ376" s="9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>
        <f>SUM(IF(Career_History!G53=TRUE,IF(A376&lt;Career_History!D53,0,MIN(A376,Career_History!E53)-Career_History!D53+1),0),IF(Career_History!G54=TRUE,IF(A376&lt;Career_History!D54,0,MIN(A376,Career_History!E54)-Career_History!D54+1),0),IF(Career_History!G55=TRUE,IF(A376&lt;Career_History!D55,0,MIN(A376,Career_History!E55)-Career_History!D55+1),0),IF(Career_History!G56=TRUE,IF(A376&lt;Career_History!D56,0,MIN(A376,Career_History!E56)-Career_History!D56+1),0),IF(Career_History!G57=TRUE,IF(A376&lt;Career_History!D57,0,MIN(A376,Career_History!E57)-Career_History!D57+1),0))/365.2425</f>
        <v>49.66563310677153</v>
      </c>
      <c r="BB376" s="9">
        <f>SUM(IF(Career_History!I53=TRUE,IF(A376&lt;Career_History!D53,0,MIN(A376,Career_History!E53)-Career_History!D53+1),0),IF(Career_History!I54=TRUE,IF(A376&lt;Career_History!D54,0,MIN(A376,Career_History!E54)-Career_History!D54+1),0),IF(Career_History!I55=TRUE,IF(A376&lt;Career_History!D55,0,MIN(A376,Career_History!E55)-Career_History!D55+1),0),IF(Career_History!I56=TRUE,IF(A376&lt;Career_History!D56,0,MIN(A376,Career_History!E56)-Career_History!D56+1),0),IF(Career_History!I57=TRUE,IF(A376&lt;Career_History!D57,0,MIN(A376,Career_History!E57)-Career_History!D57+1),0))/365.2425</f>
        <v>0</v>
      </c>
      <c r="BC376" s="9">
        <f>SUM(IF(Career_History!H53=TRUE,IF(A376&lt;Career_History!D53,0,MIN(A376,Career_History!E53)-Career_History!D53+1),0),IF(Career_History!H54=TRUE,IF(A376&lt;Career_History!D54,0,MIN(A376,Career_History!E54)-Career_History!D54+1),0),IF(Career_History!H55=TRUE,IF(A376&lt;Career_History!D55,0,MIN(A376,Career_History!E55)-Career_History!D55+1),0),IF(Career_History!H56=TRUE,IF(A376&lt;Career_History!D56,0,MIN(A376,Career_History!E56)-Career_History!D56+1),0),IF(Career_History!H57=TRUE,IF(A376&lt;Career_History!D57,0,MIN(A376,Career_History!E57)-Career_History!D57+1),0))/365.2425</f>
        <v>49.66563310677153</v>
      </c>
      <c r="BD376" s="9">
        <f>SUM(IF(Career_History!G58=TRUE,IF(A376&lt;Career_History!D58,0,MIN(A376,Career_History!E58)-Career_History!D58+1),0),IF(Career_History!G59=TRUE,IF(A376&lt;Career_History!D59,0,MIN(A376,Career_History!E59)-Career_History!D59+1),0),IF(Career_History!G60=TRUE,IF(A376&lt;Career_History!D60,0,MIN(A376,Career_History!E60)-Career_History!D60+1),0))/365.2425</f>
        <v>25.161365394224386</v>
      </c>
      <c r="BE376" s="9">
        <f>SUM(IF(Career_History!I58=TRUE,IF(A376&lt;Career_History!D58,0,MIN(A376,Career_History!E58)-Career_History!D58+1),0),IF(Career_History!I59=TRUE,IF(A376&lt;Career_History!D59,0,MIN(A376,Career_History!E59)-Career_History!D59+1),0),IF(Career_History!I60=TRUE,IF(A376&lt;Career_History!D60,0,MIN(A376,Career_History!E60)-Career_History!D60+1),0))/365.2425</f>
        <v>20.000410686051048</v>
      </c>
      <c r="BF376" s="9">
        <f>SUM(IF(Career_History!H58=TRUE,IF(A376&lt;Career_History!D58,0,MIN(A376,Career_History!E58)-Career_History!D58+1),0),IF(Career_History!H59=TRUE,IF(A376&lt;Career_History!D59,0,MIN(A376,Career_History!E59)-Career_History!D59+1),0),IF(Career_History!H60=TRUE,IF(A376&lt;Career_History!D60,0,MIN(A376,Career_History!E60)-Career_History!D60+1),0))/365.2425</f>
        <v>5.1609547081733371</v>
      </c>
      <c r="BG376" s="9">
        <f>SUM(IF(Career_History!G61=TRUE,IF(A376&lt;Career_History!D61,0,MIN(A376,Career_History!E61)-Career_History!D61+1),0),IF(Career_History!G62=TRUE,IF(A376&lt;Career_History!D62,0,MIN(A376,Career_History!E62)-Career_History!D62+1),0),IF(Career_History!G63=TRUE,IF(A376&lt;Career_History!D63,0,MIN(A376,Career_History!E63)-Career_History!D63+1),0))/365.2425</f>
        <v>24.16202933667358</v>
      </c>
      <c r="BH376" s="9">
        <f>SUM(IF(Career_History!I61=TRUE,IF(A376&lt;Career_History!D61,0,MIN(A376,Career_History!E61)-Career_History!D61+1),0),IF(Career_History!I62=TRUE,IF(A376&lt;Career_History!D62,0,MIN(A376,Career_History!E62)-Career_History!D62+1),0),IF(Career_History!I63=TRUE,IF(A376&lt;Career_History!D63,0,MIN(A376,Career_History!E63)-Career_History!D63+1),0))/365.2425</f>
        <v>20.000410686051048</v>
      </c>
      <c r="BI376" s="9">
        <f>SUM(IF(Career_History!H61=TRUE,IF(A376&lt;Career_History!D61,0,MIN(A376,Career_History!E61)-Career_History!D61+1),0),IF(Career_History!H62=TRUE,IF(A376&lt;Career_History!D62,0,MIN(A376,Career_History!E62)-Career_History!D62+1),0),IF(Career_History!H63=TRUE,IF(A376&lt;Career_History!D63,0,MIN(A376,Career_History!E63)-Career_History!D63+1),0))/365.2425</f>
        <v>4.1616186506225317</v>
      </c>
      <c r="BJ376" s="9">
        <f>SUM(IF(Career_History!G64=TRUE,IF(A376&lt;Career_History!D64,0,MIN(A376,Career_History!E64)-Career_History!D64+1),0),IF(Career_History!G65=TRUE,IF(A376&lt;Career_History!D65,0,MIN(A376,Career_History!E65)-Career_History!D65+1),0),IF(Career_History!G66=TRUE,IF(A376&lt;Career_History!D66,0,MIN(A376,Career_History!E66)-Career_History!D66+1),0),IF(Career_History!G67=TRUE,IF(A376&lt;Career_History!D67,0,MIN(A376,Career_History!E67)-Career_History!D67+1),0))/365.2425</f>
        <v>17.161201119803966</v>
      </c>
      <c r="BK376" s="9">
        <f>SUM(IF(Career_History!I64=TRUE,IF(A376&lt;Career_History!D64,0,MIN(A376,Career_History!E64)-Career_History!D64+1),0),IF(Career_History!I65=TRUE,IF(A376&lt;Career_History!D65,0,MIN(A376,Career_History!E65)-Career_History!D65+1),0),IF(Career_History!I66=TRUE,IF(A376&lt;Career_History!D66,0,MIN(A376,Career_History!E66)-Career_History!D66+1),0),IF(Career_History!I67=TRUE,IF(A376&lt;Career_History!D67,0,MIN(A376,Career_History!E67)-Career_History!D67+1),0))/365.2425</f>
        <v>12.495807579895549</v>
      </c>
      <c r="BL376" s="9">
        <f>SUM(IF(Career_History!H64=TRUE,IF(A376&lt;Career_History!D64,0,MIN(A376,Career_History!E64)-Career_History!D64+1),0),IF(Career_History!H65=TRUE,IF(A376&lt;Career_History!D65,0,MIN(A376,Career_History!E65)-Career_History!D65+1),0),IF(Career_History!H66=TRUE,IF(A376&lt;Career_History!D66,0,MIN(A376,Career_History!E66)-Career_History!D66+1),0),IF(Career_History!H67=TRUE,IF(A376&lt;Career_History!D67,0,MIN(A376,Career_History!E67)-Career_History!D67+1),0))/365.2425</f>
        <v>4.6653935399084165</v>
      </c>
      <c r="BM376" s="9">
        <f>SUM(IF(Career_History!G68=TRUE,IF(A376&lt;Career_History!D68,0,MIN(A376,Career_History!E68)-Career_History!D68+1),0),IF(Career_History!G69=TRUE,IF(A376&lt;Career_History!D69,0,MIN(A376,Career_History!E69)-Career_History!D69+1),0))/365.2425</f>
        <v>28.16211147388379</v>
      </c>
      <c r="BN376" s="9">
        <f>SUM(IF(Career_History!I68=TRUE,IF(A376&lt;Career_History!D68,0,MIN(A376,Career_History!E68)-Career_History!D68+1),0),IF(Career_History!I69=TRUE,IF(A376&lt;Career_History!D69,0,MIN(A376,Career_History!E69)-Career_History!D69+1),0))/365.2425</f>
        <v>0</v>
      </c>
      <c r="BO376" s="9">
        <f>SUM(IF(Career_History!H68=TRUE,IF(A376&lt;Career_History!D68,0,MIN(A376,Career_History!E68)-Career_History!D68+1),0),IF(Career_History!H69=TRUE,IF(A376&lt;Career_History!D69,0,MIN(A376,Career_History!E69)-Career_History!D69+1),0))/365.2425</f>
        <v>28.16211147388379</v>
      </c>
    </row>
    <row r="377" spans="1:67">
      <c r="A377" s="8">
        <v>46112</v>
      </c>
      <c r="B377" s="9">
        <f t="shared" si="15"/>
        <v>28.947343203488096</v>
      </c>
      <c r="C377" s="9">
        <f t="shared" si="16"/>
        <v>10.499325790399528</v>
      </c>
      <c r="D377" s="9">
        <f t="shared" si="17"/>
        <v>18.448017413088564</v>
      </c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  <c r="AJ377" s="9"/>
      <c r="AK377" s="9"/>
      <c r="AL377" s="9"/>
      <c r="AM377" s="9"/>
      <c r="AN377" s="9"/>
      <c r="AO377" s="9"/>
      <c r="AP377" s="9"/>
      <c r="AQ377" s="9"/>
      <c r="AR377" s="9"/>
      <c r="AS377" s="9"/>
      <c r="AT377" s="9"/>
      <c r="AU377" s="9"/>
      <c r="AV377" s="9"/>
      <c r="AW377" s="9"/>
      <c r="AX377" s="9"/>
      <c r="AY377" s="9"/>
      <c r="AZ377" s="9"/>
      <c r="BA377" s="9">
        <f>SUM(IF(Career_History!G53=TRUE,IF(A377&lt;Career_History!D53,0,MIN(A377,Career_History!E53)-Career_History!D53+1),0),IF(Career_History!G54=TRUE,IF(A377&lt;Career_History!D54,0,MIN(A377,Career_History!E54)-Career_History!D54+1),0),IF(Career_History!G55=TRUE,IF(A377&lt;Career_History!D55,0,MIN(A377,Career_History!E55)-Career_History!D55+1),0),IF(Career_History!G56=TRUE,IF(A377&lt;Career_History!D56,0,MIN(A377,Career_History!E56)-Career_History!D56+1),0),IF(Career_History!G57=TRUE,IF(A377&lt;Career_History!D57,0,MIN(A377,Career_History!E57)-Career_History!D57+1),0))/365.2425</f>
        <v>49.75050822398817</v>
      </c>
      <c r="BB377" s="9">
        <f>SUM(IF(Career_History!I53=TRUE,IF(A377&lt;Career_History!D53,0,MIN(A377,Career_History!E53)-Career_History!D53+1),0),IF(Career_History!I54=TRUE,IF(A377&lt;Career_History!D54,0,MIN(A377,Career_History!E54)-Career_History!D54+1),0),IF(Career_History!I55=TRUE,IF(A377&lt;Career_History!D55,0,MIN(A377,Career_History!E55)-Career_History!D55+1),0),IF(Career_History!I56=TRUE,IF(A377&lt;Career_History!D56,0,MIN(A377,Career_History!E56)-Career_History!D56+1),0),IF(Career_History!I57=TRUE,IF(A377&lt;Career_History!D57,0,MIN(A377,Career_History!E57)-Career_History!D57+1),0))/365.2425</f>
        <v>0</v>
      </c>
      <c r="BC377" s="9">
        <f>SUM(IF(Career_History!H53=TRUE,IF(A377&lt;Career_History!D53,0,MIN(A377,Career_History!E53)-Career_History!D53+1),0),IF(Career_History!H54=TRUE,IF(A377&lt;Career_History!D54,0,MIN(A377,Career_History!E54)-Career_History!D54+1),0),IF(Career_History!H55=TRUE,IF(A377&lt;Career_History!D55,0,MIN(A377,Career_History!E55)-Career_History!D55+1),0),IF(Career_History!H56=TRUE,IF(A377&lt;Career_History!D56,0,MIN(A377,Career_History!E56)-Career_History!D56+1),0),IF(Career_History!H57=TRUE,IF(A377&lt;Career_History!D57,0,MIN(A377,Career_History!E57)-Career_History!D57+1),0))/365.2425</f>
        <v>49.75050822398817</v>
      </c>
      <c r="BD377" s="9">
        <f>SUM(IF(Career_History!G58=TRUE,IF(A377&lt;Career_History!D58,0,MIN(A377,Career_History!E58)-Career_History!D58+1),0),IF(Career_History!G59=TRUE,IF(A377&lt;Career_History!D59,0,MIN(A377,Career_History!E59)-Career_History!D59+1),0),IF(Career_History!G60=TRUE,IF(A377&lt;Career_History!D60,0,MIN(A377,Career_History!E60)-Career_History!D60+1),0))/365.2425</f>
        <v>25.24624051144103</v>
      </c>
      <c r="BE377" s="9">
        <f>SUM(IF(Career_History!I58=TRUE,IF(A377&lt;Career_History!D58,0,MIN(A377,Career_History!E58)-Career_History!D58+1),0),IF(Career_History!I59=TRUE,IF(A377&lt;Career_History!D59,0,MIN(A377,Career_History!E59)-Career_History!D59+1),0),IF(Career_History!I60=TRUE,IF(A377&lt;Career_History!D60,0,MIN(A377,Career_History!E60)-Career_History!D60+1),0))/365.2425</f>
        <v>20.000410686051048</v>
      </c>
      <c r="BF377" s="9">
        <f>SUM(IF(Career_History!H58=TRUE,IF(A377&lt;Career_History!D58,0,MIN(A377,Career_History!E58)-Career_History!D58+1),0),IF(Career_History!H59=TRUE,IF(A377&lt;Career_History!D59,0,MIN(A377,Career_History!E59)-Career_History!D59+1),0),IF(Career_History!H60=TRUE,IF(A377&lt;Career_History!D60,0,MIN(A377,Career_History!E60)-Career_History!D60+1),0))/365.2425</f>
        <v>5.2458298253899809</v>
      </c>
      <c r="BG377" s="9">
        <f>SUM(IF(Career_History!G61=TRUE,IF(A377&lt;Career_History!D61,0,MIN(A377,Career_History!E61)-Career_History!D61+1),0),IF(Career_History!G62=TRUE,IF(A377&lt;Career_History!D62,0,MIN(A377,Career_History!E62)-Career_History!D62+1),0),IF(Career_History!G63=TRUE,IF(A377&lt;Career_History!D63,0,MIN(A377,Career_History!E63)-Career_History!D63+1),0))/365.2425</f>
        <v>24.246904453890224</v>
      </c>
      <c r="BH377" s="9">
        <f>SUM(IF(Career_History!I61=TRUE,IF(A377&lt;Career_History!D61,0,MIN(A377,Career_History!E61)-Career_History!D61+1),0),IF(Career_History!I62=TRUE,IF(A377&lt;Career_History!D62,0,MIN(A377,Career_History!E62)-Career_History!D62+1),0),IF(Career_History!I63=TRUE,IF(A377&lt;Career_History!D63,0,MIN(A377,Career_History!E63)-Career_History!D63+1),0))/365.2425</f>
        <v>20.000410686051048</v>
      </c>
      <c r="BI377" s="9">
        <f>SUM(IF(Career_History!H61=TRUE,IF(A377&lt;Career_History!D61,0,MIN(A377,Career_History!E61)-Career_History!D61+1),0),IF(Career_History!H62=TRUE,IF(A377&lt;Career_History!D62,0,MIN(A377,Career_History!E62)-Career_History!D62+1),0),IF(Career_History!H63=TRUE,IF(A377&lt;Career_History!D63,0,MIN(A377,Career_History!E63)-Career_History!D63+1),0))/365.2425</f>
        <v>4.2464937678391754</v>
      </c>
      <c r="BJ377" s="9">
        <f>SUM(IF(Career_History!G64=TRUE,IF(A377&lt;Career_History!D64,0,MIN(A377,Career_History!E64)-Career_History!D64+1),0),IF(Career_History!G65=TRUE,IF(A377&lt;Career_History!D65,0,MIN(A377,Career_History!E65)-Career_History!D65+1),0),IF(Career_History!G66=TRUE,IF(A377&lt;Career_History!D66,0,MIN(A377,Career_History!E66)-Career_History!D66+1),0),IF(Career_History!G67=TRUE,IF(A377&lt;Career_History!D67,0,MIN(A377,Career_History!E67)-Career_History!D67+1),0))/365.2425</f>
        <v>17.24607623702061</v>
      </c>
      <c r="BK377" s="9">
        <f>SUM(IF(Career_History!I64=TRUE,IF(A377&lt;Career_History!D64,0,MIN(A377,Career_History!E64)-Career_History!D64+1),0),IF(Career_History!I65=TRUE,IF(A377&lt;Career_History!D65,0,MIN(A377,Career_History!E65)-Career_History!D65+1),0),IF(Career_History!I66=TRUE,IF(A377&lt;Career_History!D66,0,MIN(A377,Career_History!E66)-Career_History!D66+1),0),IF(Career_History!I67=TRUE,IF(A377&lt;Career_History!D67,0,MIN(A377,Career_History!E67)-Career_History!D67+1),0))/365.2425</f>
        <v>12.495807579895549</v>
      </c>
      <c r="BL377" s="9">
        <f>SUM(IF(Career_History!H64=TRUE,IF(A377&lt;Career_History!D64,0,MIN(A377,Career_History!E64)-Career_History!D64+1),0),IF(Career_History!H65=TRUE,IF(A377&lt;Career_History!D65,0,MIN(A377,Career_History!E65)-Career_History!D65+1),0),IF(Career_History!H66=TRUE,IF(A377&lt;Career_History!D66,0,MIN(A377,Career_History!E66)-Career_History!D66+1),0),IF(Career_History!H67=TRUE,IF(A377&lt;Career_History!D67,0,MIN(A377,Career_History!E67)-Career_History!D67+1),0))/365.2425</f>
        <v>4.7502686571250603</v>
      </c>
      <c r="BM377" s="9">
        <f>SUM(IF(Career_History!G68=TRUE,IF(A377&lt;Career_History!D68,0,MIN(A377,Career_History!E68)-Career_History!D68+1),0),IF(Career_History!G69=TRUE,IF(A377&lt;Career_History!D69,0,MIN(A377,Career_History!E69)-Career_History!D69+1),0))/365.2425</f>
        <v>28.246986591100434</v>
      </c>
      <c r="BN377" s="9">
        <f>SUM(IF(Career_History!I68=TRUE,IF(A377&lt;Career_History!D68,0,MIN(A377,Career_History!E68)-Career_History!D68+1),0),IF(Career_History!I69=TRUE,IF(A377&lt;Career_History!D69,0,MIN(A377,Career_History!E69)-Career_History!D69+1),0))/365.2425</f>
        <v>0</v>
      </c>
      <c r="BO377" s="9">
        <f>SUM(IF(Career_History!H68=TRUE,IF(A377&lt;Career_History!D68,0,MIN(A377,Career_History!E68)-Career_History!D68+1),0),IF(Career_History!H69=TRUE,IF(A377&lt;Career_History!D69,0,MIN(A377,Career_History!E69)-Career_History!D69+1),0))/365.2425</f>
        <v>28.246986591100434</v>
      </c>
    </row>
    <row r="378" spans="1:67">
      <c r="A378" s="8">
        <v>46142</v>
      </c>
      <c r="B378" s="9">
        <f t="shared" si="15"/>
        <v>29.029480413697751</v>
      </c>
      <c r="C378" s="9">
        <f t="shared" si="16"/>
        <v>10.499325790399528</v>
      </c>
      <c r="D378" s="9">
        <f t="shared" si="17"/>
        <v>18.53015462329822</v>
      </c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  <c r="AJ378" s="9"/>
      <c r="AK378" s="9"/>
      <c r="AL378" s="9"/>
      <c r="AM378" s="9"/>
      <c r="AN378" s="9"/>
      <c r="AO378" s="9"/>
      <c r="AP378" s="9"/>
      <c r="AQ378" s="9"/>
      <c r="AR378" s="9"/>
      <c r="AS378" s="9"/>
      <c r="AT378" s="9"/>
      <c r="AU378" s="9"/>
      <c r="AV378" s="9"/>
      <c r="AW378" s="9"/>
      <c r="AX378" s="9"/>
      <c r="AY378" s="9"/>
      <c r="AZ378" s="9"/>
      <c r="BA378" s="9">
        <f>SUM(IF(Career_History!G53=TRUE,IF(A378&lt;Career_History!D53,0,MIN(A378,Career_History!E53)-Career_History!D53+1),0),IF(Career_History!G54=TRUE,IF(A378&lt;Career_History!D54,0,MIN(A378,Career_History!E54)-Career_History!D54+1),0),IF(Career_History!G55=TRUE,IF(A378&lt;Career_History!D55,0,MIN(A378,Career_History!E55)-Career_History!D55+1),0),IF(Career_History!G56=TRUE,IF(A378&lt;Career_History!D56,0,MIN(A378,Career_History!E56)-Career_History!D56+1),0),IF(Career_History!G57=TRUE,IF(A378&lt;Career_History!D57,0,MIN(A378,Career_History!E57)-Career_History!D57+1),0))/365.2425</f>
        <v>49.832645434197829</v>
      </c>
      <c r="BB378" s="9">
        <f>SUM(IF(Career_History!I53=TRUE,IF(A378&lt;Career_History!D53,0,MIN(A378,Career_History!E53)-Career_History!D53+1),0),IF(Career_History!I54=TRUE,IF(A378&lt;Career_History!D54,0,MIN(A378,Career_History!E54)-Career_History!D54+1),0),IF(Career_History!I55=TRUE,IF(A378&lt;Career_History!D55,0,MIN(A378,Career_History!E55)-Career_History!D55+1),0),IF(Career_History!I56=TRUE,IF(A378&lt;Career_History!D56,0,MIN(A378,Career_History!E56)-Career_History!D56+1),0),IF(Career_History!I57=TRUE,IF(A378&lt;Career_History!D57,0,MIN(A378,Career_History!E57)-Career_History!D57+1),0))/365.2425</f>
        <v>0</v>
      </c>
      <c r="BC378" s="9">
        <f>SUM(IF(Career_History!H53=TRUE,IF(A378&lt;Career_History!D53,0,MIN(A378,Career_History!E53)-Career_History!D53+1),0),IF(Career_History!H54=TRUE,IF(A378&lt;Career_History!D54,0,MIN(A378,Career_History!E54)-Career_History!D54+1),0),IF(Career_History!H55=TRUE,IF(A378&lt;Career_History!D55,0,MIN(A378,Career_History!E55)-Career_History!D55+1),0),IF(Career_History!H56=TRUE,IF(A378&lt;Career_History!D56,0,MIN(A378,Career_History!E56)-Career_History!D56+1),0),IF(Career_History!H57=TRUE,IF(A378&lt;Career_History!D57,0,MIN(A378,Career_History!E57)-Career_History!D57+1),0))/365.2425</f>
        <v>49.832645434197829</v>
      </c>
      <c r="BD378" s="9">
        <f>SUM(IF(Career_History!G58=TRUE,IF(A378&lt;Career_History!D58,0,MIN(A378,Career_History!E58)-Career_History!D58+1),0),IF(Career_History!G59=TRUE,IF(A378&lt;Career_History!D59,0,MIN(A378,Career_History!E59)-Career_History!D59+1),0),IF(Career_History!G60=TRUE,IF(A378&lt;Career_History!D60,0,MIN(A378,Career_History!E60)-Career_History!D60+1),0))/365.2425</f>
        <v>25.328377721650682</v>
      </c>
      <c r="BE378" s="9">
        <f>SUM(IF(Career_History!I58=TRUE,IF(A378&lt;Career_History!D58,0,MIN(A378,Career_History!E58)-Career_History!D58+1),0),IF(Career_History!I59=TRUE,IF(A378&lt;Career_History!D59,0,MIN(A378,Career_History!E59)-Career_History!D59+1),0),IF(Career_History!I60=TRUE,IF(A378&lt;Career_History!D60,0,MIN(A378,Career_History!E60)-Career_History!D60+1),0))/365.2425</f>
        <v>20.000410686051048</v>
      </c>
      <c r="BF378" s="9">
        <f>SUM(IF(Career_History!H58=TRUE,IF(A378&lt;Career_History!D58,0,MIN(A378,Career_History!E58)-Career_History!D58+1),0),IF(Career_History!H59=TRUE,IF(A378&lt;Career_History!D59,0,MIN(A378,Career_History!E59)-Career_History!D59+1),0),IF(Career_History!H60=TRUE,IF(A378&lt;Career_History!D60,0,MIN(A378,Career_History!E60)-Career_History!D60+1),0))/365.2425</f>
        <v>5.3279670355996354</v>
      </c>
      <c r="BG378" s="9">
        <f>SUM(IF(Career_History!G61=TRUE,IF(A378&lt;Career_History!D61,0,MIN(A378,Career_History!E61)-Career_History!D61+1),0),IF(Career_History!G62=TRUE,IF(A378&lt;Career_History!D62,0,MIN(A378,Career_History!E62)-Career_History!D62+1),0),IF(Career_History!G63=TRUE,IF(A378&lt;Career_History!D63,0,MIN(A378,Career_History!E63)-Career_History!D63+1),0))/365.2425</f>
        <v>24.329041664099879</v>
      </c>
      <c r="BH378" s="9">
        <f>SUM(IF(Career_History!I61=TRUE,IF(A378&lt;Career_History!D61,0,MIN(A378,Career_History!E61)-Career_History!D61+1),0),IF(Career_History!I62=TRUE,IF(A378&lt;Career_History!D62,0,MIN(A378,Career_History!E62)-Career_History!D62+1),0),IF(Career_History!I63=TRUE,IF(A378&lt;Career_History!D63,0,MIN(A378,Career_History!E63)-Career_History!D63+1),0))/365.2425</f>
        <v>20.000410686051048</v>
      </c>
      <c r="BI378" s="9">
        <f>SUM(IF(Career_History!H61=TRUE,IF(A378&lt;Career_History!D61,0,MIN(A378,Career_History!E61)-Career_History!D61+1),0),IF(Career_History!H62=TRUE,IF(A378&lt;Career_History!D62,0,MIN(A378,Career_History!E62)-Career_History!D62+1),0),IF(Career_History!H63=TRUE,IF(A378&lt;Career_History!D63,0,MIN(A378,Career_History!E63)-Career_History!D63+1),0))/365.2425</f>
        <v>4.3286309780488308</v>
      </c>
      <c r="BJ378" s="9">
        <f>SUM(IF(Career_History!G64=TRUE,IF(A378&lt;Career_History!D64,0,MIN(A378,Career_History!E64)-Career_History!D64+1),0),IF(Career_History!G65=TRUE,IF(A378&lt;Career_History!D65,0,MIN(A378,Career_History!E65)-Career_History!D65+1),0),IF(Career_History!G66=TRUE,IF(A378&lt;Career_History!D66,0,MIN(A378,Career_History!E66)-Career_History!D66+1),0),IF(Career_History!G67=TRUE,IF(A378&lt;Career_History!D67,0,MIN(A378,Career_History!E67)-Career_History!D67+1),0))/365.2425</f>
        <v>17.328213447230265</v>
      </c>
      <c r="BK378" s="9">
        <f>SUM(IF(Career_History!I64=TRUE,IF(A378&lt;Career_History!D64,0,MIN(A378,Career_History!E64)-Career_History!D64+1),0),IF(Career_History!I65=TRUE,IF(A378&lt;Career_History!D65,0,MIN(A378,Career_History!E65)-Career_History!D65+1),0),IF(Career_History!I66=TRUE,IF(A378&lt;Career_History!D66,0,MIN(A378,Career_History!E66)-Career_History!D66+1),0),IF(Career_History!I67=TRUE,IF(A378&lt;Career_History!D67,0,MIN(A378,Career_History!E67)-Career_History!D67+1),0))/365.2425</f>
        <v>12.495807579895549</v>
      </c>
      <c r="BL378" s="9">
        <f>SUM(IF(Career_History!H64=TRUE,IF(A378&lt;Career_History!D64,0,MIN(A378,Career_History!E64)-Career_History!D64+1),0),IF(Career_History!H65=TRUE,IF(A378&lt;Career_History!D65,0,MIN(A378,Career_History!E65)-Career_History!D65+1),0),IF(Career_History!H66=TRUE,IF(A378&lt;Career_History!D66,0,MIN(A378,Career_History!E66)-Career_History!D66+1),0),IF(Career_History!H67=TRUE,IF(A378&lt;Career_History!D67,0,MIN(A378,Career_History!E67)-Career_History!D67+1),0))/365.2425</f>
        <v>4.8324058673347157</v>
      </c>
      <c r="BM378" s="9">
        <f>SUM(IF(Career_History!G68=TRUE,IF(A378&lt;Career_History!D68,0,MIN(A378,Career_History!E68)-Career_History!D68+1),0),IF(Career_History!G69=TRUE,IF(A378&lt;Career_History!D69,0,MIN(A378,Career_History!E69)-Career_History!D69+1),0))/365.2425</f>
        <v>28.329123801310089</v>
      </c>
      <c r="BN378" s="9">
        <f>SUM(IF(Career_History!I68=TRUE,IF(A378&lt;Career_History!D68,0,MIN(A378,Career_History!E68)-Career_History!D68+1),0),IF(Career_History!I69=TRUE,IF(A378&lt;Career_History!D69,0,MIN(A378,Career_History!E69)-Career_History!D69+1),0))/365.2425</f>
        <v>0</v>
      </c>
      <c r="BO378" s="9">
        <f>SUM(IF(Career_History!H68=TRUE,IF(A378&lt;Career_History!D68,0,MIN(A378,Career_History!E68)-Career_History!D68+1),0),IF(Career_History!H69=TRUE,IF(A378&lt;Career_History!D69,0,MIN(A378,Career_History!E69)-Career_History!D69+1),0))/365.2425</f>
        <v>28.329123801310089</v>
      </c>
    </row>
    <row r="379" spans="1:67">
      <c r="A379" s="8">
        <v>46173</v>
      </c>
      <c r="B379" s="9">
        <f t="shared" si="15"/>
        <v>29.114355530914388</v>
      </c>
      <c r="C379" s="9">
        <f t="shared" si="16"/>
        <v>10.499325790399528</v>
      </c>
      <c r="D379" s="9">
        <f t="shared" si="17"/>
        <v>18.615029740514863</v>
      </c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  <c r="AJ379" s="9"/>
      <c r="AK379" s="9"/>
      <c r="AL379" s="9"/>
      <c r="AM379" s="9"/>
      <c r="AN379" s="9"/>
      <c r="AO379" s="9"/>
      <c r="AP379" s="9"/>
      <c r="AQ379" s="9"/>
      <c r="AR379" s="9"/>
      <c r="AS379" s="9"/>
      <c r="AT379" s="9"/>
      <c r="AU379" s="9"/>
      <c r="AV379" s="9"/>
      <c r="AW379" s="9"/>
      <c r="AX379" s="9"/>
      <c r="AY379" s="9"/>
      <c r="AZ379" s="9"/>
      <c r="BA379" s="9">
        <f>SUM(IF(Career_History!G53=TRUE,IF(A379&lt;Career_History!D53,0,MIN(A379,Career_History!E53)-Career_History!D53+1),0),IF(Career_History!G54=TRUE,IF(A379&lt;Career_History!D54,0,MIN(A379,Career_History!E54)-Career_History!D54+1),0),IF(Career_History!G55=TRUE,IF(A379&lt;Career_History!D55,0,MIN(A379,Career_History!E55)-Career_History!D55+1),0),IF(Career_History!G56=TRUE,IF(A379&lt;Career_History!D56,0,MIN(A379,Career_History!E56)-Career_History!D56+1),0),IF(Career_History!G57=TRUE,IF(A379&lt;Career_History!D57,0,MIN(A379,Career_History!E57)-Career_History!D57+1),0))/365.2425</f>
        <v>49.917520551414469</v>
      </c>
      <c r="BB379" s="9">
        <f>SUM(IF(Career_History!I53=TRUE,IF(A379&lt;Career_History!D53,0,MIN(A379,Career_History!E53)-Career_History!D53+1),0),IF(Career_History!I54=TRUE,IF(A379&lt;Career_History!D54,0,MIN(A379,Career_History!E54)-Career_History!D54+1),0),IF(Career_History!I55=TRUE,IF(A379&lt;Career_History!D55,0,MIN(A379,Career_History!E55)-Career_History!D55+1),0),IF(Career_History!I56=TRUE,IF(A379&lt;Career_History!D56,0,MIN(A379,Career_History!E56)-Career_History!D56+1),0),IF(Career_History!I57=TRUE,IF(A379&lt;Career_History!D57,0,MIN(A379,Career_History!E57)-Career_History!D57+1),0))/365.2425</f>
        <v>0</v>
      </c>
      <c r="BC379" s="9">
        <f>SUM(IF(Career_History!H53=TRUE,IF(A379&lt;Career_History!D53,0,MIN(A379,Career_History!E53)-Career_History!D53+1),0),IF(Career_History!H54=TRUE,IF(A379&lt;Career_History!D54,0,MIN(A379,Career_History!E54)-Career_History!D54+1),0),IF(Career_History!H55=TRUE,IF(A379&lt;Career_History!D55,0,MIN(A379,Career_History!E55)-Career_History!D55+1),0),IF(Career_History!H56=TRUE,IF(A379&lt;Career_History!D56,0,MIN(A379,Career_History!E56)-Career_History!D56+1),0),IF(Career_History!H57=TRUE,IF(A379&lt;Career_History!D57,0,MIN(A379,Career_History!E57)-Career_History!D57+1),0))/365.2425</f>
        <v>49.917520551414469</v>
      </c>
      <c r="BD379" s="9">
        <f>SUM(IF(Career_History!G58=TRUE,IF(A379&lt;Career_History!D58,0,MIN(A379,Career_History!E58)-Career_History!D58+1),0),IF(Career_History!G59=TRUE,IF(A379&lt;Career_History!D59,0,MIN(A379,Career_History!E59)-Career_History!D59+1),0),IF(Career_History!G60=TRUE,IF(A379&lt;Career_History!D60,0,MIN(A379,Career_History!E60)-Career_History!D60+1),0))/365.2425</f>
        <v>25.413252838867326</v>
      </c>
      <c r="BE379" s="9">
        <f>SUM(IF(Career_History!I58=TRUE,IF(A379&lt;Career_History!D58,0,MIN(A379,Career_History!E58)-Career_History!D58+1),0),IF(Career_History!I59=TRUE,IF(A379&lt;Career_History!D59,0,MIN(A379,Career_History!E59)-Career_History!D59+1),0),IF(Career_History!I60=TRUE,IF(A379&lt;Career_History!D60,0,MIN(A379,Career_History!E60)-Career_History!D60+1),0))/365.2425</f>
        <v>20.000410686051048</v>
      </c>
      <c r="BF379" s="9">
        <f>SUM(IF(Career_History!H58=TRUE,IF(A379&lt;Career_History!D58,0,MIN(A379,Career_History!E58)-Career_History!D58+1),0),IF(Career_History!H59=TRUE,IF(A379&lt;Career_History!D59,0,MIN(A379,Career_History!E59)-Career_History!D59+1),0),IF(Career_History!H60=TRUE,IF(A379&lt;Career_History!D60,0,MIN(A379,Career_History!E60)-Career_History!D60+1),0))/365.2425</f>
        <v>5.4128421528162791</v>
      </c>
      <c r="BG379" s="9">
        <f>SUM(IF(Career_History!G61=TRUE,IF(A379&lt;Career_History!D61,0,MIN(A379,Career_History!E61)-Career_History!D61+1),0),IF(Career_History!G62=TRUE,IF(A379&lt;Career_History!D62,0,MIN(A379,Career_History!E62)-Career_History!D62+1),0),IF(Career_History!G63=TRUE,IF(A379&lt;Career_History!D63,0,MIN(A379,Career_History!E63)-Career_History!D63+1),0))/365.2425</f>
        <v>24.413916781316523</v>
      </c>
      <c r="BH379" s="9">
        <f>SUM(IF(Career_History!I61=TRUE,IF(A379&lt;Career_History!D61,0,MIN(A379,Career_History!E61)-Career_History!D61+1),0),IF(Career_History!I62=TRUE,IF(A379&lt;Career_History!D62,0,MIN(A379,Career_History!E62)-Career_History!D62+1),0),IF(Career_History!I63=TRUE,IF(A379&lt;Career_History!D63,0,MIN(A379,Career_History!E63)-Career_History!D63+1),0))/365.2425</f>
        <v>20.000410686051048</v>
      </c>
      <c r="BI379" s="9">
        <f>SUM(IF(Career_History!H61=TRUE,IF(A379&lt;Career_History!D61,0,MIN(A379,Career_History!E61)-Career_History!D61+1),0),IF(Career_History!H62=TRUE,IF(A379&lt;Career_History!D62,0,MIN(A379,Career_History!E62)-Career_History!D62+1),0),IF(Career_History!H63=TRUE,IF(A379&lt;Career_History!D63,0,MIN(A379,Career_History!E63)-Career_History!D63+1),0))/365.2425</f>
        <v>4.4135060952654745</v>
      </c>
      <c r="BJ379" s="9">
        <f>SUM(IF(Career_History!G64=TRUE,IF(A379&lt;Career_History!D64,0,MIN(A379,Career_History!E64)-Career_History!D64+1),0),IF(Career_History!G65=TRUE,IF(A379&lt;Career_History!D65,0,MIN(A379,Career_History!E65)-Career_History!D65+1),0),IF(Career_History!G66=TRUE,IF(A379&lt;Career_History!D66,0,MIN(A379,Career_History!E66)-Career_History!D66+1),0),IF(Career_History!G67=TRUE,IF(A379&lt;Career_History!D67,0,MIN(A379,Career_History!E67)-Career_History!D67+1),0))/365.2425</f>
        <v>17.413088564446909</v>
      </c>
      <c r="BK379" s="9">
        <f>SUM(IF(Career_History!I64=TRUE,IF(A379&lt;Career_History!D64,0,MIN(A379,Career_History!E64)-Career_History!D64+1),0),IF(Career_History!I65=TRUE,IF(A379&lt;Career_History!D65,0,MIN(A379,Career_History!E65)-Career_History!D65+1),0),IF(Career_History!I66=TRUE,IF(A379&lt;Career_History!D66,0,MIN(A379,Career_History!E66)-Career_History!D66+1),0),IF(Career_History!I67=TRUE,IF(A379&lt;Career_History!D67,0,MIN(A379,Career_History!E67)-Career_History!D67+1),0))/365.2425</f>
        <v>12.495807579895549</v>
      </c>
      <c r="BL379" s="9">
        <f>SUM(IF(Career_History!H64=TRUE,IF(A379&lt;Career_History!D64,0,MIN(A379,Career_History!E64)-Career_History!D64+1),0),IF(Career_History!H65=TRUE,IF(A379&lt;Career_History!D65,0,MIN(A379,Career_History!E65)-Career_History!D65+1),0),IF(Career_History!H66=TRUE,IF(A379&lt;Career_History!D66,0,MIN(A379,Career_History!E66)-Career_History!D66+1),0),IF(Career_History!H67=TRUE,IF(A379&lt;Career_History!D67,0,MIN(A379,Career_History!E67)-Career_History!D67+1),0))/365.2425</f>
        <v>4.9172809845513594</v>
      </c>
      <c r="BM379" s="9">
        <f>SUM(IF(Career_History!G68=TRUE,IF(A379&lt;Career_History!D68,0,MIN(A379,Career_History!E68)-Career_History!D68+1),0),IF(Career_History!G69=TRUE,IF(A379&lt;Career_History!D69,0,MIN(A379,Career_History!E69)-Career_History!D69+1),0))/365.2425</f>
        <v>28.413998918526733</v>
      </c>
      <c r="BN379" s="9">
        <f>SUM(IF(Career_History!I68=TRUE,IF(A379&lt;Career_History!D68,0,MIN(A379,Career_History!E68)-Career_History!D68+1),0),IF(Career_History!I69=TRUE,IF(A379&lt;Career_History!D69,0,MIN(A379,Career_History!E69)-Career_History!D69+1),0))/365.2425</f>
        <v>0</v>
      </c>
      <c r="BO379" s="9">
        <f>SUM(IF(Career_History!H68=TRUE,IF(A379&lt;Career_History!D68,0,MIN(A379,Career_History!E68)-Career_History!D68+1),0),IF(Career_History!H69=TRUE,IF(A379&lt;Career_History!D69,0,MIN(A379,Career_History!E69)-Career_History!D69+1),0))/365.2425</f>
        <v>28.413998918526733</v>
      </c>
    </row>
    <row r="380" spans="1:67">
      <c r="A380" s="8">
        <v>46203</v>
      </c>
      <c r="B380" s="9">
        <f t="shared" si="15"/>
        <v>29.196492741124047</v>
      </c>
      <c r="C380" s="9">
        <f t="shared" si="16"/>
        <v>10.499325790399528</v>
      </c>
      <c r="D380" s="9">
        <f t="shared" si="17"/>
        <v>18.697166950724515</v>
      </c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  <c r="AJ380" s="9"/>
      <c r="AK380" s="9"/>
      <c r="AL380" s="9"/>
      <c r="AM380" s="9"/>
      <c r="AN380" s="9"/>
      <c r="AO380" s="9"/>
      <c r="AP380" s="9"/>
      <c r="AQ380" s="9"/>
      <c r="AR380" s="9"/>
      <c r="AS380" s="9"/>
      <c r="AT380" s="9"/>
      <c r="AU380" s="9"/>
      <c r="AV380" s="9"/>
      <c r="AW380" s="9"/>
      <c r="AX380" s="9"/>
      <c r="AY380" s="9"/>
      <c r="AZ380" s="9"/>
      <c r="BA380" s="9">
        <f>SUM(IF(Career_History!G53=TRUE,IF(A380&lt;Career_History!D53,0,MIN(A380,Career_History!E53)-Career_History!D53+1),0),IF(Career_History!G54=TRUE,IF(A380&lt;Career_History!D54,0,MIN(A380,Career_History!E54)-Career_History!D54+1),0),IF(Career_History!G55=TRUE,IF(A380&lt;Career_History!D55,0,MIN(A380,Career_History!E55)-Career_History!D55+1),0),IF(Career_History!G56=TRUE,IF(A380&lt;Career_History!D56,0,MIN(A380,Career_History!E56)-Career_History!D56+1),0),IF(Career_History!G57=TRUE,IF(A380&lt;Career_History!D57,0,MIN(A380,Career_History!E57)-Career_History!D57+1),0))/365.2425</f>
        <v>49.999657761624128</v>
      </c>
      <c r="BB380" s="9">
        <f>SUM(IF(Career_History!I53=TRUE,IF(A380&lt;Career_History!D53,0,MIN(A380,Career_History!E53)-Career_History!D53+1),0),IF(Career_History!I54=TRUE,IF(A380&lt;Career_History!D54,0,MIN(A380,Career_History!E54)-Career_History!D54+1),0),IF(Career_History!I55=TRUE,IF(A380&lt;Career_History!D55,0,MIN(A380,Career_History!E55)-Career_History!D55+1),0),IF(Career_History!I56=TRUE,IF(A380&lt;Career_History!D56,0,MIN(A380,Career_History!E56)-Career_History!D56+1),0),IF(Career_History!I57=TRUE,IF(A380&lt;Career_History!D57,0,MIN(A380,Career_History!E57)-Career_History!D57+1),0))/365.2425</f>
        <v>0</v>
      </c>
      <c r="BC380" s="9">
        <f>SUM(IF(Career_History!H53=TRUE,IF(A380&lt;Career_History!D53,0,MIN(A380,Career_History!E53)-Career_History!D53+1),0),IF(Career_History!H54=TRUE,IF(A380&lt;Career_History!D54,0,MIN(A380,Career_History!E54)-Career_History!D54+1),0),IF(Career_History!H55=TRUE,IF(A380&lt;Career_History!D55,0,MIN(A380,Career_History!E55)-Career_History!D55+1),0),IF(Career_History!H56=TRUE,IF(A380&lt;Career_History!D56,0,MIN(A380,Career_History!E56)-Career_History!D56+1),0),IF(Career_History!H57=TRUE,IF(A380&lt;Career_History!D57,0,MIN(A380,Career_History!E57)-Career_History!D57+1),0))/365.2425</f>
        <v>49.999657761624128</v>
      </c>
      <c r="BD380" s="9">
        <f>SUM(IF(Career_History!G58=TRUE,IF(A380&lt;Career_History!D58,0,MIN(A380,Career_History!E58)-Career_History!D58+1),0),IF(Career_History!G59=TRUE,IF(A380&lt;Career_History!D59,0,MIN(A380,Career_History!E59)-Career_History!D59+1),0),IF(Career_History!G60=TRUE,IF(A380&lt;Career_History!D60,0,MIN(A380,Career_History!E60)-Career_History!D60+1),0))/365.2425</f>
        <v>25.495390049076981</v>
      </c>
      <c r="BE380" s="9">
        <f>SUM(IF(Career_History!I58=TRUE,IF(A380&lt;Career_History!D58,0,MIN(A380,Career_History!E58)-Career_History!D58+1),0),IF(Career_History!I59=TRUE,IF(A380&lt;Career_History!D59,0,MIN(A380,Career_History!E59)-Career_History!D59+1),0),IF(Career_History!I60=TRUE,IF(A380&lt;Career_History!D60,0,MIN(A380,Career_History!E60)-Career_History!D60+1),0))/365.2425</f>
        <v>20.000410686051048</v>
      </c>
      <c r="BF380" s="9">
        <f>SUM(IF(Career_History!H58=TRUE,IF(A380&lt;Career_History!D58,0,MIN(A380,Career_History!E58)-Career_History!D58+1),0),IF(Career_History!H59=TRUE,IF(A380&lt;Career_History!D59,0,MIN(A380,Career_History!E59)-Career_History!D59+1),0),IF(Career_History!H60=TRUE,IF(A380&lt;Career_History!D60,0,MIN(A380,Career_History!E60)-Career_History!D60+1),0))/365.2425</f>
        <v>5.4949793630259345</v>
      </c>
      <c r="BG380" s="9">
        <f>SUM(IF(Career_History!G61=TRUE,IF(A380&lt;Career_History!D61,0,MIN(A380,Career_History!E61)-Career_History!D61+1),0),IF(Career_History!G62=TRUE,IF(A380&lt;Career_History!D62,0,MIN(A380,Career_History!E62)-Career_History!D62+1),0),IF(Career_History!G63=TRUE,IF(A380&lt;Career_History!D63,0,MIN(A380,Career_History!E63)-Career_History!D63+1),0))/365.2425</f>
        <v>24.496053991526178</v>
      </c>
      <c r="BH380" s="9">
        <f>SUM(IF(Career_History!I61=TRUE,IF(A380&lt;Career_History!D61,0,MIN(A380,Career_History!E61)-Career_History!D61+1),0),IF(Career_History!I62=TRUE,IF(A380&lt;Career_History!D62,0,MIN(A380,Career_History!E62)-Career_History!D62+1),0),IF(Career_History!I63=TRUE,IF(A380&lt;Career_History!D63,0,MIN(A380,Career_History!E63)-Career_History!D63+1),0))/365.2425</f>
        <v>20.000410686051048</v>
      </c>
      <c r="BI380" s="9">
        <f>SUM(IF(Career_History!H61=TRUE,IF(A380&lt;Career_History!D61,0,MIN(A380,Career_History!E61)-Career_History!D61+1),0),IF(Career_History!H62=TRUE,IF(A380&lt;Career_History!D62,0,MIN(A380,Career_History!E62)-Career_History!D62+1),0),IF(Career_History!H63=TRUE,IF(A380&lt;Career_History!D63,0,MIN(A380,Career_History!E63)-Career_History!D63+1),0))/365.2425</f>
        <v>4.495643305475129</v>
      </c>
      <c r="BJ380" s="9">
        <f>SUM(IF(Career_History!G64=TRUE,IF(A380&lt;Career_History!D64,0,MIN(A380,Career_History!E64)-Career_History!D64+1),0),IF(Career_History!G65=TRUE,IF(A380&lt;Career_History!D65,0,MIN(A380,Career_History!E65)-Career_History!D65+1),0),IF(Career_History!G66=TRUE,IF(A380&lt;Career_History!D66,0,MIN(A380,Career_History!E66)-Career_History!D66+1),0),IF(Career_History!G67=TRUE,IF(A380&lt;Career_History!D67,0,MIN(A380,Career_History!E67)-Career_History!D67+1),0))/365.2425</f>
        <v>17.495225774656564</v>
      </c>
      <c r="BK380" s="9">
        <f>SUM(IF(Career_History!I64=TRUE,IF(A380&lt;Career_History!D64,0,MIN(A380,Career_History!E64)-Career_History!D64+1),0),IF(Career_History!I65=TRUE,IF(A380&lt;Career_History!D65,0,MIN(A380,Career_History!E65)-Career_History!D65+1),0),IF(Career_History!I66=TRUE,IF(A380&lt;Career_History!D66,0,MIN(A380,Career_History!E66)-Career_History!D66+1),0),IF(Career_History!I67=TRUE,IF(A380&lt;Career_History!D67,0,MIN(A380,Career_History!E67)-Career_History!D67+1),0))/365.2425</f>
        <v>12.495807579895549</v>
      </c>
      <c r="BL380" s="9">
        <f>SUM(IF(Career_History!H64=TRUE,IF(A380&lt;Career_History!D64,0,MIN(A380,Career_History!E64)-Career_History!D64+1),0),IF(Career_History!H65=TRUE,IF(A380&lt;Career_History!D65,0,MIN(A380,Career_History!E65)-Career_History!D65+1),0),IF(Career_History!H66=TRUE,IF(A380&lt;Career_History!D66,0,MIN(A380,Career_History!E66)-Career_History!D66+1),0),IF(Career_History!H67=TRUE,IF(A380&lt;Career_History!D67,0,MIN(A380,Career_History!E67)-Career_History!D67+1),0))/365.2425</f>
        <v>4.9994181947610148</v>
      </c>
      <c r="BM380" s="9">
        <f>SUM(IF(Career_History!G68=TRUE,IF(A380&lt;Career_History!D68,0,MIN(A380,Career_History!E68)-Career_History!D68+1),0),IF(Career_History!G69=TRUE,IF(A380&lt;Career_History!D69,0,MIN(A380,Career_History!E69)-Career_History!D69+1),0))/365.2425</f>
        <v>28.496136128736389</v>
      </c>
      <c r="BN380" s="9">
        <f>SUM(IF(Career_History!I68=TRUE,IF(A380&lt;Career_History!D68,0,MIN(A380,Career_History!E68)-Career_History!D68+1),0),IF(Career_History!I69=TRUE,IF(A380&lt;Career_History!D69,0,MIN(A380,Career_History!E69)-Career_History!D69+1),0))/365.2425</f>
        <v>0</v>
      </c>
      <c r="BO380" s="9">
        <f>SUM(IF(Career_History!H68=TRUE,IF(A380&lt;Career_History!D68,0,MIN(A380,Career_History!E68)-Career_History!D68+1),0),IF(Career_History!H69=TRUE,IF(A380&lt;Career_History!D69,0,MIN(A380,Career_History!E69)-Career_History!D69+1),0))/365.2425</f>
        <v>28.496136128736389</v>
      </c>
    </row>
  </sheetData>
  <mergeCells count="1">
    <mergeCell ref="A1:BO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M46"/>
  <sheetViews>
    <sheetView showGridLines="0" workbookViewId="0">
      <selection sqref="A1:K1"/>
    </sheetView>
  </sheetViews>
  <sheetFormatPr defaultRowHeight="13.8"/>
  <cols>
    <col min="1" max="1" width="48.69921875" customWidth="1"/>
    <col min="2" max="2" width="32.69921875" customWidth="1"/>
    <col min="3" max="5" width="14.69921875" customWidth="1"/>
    <col min="6" max="6" width="3.69921875" customWidth="1"/>
    <col min="7" max="7" width="48.69921875" customWidth="1"/>
    <col min="8" max="8" width="18.69921875" customWidth="1"/>
    <col min="9" max="11" width="14.69921875" customWidth="1"/>
  </cols>
  <sheetData>
    <row r="1" spans="1:39" ht="25.05" customHeight="1">
      <c r="A1" s="55" t="s">
        <v>394</v>
      </c>
      <c r="B1" s="55"/>
      <c r="C1" s="55"/>
      <c r="D1" s="55"/>
      <c r="E1" s="55"/>
      <c r="F1" s="55"/>
      <c r="G1" s="55"/>
      <c r="H1" s="55"/>
      <c r="I1" s="55"/>
      <c r="J1" s="55"/>
      <c r="K1" s="55"/>
    </row>
    <row r="2" spans="1:39" ht="25.05" customHeight="1">
      <c r="A2" s="56" t="s">
        <v>395</v>
      </c>
      <c r="B2" s="56"/>
      <c r="C2" s="56"/>
      <c r="D2" s="56"/>
      <c r="E2" s="56"/>
      <c r="F2" s="56"/>
      <c r="G2" s="56"/>
      <c r="H2" s="56"/>
      <c r="I2" s="56"/>
      <c r="J2" s="56"/>
      <c r="K2" s="56"/>
    </row>
    <row r="3" spans="1:39" ht="25.05" customHeight="1">
      <c r="A3" t="s">
        <v>396</v>
      </c>
      <c r="B3" s="15">
        <v>42551</v>
      </c>
      <c r="D3" t="s">
        <v>397</v>
      </c>
      <c r="E3" s="15">
        <v>46203</v>
      </c>
    </row>
    <row r="4" spans="1:39" ht="25.05" customHeight="1"/>
    <row r="5" spans="1:39" ht="25.05" customHeight="1">
      <c r="A5" s="62" t="s">
        <v>398</v>
      </c>
      <c r="B5" s="62"/>
      <c r="C5" s="62"/>
      <c r="D5" s="62"/>
      <c r="E5" s="62"/>
      <c r="G5" s="62" t="s">
        <v>399</v>
      </c>
      <c r="H5" s="62"/>
      <c r="I5" s="62"/>
      <c r="J5" s="62"/>
      <c r="K5" s="62"/>
      <c r="AA5" t="s">
        <v>403</v>
      </c>
      <c r="AB5" t="s">
        <v>27</v>
      </c>
      <c r="AC5" t="s">
        <v>404</v>
      </c>
      <c r="AD5" t="s">
        <v>405</v>
      </c>
      <c r="AE5" t="s">
        <v>406</v>
      </c>
      <c r="AF5" t="s">
        <v>407</v>
      </c>
      <c r="AH5" t="s">
        <v>403</v>
      </c>
      <c r="AI5" t="s">
        <v>27</v>
      </c>
      <c r="AJ5" t="s">
        <v>404</v>
      </c>
      <c r="AK5" t="s">
        <v>405</v>
      </c>
      <c r="AL5" t="s">
        <v>406</v>
      </c>
      <c r="AM5" t="s">
        <v>407</v>
      </c>
    </row>
    <row r="6" spans="1:39" ht="25.05" customHeight="1">
      <c r="A6" s="10" t="s">
        <v>2</v>
      </c>
      <c r="B6" s="10" t="s">
        <v>4</v>
      </c>
      <c r="C6" s="10" t="s">
        <v>400</v>
      </c>
      <c r="D6" s="10" t="s">
        <v>401</v>
      </c>
      <c r="E6" s="10" t="s">
        <v>402</v>
      </c>
      <c r="G6" s="10" t="s">
        <v>2</v>
      </c>
      <c r="H6" s="10" t="s">
        <v>4</v>
      </c>
      <c r="I6" s="10" t="s">
        <v>400</v>
      </c>
      <c r="J6" s="10" t="s">
        <v>401</v>
      </c>
      <c r="K6" s="10" t="s">
        <v>402</v>
      </c>
    </row>
    <row r="7" spans="1:39">
      <c r="A7" t="str">
        <f>IFERROR(INDEX(Board_Composition!$C:$C,MATCH($B$3,Board_Composition!$A:$A,1)),"")</f>
        <v>Agustín Carstens Carstens</v>
      </c>
      <c r="B7" t="str">
        <f>IF(A7="","",IF(ROW()=7,"Gobernador","Subgobernador"))</f>
        <v>Gobernador</v>
      </c>
      <c r="C7" s="11">
        <f>IF(A7="","",INDEX(Monthly_Experience!$A:$BO,MATCH($B$3,Monthly_Experience!$A:$A,0),MATCH(A7&amp;"_Total",Monthly_Experience!$2:$2,0)))</f>
        <v>36.000739234891888</v>
      </c>
      <c r="D7" s="11">
        <f>IF(A7="","",INDEX(Monthly_Experience!$A:$BO,MATCH($B$3,Monthly_Experience!$A:$A,0),MATCH(A7&amp;"_Monetaria",Monthly_Experience!$2:$2,0)))</f>
        <v>30.336009637432664</v>
      </c>
      <c r="E7" s="11">
        <f>IF(A7="","",INDEX(Monthly_Experience!$A:$BO,MATCH($B$3,Monthly_Experience!$A:$A,0),MATCH(A7&amp;"_Fiscal",Monthly_Experience!$2:$2,0)))</f>
        <v>5.664729597459222</v>
      </c>
      <c r="G7" t="str">
        <f>IFERROR(INDEX(Board_Composition!$C:$C,MATCH($E$3,Board_Composition!$A:$A,1)),"")</f>
        <v>Victoria Rodríguez Ceja</v>
      </c>
      <c r="H7" t="str">
        <f>IF(G7="","",IF(ROW()=7,"Gobernador","Subgobernador"))</f>
        <v>Gobernador</v>
      </c>
      <c r="I7" s="11">
        <f>IF(G7="","",INDEX(Monthly_Experience!$A:$BO,MATCH($E$3,Monthly_Experience!$A:$A,0),MATCH(G7&amp;"_Total",Monthly_Experience!$2:$2,0)))</f>
        <v>24.496053991526178</v>
      </c>
      <c r="J7" s="11">
        <f>IF(G7="","",INDEX(Monthly_Experience!$A:$BO,MATCH($E$3,Monthly_Experience!$A:$A,0),MATCH(G7&amp;"_Monetaria",Monthly_Experience!$2:$2,0)))</f>
        <v>4.495643305475129</v>
      </c>
      <c r="K7" s="11">
        <f>IF(G7="","",INDEX(Monthly_Experience!$A:$BO,MATCH($E$3,Monthly_Experience!$A:$A,0),MATCH(G7&amp;"_Fiscal",Monthly_Experience!$2:$2,0)))</f>
        <v>20.000410686051048</v>
      </c>
      <c r="AA7">
        <f>IF($A7="","",INDEX(Board_Profile!$C:$C,MATCH($A7,Board_Profile!$A:$A,0)))</f>
        <v>0</v>
      </c>
      <c r="AB7">
        <f>IF($A7="","",INDEX(Board_Profile!$D:$D,MATCH($A7,Board_Profile!$A:$A,0)))</f>
        <v>18.998336721493253</v>
      </c>
      <c r="AC7">
        <f>IF($A7="","",INDEX(Board_Profile!$E:$E,MATCH($A7,Board_Profile!$A:$A,0)))</f>
        <v>5.664729597459222</v>
      </c>
      <c r="AD7">
        <f>IF($A7="","",INDEX(Board_Profile!$F:$F,MATCH($A7,Board_Profile!$A:$A,0)))</f>
        <v>0</v>
      </c>
      <c r="AE7">
        <f>IF($A7="","",INDEX(Board_Profile!$G:$G,MATCH($A7,Board_Profile!$A:$A,0)))</f>
        <v>4.8406195883556817</v>
      </c>
      <c r="AF7">
        <f>IF($A7="","",INDEX(Board_Profile!$H:$H,MATCH($A7,Board_Profile!$A:$A,0)))</f>
        <v>0</v>
      </c>
      <c r="AH7">
        <f>IF($G7="","",INDEX(Board_Profile!$C:$C,MATCH($G7,Board_Profile!$A:$A,0)))</f>
        <v>0</v>
      </c>
      <c r="AI7">
        <f>IF($G7="","",INDEX(Board_Profile!$D:$D,MATCH($G7,Board_Profile!$A:$A,0)))</f>
        <v>0</v>
      </c>
      <c r="AJ7">
        <f>IF($G7="","",INDEX(Board_Profile!$E:$E,MATCH($G7,Board_Profile!$A:$A,0)))</f>
        <v>20.000410686051048</v>
      </c>
      <c r="AK7">
        <f>IF($G7="","",INDEX(Board_Profile!$F:$F,MATCH($G7,Board_Profile!$A:$A,0)))</f>
        <v>0</v>
      </c>
      <c r="AL7">
        <f>IF($G7="","",INDEX(Board_Profile!$G:$G,MATCH($G7,Board_Profile!$A:$A,0)))</f>
        <v>0</v>
      </c>
      <c r="AM7">
        <f>IF($G7="","",INDEX(Board_Profile!$H:$H,MATCH($G7,Board_Profile!$A:$A,0)))</f>
        <v>0</v>
      </c>
    </row>
    <row r="8" spans="1:39">
      <c r="A8" t="str">
        <f>IFERROR(INDEX(Board_Composition!$D:$D,MATCH($B$3,Board_Composition!$A:$A,1)),"")</f>
        <v>Javier Eduardo Guzmán Calafell</v>
      </c>
      <c r="B8" t="str">
        <f>IF(A8="","",IF(ROW()=7,"Gobernador","Subgobernador"))</f>
        <v>Subgobernador</v>
      </c>
      <c r="C8" s="11">
        <f>IF(A8="","",INDEX(Monthly_Experience!$A:$BO,MATCH($B$3,Monthly_Experience!$A:$A,0),MATCH(A8&amp;"_Total",Monthly_Experience!$2:$2,0)))</f>
        <v>36.000739234891888</v>
      </c>
      <c r="D8" s="11">
        <f>IF(A8="","",INDEX(Monthly_Experience!$A:$BO,MATCH($B$3,Monthly_Experience!$A:$A,0),MATCH(A8&amp;"_Monetaria",Monthly_Experience!$2:$2,0)))</f>
        <v>36.000739234891888</v>
      </c>
      <c r="E8" s="11">
        <f>IF(A8="","",INDEX(Monthly_Experience!$A:$BO,MATCH($B$3,Monthly_Experience!$A:$A,0),MATCH(A8&amp;"_Fiscal",Monthly_Experience!$2:$2,0)))</f>
        <v>0</v>
      </c>
      <c r="G8" t="str">
        <f>IFERROR(INDEX(Board_Composition!$D:$D,MATCH($E$3,Board_Composition!$A:$A,1)),"")</f>
        <v>Jonathan Heath Constable</v>
      </c>
      <c r="H8" t="str">
        <f>IF(G8="","",IF(ROW()=7,"Gobernador","Subgobernador"))</f>
        <v>Subgobernador</v>
      </c>
      <c r="I8" s="11">
        <f>IF(G8="","",INDEX(Monthly_Experience!$A:$BO,MATCH($E$3,Monthly_Experience!$A:$A,0),MATCH(G8&amp;"_Total",Monthly_Experience!$2:$2,0)))</f>
        <v>49.999657761624128</v>
      </c>
      <c r="J8" s="11">
        <f>IF(G8="","",INDEX(Monthly_Experience!$A:$BO,MATCH($E$3,Monthly_Experience!$A:$A,0),MATCH(G8&amp;"_Monetaria",Monthly_Experience!$2:$2,0)))</f>
        <v>49.999657761624128</v>
      </c>
      <c r="K8" s="11">
        <f>IF(G8="","",INDEX(Monthly_Experience!$A:$BO,MATCH($E$3,Monthly_Experience!$A:$A,0),MATCH(G8&amp;"_Fiscal",Monthly_Experience!$2:$2,0)))</f>
        <v>0</v>
      </c>
      <c r="AA8">
        <f>IF($A8="","",INDEX(Board_Profile!$C:$C,MATCH($A8,Board_Profile!$A:$A,0)))</f>
        <v>0</v>
      </c>
      <c r="AB8">
        <f>IF($A8="","",INDEX(Board_Profile!$D:$D,MATCH($A8,Board_Profile!$A:$A,0)))</f>
        <v>32.50443198696756</v>
      </c>
      <c r="AC8">
        <f>IF($A8="","",INDEX(Board_Profile!$E:$E,MATCH($A8,Board_Profile!$A:$A,0)))</f>
        <v>0</v>
      </c>
      <c r="AD8">
        <f>IF($A8="","",INDEX(Board_Profile!$F:$F,MATCH($A8,Board_Profile!$A:$A,0)))</f>
        <v>0</v>
      </c>
      <c r="AE8">
        <f>IF($A8="","",INDEX(Board_Profile!$G:$G,MATCH($A8,Board_Profile!$A:$A,0)))</f>
        <v>0</v>
      </c>
      <c r="AF8">
        <f>IF($A8="","",INDEX(Board_Profile!$H:$H,MATCH($A8,Board_Profile!$A:$A,0)))</f>
        <v>0</v>
      </c>
      <c r="AH8">
        <f>IF($G8="","",INDEX(Board_Profile!$C:$C,MATCH($G8,Board_Profile!$A:$A,0)))</f>
        <v>42.503268376489594</v>
      </c>
      <c r="AI8">
        <f>IF($G8="","",INDEX(Board_Profile!$D:$D,MATCH($G8,Board_Profile!$A:$A,0)))</f>
        <v>0</v>
      </c>
      <c r="AJ8">
        <f>IF($G8="","",INDEX(Board_Profile!$E:$E,MATCH($G8,Board_Profile!$A:$A,0)))</f>
        <v>0</v>
      </c>
      <c r="AK8">
        <f>IF($G8="","",INDEX(Board_Profile!$F:$F,MATCH($G8,Board_Profile!$A:$A,0)))</f>
        <v>0</v>
      </c>
      <c r="AL8">
        <f>IF($G8="","",INDEX(Board_Profile!$G:$G,MATCH($G8,Board_Profile!$A:$A,0)))</f>
        <v>0</v>
      </c>
      <c r="AM8">
        <f>IF($G8="","",INDEX(Board_Profile!$H:$H,MATCH($G8,Board_Profile!$A:$A,0)))</f>
        <v>0</v>
      </c>
    </row>
    <row r="9" spans="1:39">
      <c r="A9" t="str">
        <f>IFERROR(INDEX(Board_Composition!$E:$E,MATCH($B$3,Board_Composition!$A:$A,1)),"")</f>
        <v>Manuel Ramos Francia</v>
      </c>
      <c r="B9" t="str">
        <f>IF(A9="","",IF(ROW()=7,"Gobernador","Subgobernador"))</f>
        <v>Subgobernador</v>
      </c>
      <c r="C9" s="11">
        <f>IF(A9="","",INDEX(Monthly_Experience!$A:$BO,MATCH($B$3,Monthly_Experience!$A:$A,0),MATCH(A9&amp;"_Total",Monthly_Experience!$2:$2,0)))</f>
        <v>23.001156765710451</v>
      </c>
      <c r="D9" s="11">
        <f>IF(A9="","",INDEX(Monthly_Experience!$A:$BO,MATCH($B$3,Monthly_Experience!$A:$A,0),MATCH(A9&amp;"_Monetaria",Monthly_Experience!$2:$2,0)))</f>
        <v>23.001156765710451</v>
      </c>
      <c r="E9" s="11">
        <f>IF(A9="","",INDEX(Monthly_Experience!$A:$BO,MATCH($B$3,Monthly_Experience!$A:$A,0),MATCH(A9&amp;"_Fiscal",Monthly_Experience!$2:$2,0)))</f>
        <v>0</v>
      </c>
      <c r="G9" t="str">
        <f>IFERROR(INDEX(Board_Composition!$E:$E,MATCH($E$3,Board_Composition!$A:$A,1)),"")</f>
        <v>Galia Borja Gómez</v>
      </c>
      <c r="H9" t="str">
        <f>IF(G9="","",IF(ROW()=7,"Gobernador","Subgobernador"))</f>
        <v>Subgobernador</v>
      </c>
      <c r="I9" s="11">
        <f>IF(G9="","",INDEX(Monthly_Experience!$A:$BO,MATCH($E$3,Monthly_Experience!$A:$A,0),MATCH(G9&amp;"_Total",Monthly_Experience!$2:$2,0)))</f>
        <v>25.495390049076981</v>
      </c>
      <c r="J9" s="11">
        <f>IF(G9="","",INDEX(Monthly_Experience!$A:$BO,MATCH($E$3,Monthly_Experience!$A:$A,0),MATCH(G9&amp;"_Monetaria",Monthly_Experience!$2:$2,0)))</f>
        <v>5.4949793630259345</v>
      </c>
      <c r="K9" s="11">
        <f>IF(G9="","",INDEX(Monthly_Experience!$A:$BO,MATCH($E$3,Monthly_Experience!$A:$A,0),MATCH(G9&amp;"_Fiscal",Monthly_Experience!$2:$2,0)))</f>
        <v>20.000410686051048</v>
      </c>
      <c r="AA9">
        <f>IF($A9="","",INDEX(Board_Profile!$C:$C,MATCH($A9,Board_Profile!$A:$A,0)))</f>
        <v>0</v>
      </c>
      <c r="AB9">
        <f>IF($A9="","",INDEX(Board_Profile!$D:$D,MATCH($A9,Board_Profile!$A:$A,0)))</f>
        <v>17.503439495677529</v>
      </c>
      <c r="AC9">
        <f>IF($A9="","",INDEX(Board_Profile!$E:$E,MATCH($A9,Board_Profile!$A:$A,0)))</f>
        <v>0</v>
      </c>
      <c r="AD9">
        <f>IF($A9="","",INDEX(Board_Profile!$F:$F,MATCH($A9,Board_Profile!$A:$A,0)))</f>
        <v>0</v>
      </c>
      <c r="AE9">
        <f>IF($A9="","",INDEX(Board_Profile!$G:$G,MATCH($A9,Board_Profile!$A:$A,0)))</f>
        <v>0</v>
      </c>
      <c r="AF9">
        <f>IF($A9="","",INDEX(Board_Profile!$H:$H,MATCH($A9,Board_Profile!$A:$A,0)))</f>
        <v>0</v>
      </c>
      <c r="AH9">
        <f>IF($G9="","",INDEX(Board_Profile!$C:$C,MATCH($G9,Board_Profile!$A:$A,0)))</f>
        <v>0</v>
      </c>
      <c r="AI9">
        <f>IF($G9="","",INDEX(Board_Profile!$D:$D,MATCH($G9,Board_Profile!$A:$A,0)))</f>
        <v>0</v>
      </c>
      <c r="AJ9">
        <f>IF($G9="","",INDEX(Board_Profile!$E:$E,MATCH($G9,Board_Profile!$A:$A,0)))</f>
        <v>13.002320376188422</v>
      </c>
      <c r="AK9">
        <f>IF($G9="","",INDEX(Board_Profile!$F:$F,MATCH($G9,Board_Profile!$A:$A,0)))</f>
        <v>6.9980903098626257</v>
      </c>
      <c r="AL9">
        <f>IF($G9="","",INDEX(Board_Profile!$G:$G,MATCH($G9,Board_Profile!$A:$A,0)))</f>
        <v>0</v>
      </c>
      <c r="AM9">
        <f>IF($G9="","",INDEX(Board_Profile!$H:$H,MATCH($G9,Board_Profile!$A:$A,0)))</f>
        <v>0</v>
      </c>
    </row>
    <row r="10" spans="1:39">
      <c r="A10" t="str">
        <f>IFERROR(INDEX(Board_Composition!$F:$F,MATCH($B$3,Board_Composition!$A:$A,1)),"")</f>
        <v>Roberto del Cueto Legaspi</v>
      </c>
      <c r="B10" t="str">
        <f>IF(A10="","",IF(ROW()=7,"Gobernador","Subgobernador"))</f>
        <v>Subgobernador</v>
      </c>
      <c r="C10" s="11">
        <f>IF(A10="","",INDEX(Monthly_Experience!$A:$BO,MATCH($B$3,Monthly_Experience!$A:$A,0),MATCH(A10&amp;"_Total",Monthly_Experience!$2:$2,0)))</f>
        <v>43.001567451761503</v>
      </c>
      <c r="D10" s="11">
        <f>IF(A10="","",INDEX(Monthly_Experience!$A:$BO,MATCH($B$3,Monthly_Experience!$A:$A,0),MATCH(A10&amp;"_Monetaria",Monthly_Experience!$2:$2,0)))</f>
        <v>30.497546150844986</v>
      </c>
      <c r="E10" s="11">
        <f>IF(A10="","",INDEX(Monthly_Experience!$A:$BO,MATCH($B$3,Monthly_Experience!$A:$A,0),MATCH(A10&amp;"_Fiscal",Monthly_Experience!$2:$2,0)))</f>
        <v>0</v>
      </c>
      <c r="G10" t="str">
        <f>IFERROR(INDEX(Board_Composition!$F:$F,MATCH($E$3,Board_Composition!$A:$A,1)),"")</f>
        <v>Omar Mejía Castelazo</v>
      </c>
      <c r="H10" t="str">
        <f>IF(G10="","",IF(ROW()=7,"Gobernador","Subgobernador"))</f>
        <v>Subgobernador</v>
      </c>
      <c r="I10" s="11">
        <f>IF(G10="","",INDEX(Monthly_Experience!$A:$BO,MATCH($E$3,Monthly_Experience!$A:$A,0),MATCH(G10&amp;"_Total",Monthly_Experience!$2:$2,0)))</f>
        <v>17.495225774656564</v>
      </c>
      <c r="J10" s="11">
        <f>IF(G10="","",INDEX(Monthly_Experience!$A:$BO,MATCH($E$3,Monthly_Experience!$A:$A,0),MATCH(G10&amp;"_Monetaria",Monthly_Experience!$2:$2,0)))</f>
        <v>4.9994181947610148</v>
      </c>
      <c r="K10" s="11">
        <f>IF(G10="","",INDEX(Monthly_Experience!$A:$BO,MATCH($E$3,Monthly_Experience!$A:$A,0),MATCH(G10&amp;"_Fiscal",Monthly_Experience!$2:$2,0)))</f>
        <v>12.495807579895549</v>
      </c>
      <c r="AA10">
        <f>IF($A10="","",INDEX(Board_Profile!$C:$C,MATCH($A10,Board_Profile!$A:$A,0)))</f>
        <v>11.920847108427962</v>
      </c>
      <c r="AB10">
        <f>IF($A10="","",INDEX(Board_Profile!$D:$D,MATCH($A10,Board_Profile!$A:$A,0)))</f>
        <v>21.50352163288774</v>
      </c>
      <c r="AC10">
        <f>IF($A10="","",INDEX(Board_Profile!$E:$E,MATCH($A10,Board_Profile!$A:$A,0)))</f>
        <v>0</v>
      </c>
      <c r="AD10">
        <f>IF($A10="","",INDEX(Board_Profile!$F:$F,MATCH($A10,Board_Profile!$A:$A,0)))</f>
        <v>0.58317419248855207</v>
      </c>
      <c r="AE10">
        <f>IF($A10="","",INDEX(Board_Profile!$G:$G,MATCH($A10,Board_Profile!$A:$A,0)))</f>
        <v>0</v>
      </c>
      <c r="AF10">
        <f>IF($A10="","",INDEX(Board_Profile!$H:$H,MATCH($A10,Board_Profile!$A:$A,0)))</f>
        <v>0</v>
      </c>
      <c r="AH10">
        <f>IF($G10="","",INDEX(Board_Profile!$C:$C,MATCH($G10,Board_Profile!$A:$A,0)))</f>
        <v>0</v>
      </c>
      <c r="AI10">
        <f>IF($G10="","",INDEX(Board_Profile!$D:$D,MATCH($G10,Board_Profile!$A:$A,0)))</f>
        <v>1.5496553659554952</v>
      </c>
      <c r="AJ10">
        <f>IF($G10="","",INDEX(Board_Profile!$E:$E,MATCH($G10,Board_Profile!$A:$A,0)))</f>
        <v>2.5818463075901628</v>
      </c>
      <c r="AK10">
        <f>IF($G10="","",INDEX(Board_Profile!$F:$F,MATCH($G10,Board_Profile!$A:$A,0)))</f>
        <v>9.9139612723053858</v>
      </c>
      <c r="AL10">
        <f>IF($G10="","",INDEX(Board_Profile!$G:$G,MATCH($G10,Board_Profile!$A:$A,0)))</f>
        <v>0</v>
      </c>
      <c r="AM10">
        <f>IF($G10="","",INDEX(Board_Profile!$H:$H,MATCH($G10,Board_Profile!$A:$A,0)))</f>
        <v>0</v>
      </c>
    </row>
    <row r="11" spans="1:39">
      <c r="A11" t="str">
        <f>IFERROR(INDEX(Board_Composition!$G:$G,MATCH($B$3,Board_Composition!$A:$A,1)),"")</f>
        <v>Manuel Sánchez González</v>
      </c>
      <c r="B11" t="str">
        <f>IF(A11="","",IF(ROW()=7,"Gobernador","Subgobernador"))</f>
        <v>Subgobernador</v>
      </c>
      <c r="C11" s="11">
        <f>IF(A11="","",INDEX(Monthly_Experience!$A:$BO,MATCH($B$3,Monthly_Experience!$A:$A,0),MATCH(A11&amp;"_Total",Monthly_Experience!$2:$2,0)))</f>
        <v>36.000739234891888</v>
      </c>
      <c r="D11" s="11">
        <f>IF(A11="","",INDEX(Monthly_Experience!$A:$BO,MATCH($B$3,Monthly_Experience!$A:$A,0),MATCH(A11&amp;"_Monetaria",Monthly_Experience!$2:$2,0)))</f>
        <v>7.0966549621142114</v>
      </c>
      <c r="E11" s="11">
        <f>IF(A11="","",INDEX(Monthly_Experience!$A:$BO,MATCH($B$3,Monthly_Experience!$A:$A,0),MATCH(A11&amp;"_Fiscal",Monthly_Experience!$2:$2,0)))</f>
        <v>0</v>
      </c>
      <c r="G11" t="str">
        <f>IFERROR(INDEX(Board_Composition!$G:$G,MATCH($E$3,Board_Composition!$A:$A,1)),"")</f>
        <v>José Gabriel Cuadra García</v>
      </c>
      <c r="H11" t="str">
        <f>IF(G11="","",IF(ROW()=7,"Gobernador","Subgobernador"))</f>
        <v>Subgobernador</v>
      </c>
      <c r="I11" s="11">
        <f>IF(G11="","",INDEX(Monthly_Experience!$A:$BO,MATCH($E$3,Monthly_Experience!$A:$A,0),MATCH(G11&amp;"_Total",Monthly_Experience!$2:$2,0)))</f>
        <v>28.496136128736389</v>
      </c>
      <c r="J11" s="11">
        <f>IF(G11="","",INDEX(Monthly_Experience!$A:$BO,MATCH($E$3,Monthly_Experience!$A:$A,0),MATCH(G11&amp;"_Monetaria",Monthly_Experience!$2:$2,0)))</f>
        <v>28.496136128736389</v>
      </c>
      <c r="K11" s="11">
        <f>IF(G11="","",INDEX(Monthly_Experience!$A:$BO,MATCH($E$3,Monthly_Experience!$A:$A,0),MATCH(G11&amp;"_Fiscal",Monthly_Experience!$2:$2,0)))</f>
        <v>0</v>
      </c>
      <c r="AA11">
        <f>IF($A11="","",INDEX(Board_Profile!$C:$C,MATCH($A11,Board_Profile!$A:$A,0)))</f>
        <v>16.400062971861161</v>
      </c>
      <c r="AB11">
        <f>IF($A11="","",INDEX(Board_Profile!$D:$D,MATCH($A11,Board_Profile!$A:$A,0)))</f>
        <v>0</v>
      </c>
      <c r="AC11">
        <f>IF($A11="","",INDEX(Board_Profile!$E:$E,MATCH($A11,Board_Profile!$A:$A,0)))</f>
        <v>0</v>
      </c>
      <c r="AD11">
        <f>IF($A11="","",INDEX(Board_Profile!$F:$F,MATCH($A11,Board_Profile!$A:$A,0)))</f>
        <v>0</v>
      </c>
      <c r="AE11">
        <f>IF($A11="","",INDEX(Board_Profile!$G:$G,MATCH($A11,Board_Profile!$A:$A,0)))</f>
        <v>0</v>
      </c>
      <c r="AF11">
        <f>IF($A11="","",INDEX(Board_Profile!$H:$H,MATCH($A11,Board_Profile!$A:$A,0)))</f>
        <v>12.504021300916515</v>
      </c>
      <c r="AH11">
        <f>IF($G11="","",INDEX(Board_Profile!$C:$C,MATCH($G11,Board_Profile!$A:$A,0)))</f>
        <v>0</v>
      </c>
      <c r="AI11">
        <f>IF($G11="","",INDEX(Board_Profile!$D:$D,MATCH($G11,Board_Profile!$A:$A,0)))</f>
        <v>27.097065648165259</v>
      </c>
      <c r="AJ11">
        <f>IF($G11="","",INDEX(Board_Profile!$E:$E,MATCH($G11,Board_Profile!$A:$A,0)))</f>
        <v>0</v>
      </c>
      <c r="AK11">
        <f>IF($G11="","",INDEX(Board_Profile!$F:$F,MATCH($G11,Board_Profile!$A:$A,0)))</f>
        <v>0</v>
      </c>
      <c r="AL11">
        <f>IF($G11="","",INDEX(Board_Profile!$G:$G,MATCH($G11,Board_Profile!$A:$A,0)))</f>
        <v>0</v>
      </c>
      <c r="AM11">
        <f>IF($G11="","",INDEX(Board_Profile!$H:$H,MATCH($G11,Board_Profile!$A:$A,0)))</f>
        <v>0</v>
      </c>
    </row>
    <row r="14" spans="1:39">
      <c r="A14" s="10" t="s">
        <v>408</v>
      </c>
      <c r="B14" s="10" t="s">
        <v>398</v>
      </c>
      <c r="C14" s="10" t="s">
        <v>399</v>
      </c>
      <c r="D14" s="10" t="s">
        <v>409</v>
      </c>
      <c r="E14" s="10" t="s">
        <v>410</v>
      </c>
    </row>
    <row r="15" spans="1:39">
      <c r="A15" t="s">
        <v>411</v>
      </c>
      <c r="B15" s="11">
        <f>IFERROR(AVERAGE(C7:C11),"")</f>
        <v>34.800988384429516</v>
      </c>
      <c r="C15" s="11">
        <f>IFERROR(AVERAGE(I7:I11),"")</f>
        <v>29.196492741124047</v>
      </c>
      <c r="D15" s="11">
        <f t="shared" ref="D15:D23" si="0">C15-B15</f>
        <v>-5.6044956433054693</v>
      </c>
      <c r="E15" s="16">
        <f t="shared" ref="E15:E23" si="1">IF(B15=0,"",D15/B15)</f>
        <v>-0.16104415143027961</v>
      </c>
    </row>
    <row r="16" spans="1:39">
      <c r="A16" t="s">
        <v>412</v>
      </c>
      <c r="B16" s="11">
        <f>IFERROR(AVERAGE(D7:D11),"")</f>
        <v>25.386421350198837</v>
      </c>
      <c r="C16" s="11">
        <f>IFERROR(AVERAGE(J7:J11),"")</f>
        <v>18.697166950724515</v>
      </c>
      <c r="D16" s="11">
        <f t="shared" si="0"/>
        <v>-6.6892543994743221</v>
      </c>
      <c r="E16" s="16">
        <f t="shared" si="1"/>
        <v>-0.2634973361230345</v>
      </c>
    </row>
    <row r="17" spans="1:5">
      <c r="A17" t="s">
        <v>413</v>
      </c>
      <c r="B17" s="11">
        <f>IFERROR(AVERAGE(E7:E11),"")</f>
        <v>1.1329459194918443</v>
      </c>
      <c r="C17" s="11">
        <f>IFERROR(AVERAGE(K7:K11),"")</f>
        <v>10.499325790399528</v>
      </c>
      <c r="D17" s="11">
        <f t="shared" si="0"/>
        <v>9.366379870907684</v>
      </c>
      <c r="E17" s="16">
        <f t="shared" si="1"/>
        <v>8.2672788786853566</v>
      </c>
    </row>
    <row r="18" spans="1:5">
      <c r="A18" t="s">
        <v>414</v>
      </c>
      <c r="B18" s="11">
        <f>IFERROR(AVERAGE(AA7:AA11),"")</f>
        <v>5.6641820160578247</v>
      </c>
      <c r="C18" s="11">
        <f>IFERROR(AVERAGE(AH7:AH11),"")</f>
        <v>8.5006536752979187</v>
      </c>
      <c r="D18" s="11">
        <f t="shared" si="0"/>
        <v>2.836471659240094</v>
      </c>
      <c r="E18" s="16">
        <f t="shared" si="1"/>
        <v>0.50077339520494979</v>
      </c>
    </row>
    <row r="19" spans="1:5">
      <c r="A19" t="s">
        <v>415</v>
      </c>
      <c r="B19" s="11">
        <f>IFERROR(AVERAGE(AB7:AB11),"")</f>
        <v>18.101945967405218</v>
      </c>
      <c r="C19" s="11">
        <f>IFERROR(AVERAGE(AI7:AI11),"")</f>
        <v>5.7293442028241506</v>
      </c>
      <c r="D19" s="11">
        <f t="shared" si="0"/>
        <v>-12.372601764581066</v>
      </c>
      <c r="E19" s="16">
        <f t="shared" si="1"/>
        <v>-0.68349567426946578</v>
      </c>
    </row>
    <row r="20" spans="1:5">
      <c r="A20" t="s">
        <v>416</v>
      </c>
      <c r="B20" s="11">
        <f>IFERROR(AVERAGE(AC7:AC11),"")</f>
        <v>1.1329459194918443</v>
      </c>
      <c r="C20" s="11">
        <f>IFERROR(AVERAGE(AJ7:AJ11),"")</f>
        <v>7.1169154739659266</v>
      </c>
      <c r="D20" s="11">
        <f t="shared" si="0"/>
        <v>5.9839695544740827</v>
      </c>
      <c r="E20" s="16">
        <f t="shared" si="1"/>
        <v>5.2817786370227173</v>
      </c>
    </row>
    <row r="21" spans="1:5">
      <c r="A21" t="s">
        <v>417</v>
      </c>
      <c r="B21" s="11">
        <f>IFERROR(AVERAGE(AD7:AD11),"")</f>
        <v>0.11663483849771042</v>
      </c>
      <c r="C21" s="11">
        <f>IFERROR(AVERAGE(AK7:AK11),"")</f>
        <v>3.3824103164336021</v>
      </c>
      <c r="D21" s="11">
        <f t="shared" si="0"/>
        <v>3.2657754779358918</v>
      </c>
      <c r="E21" s="16">
        <f t="shared" si="1"/>
        <v>28</v>
      </c>
    </row>
    <row r="22" spans="1:5">
      <c r="A22" t="s">
        <v>418</v>
      </c>
      <c r="B22" s="11">
        <f>IFERROR(AVERAGE(AE7:AE11),"")</f>
        <v>0.96812391767113637</v>
      </c>
      <c r="C22" s="11">
        <f>IFERROR(AVERAGE(AL7:AL11),"")</f>
        <v>0</v>
      </c>
      <c r="D22" s="11">
        <f t="shared" si="0"/>
        <v>-0.96812391767113637</v>
      </c>
      <c r="E22" s="16">
        <f t="shared" si="1"/>
        <v>-1</v>
      </c>
    </row>
    <row r="23" spans="1:5">
      <c r="A23" t="s">
        <v>419</v>
      </c>
      <c r="B23" s="11">
        <f>IFERROR(AVERAGE(AF7:AF11),"")</f>
        <v>2.5008042601833029</v>
      </c>
      <c r="C23" s="11">
        <f>IFERROR(AVERAGE(AM7:AM11),"")</f>
        <v>0</v>
      </c>
      <c r="D23" s="11">
        <f t="shared" si="0"/>
        <v>-2.5008042601833029</v>
      </c>
      <c r="E23" s="16">
        <f t="shared" si="1"/>
        <v>-1</v>
      </c>
    </row>
    <row r="26" spans="1:5">
      <c r="A26" s="10" t="s">
        <v>420</v>
      </c>
      <c r="B26" s="10" t="s">
        <v>398</v>
      </c>
      <c r="C26" s="10" t="s">
        <v>399</v>
      </c>
    </row>
    <row r="27" spans="1:5">
      <c r="A27" t="s">
        <v>421</v>
      </c>
      <c r="B27" s="17">
        <f>IFERROR(SUM(A7:A11)/SUM($A$7:$AF$11),"")</f>
        <v>0</v>
      </c>
      <c r="C27" s="17">
        <f>IFERROR(SUM(H7:H11)/SUM($H$7:$AM$11),"")</f>
        <v>0</v>
      </c>
    </row>
    <row r="28" spans="1:5">
      <c r="A28" t="s">
        <v>422</v>
      </c>
      <c r="B28" s="17">
        <f>IFERROR(SUM(B7:B11)/SUM($AA$7:$AF$11),"")</f>
        <v>0</v>
      </c>
      <c r="C28" s="17">
        <f>IFERROR(SUM(I7:I11)/SUM($AH$7:$AM$11),"")</f>
        <v>1.1806425898452202</v>
      </c>
    </row>
    <row r="29" spans="1:5">
      <c r="A29" t="s">
        <v>423</v>
      </c>
      <c r="B29" s="17">
        <f>IFERROR(SUM(C7:C11)/SUM($AA$7:$AF$11),"")</f>
        <v>1.2217459005363422</v>
      </c>
      <c r="C29" s="17">
        <f>IFERROR(SUM(J7:J11)/SUM($AH$7:$AM$11),"")</f>
        <v>0.75607271761032735</v>
      </c>
    </row>
    <row r="30" spans="1:5">
      <c r="A30" t="s">
        <v>424</v>
      </c>
      <c r="B30" s="17">
        <f>IFERROR(SUM(D7:D11)/SUM($AA$7:$AF$11),"")</f>
        <v>0.89123204982794746</v>
      </c>
      <c r="C30" s="17">
        <f>IFERROR(SUM(K7:K11)/SUM($AH$7:$AM$11),"")</f>
        <v>0.42456987223489284</v>
      </c>
    </row>
    <row r="31" spans="1:5">
      <c r="A31" t="s">
        <v>425</v>
      </c>
      <c r="B31" s="17">
        <f>IFERROR(SUM(E7:E11)/SUM($AA$7:$AF$11),"")</f>
        <v>3.97739287568004E-2</v>
      </c>
      <c r="C31" s="17">
        <f>IFERROR(SUM(L7:L11)/SUM($AH$7:$AM$11),"")</f>
        <v>0</v>
      </c>
    </row>
    <row r="32" spans="1:5">
      <c r="A32" t="s">
        <v>426</v>
      </c>
      <c r="B32" s="17">
        <f>IFERROR(SUM(F7:F11)/SUM($F$7:$AA$11),"")</f>
        <v>0</v>
      </c>
      <c r="C32" s="17">
        <f>IFERROR(SUM(M7:M11)/SUM($M$7:$AH$11),"")</f>
        <v>0</v>
      </c>
    </row>
    <row r="35" spans="1:11" ht="27.6">
      <c r="A35" s="10" t="s">
        <v>427</v>
      </c>
      <c r="B35" s="10" t="s">
        <v>428</v>
      </c>
      <c r="C35" s="10" t="s">
        <v>429</v>
      </c>
      <c r="D35" s="10" t="s">
        <v>4</v>
      </c>
      <c r="E35" s="10" t="s">
        <v>430</v>
      </c>
      <c r="F35" s="10" t="s">
        <v>429</v>
      </c>
      <c r="G35" s="10" t="s">
        <v>4</v>
      </c>
    </row>
    <row r="36" spans="1:11">
      <c r="A36" t="s">
        <v>431</v>
      </c>
      <c r="B36" t="str">
        <f>INDEX($A$7:$A$11,MATCH(C36,C7:C11,0))</f>
        <v>Roberto del Cueto Legaspi</v>
      </c>
      <c r="C36" s="11">
        <f>MAX(C7:C11)</f>
        <v>43.001567451761503</v>
      </c>
      <c r="D36" t="str">
        <f>INDEX($B$7:$B$11,MATCH(C36,C7:C11,0))</f>
        <v>Subgobernador</v>
      </c>
      <c r="E36" t="str">
        <f>INDEX($G$7:$G$11,MATCH(F36,I7:I11,0))</f>
        <v>Jonathan Heath Constable</v>
      </c>
      <c r="F36" s="11">
        <f>MAX(I7:I11)</f>
        <v>49.999657761624128</v>
      </c>
      <c r="G36" t="str">
        <f>INDEX($H$7:$H$11,MATCH(F36,I7:I11,0))</f>
        <v>Subgobernador</v>
      </c>
    </row>
    <row r="37" spans="1:11">
      <c r="A37" t="s">
        <v>432</v>
      </c>
      <c r="B37" t="str">
        <f>INDEX($A$7:$A$11,MATCH(C37,C7:C11,0))</f>
        <v>Manuel Ramos Francia</v>
      </c>
      <c r="C37" s="11">
        <f>MIN(C7:C11)</f>
        <v>23.001156765710451</v>
      </c>
      <c r="D37" t="str">
        <f>INDEX($B$7:$B$11,MATCH(C37,C7:C11,0))</f>
        <v>Subgobernador</v>
      </c>
      <c r="E37" t="str">
        <f>INDEX($G$7:$G$11,MATCH(F37,I7:I11,0))</f>
        <v>Omar Mejía Castelazo</v>
      </c>
      <c r="F37" s="11">
        <f>MIN(I7:I11)</f>
        <v>17.495225774656564</v>
      </c>
      <c r="G37" t="str">
        <f>INDEX($H$7:$H$11,MATCH(F37,I7:I11,0))</f>
        <v>Subgobernador</v>
      </c>
    </row>
    <row r="38" spans="1:11">
      <c r="A38" t="s">
        <v>433</v>
      </c>
      <c r="B38" t="str">
        <f>INDEX($A$7:$A$11,MATCH(C38,D7:D11,0))</f>
        <v>Javier Eduardo Guzmán Calafell</v>
      </c>
      <c r="C38" s="11">
        <f>MAX(D7:D11)</f>
        <v>36.000739234891888</v>
      </c>
      <c r="D38" t="str">
        <f>INDEX($B$7:$B$11,MATCH(C38,D7:D11,0))</f>
        <v>Subgobernador</v>
      </c>
      <c r="E38" t="str">
        <f>INDEX($G$7:$G$11,MATCH(F38,J7:J11,0))</f>
        <v>Jonathan Heath Constable</v>
      </c>
      <c r="F38" s="11">
        <f>MAX(J7:J11)</f>
        <v>49.999657761624128</v>
      </c>
      <c r="G38" t="str">
        <f>INDEX($H$7:$H$11,MATCH(F38,J7:J11,0))</f>
        <v>Subgobernador</v>
      </c>
    </row>
    <row r="39" spans="1:11">
      <c r="A39" t="s">
        <v>434</v>
      </c>
      <c r="B39" t="str">
        <f>INDEX($A$7:$A$11,MATCH(C39,E7:E11,0))</f>
        <v>Agustín Carstens Carstens</v>
      </c>
      <c r="C39" s="11">
        <f>MAX(E7:E11)</f>
        <v>5.664729597459222</v>
      </c>
      <c r="D39" t="str">
        <f>INDEX($B$7:$B$11,MATCH(C39,E7:E11,0))</f>
        <v>Gobernador</v>
      </c>
      <c r="E39" t="str">
        <f>INDEX($G$7:$G$11,MATCH(F39,K7:K11,0))</f>
        <v>Victoria Rodríguez Ceja</v>
      </c>
      <c r="F39" s="11">
        <f>MAX(K7:K11)</f>
        <v>20.000410686051048</v>
      </c>
      <c r="G39" t="str">
        <f>INDEX($H$7:$H$11,MATCH(F39,K7:K11,0))</f>
        <v>Gobernador</v>
      </c>
    </row>
    <row r="40" spans="1:11">
      <c r="A40" t="s">
        <v>435</v>
      </c>
      <c r="B40" t="str">
        <f>INDEX($A$7:$A$11,MATCH(C40,AA7:AA11,0))</f>
        <v>Manuel Sánchez González</v>
      </c>
      <c r="C40" s="11">
        <f>MAX(AA7:AA11)</f>
        <v>16.400062971861161</v>
      </c>
      <c r="D40" t="str">
        <f>INDEX($B$7:$B$11,MATCH(C40,AA7:AA11,0))</f>
        <v>Subgobernador</v>
      </c>
      <c r="E40" t="str">
        <f>INDEX($G$7:$G$11,MATCH(F40,AH7:AH11,0))</f>
        <v>Jonathan Heath Constable</v>
      </c>
      <c r="F40" s="11">
        <f>MAX(AH7:AH11)</f>
        <v>42.503268376489594</v>
      </c>
      <c r="G40" t="str">
        <f>INDEX($H$7:$H$11,MATCH(F40,AH7:AH11,0))</f>
        <v>Subgobernador</v>
      </c>
    </row>
    <row r="41" spans="1:11">
      <c r="A41" t="s">
        <v>436</v>
      </c>
      <c r="B41" t="str">
        <f>INDEX($A$7:$A$11,MATCH(C41,AB7:AB11,0))</f>
        <v>Javier Eduardo Guzmán Calafell</v>
      </c>
      <c r="C41" s="11">
        <f>MAX(AB7:AB11)</f>
        <v>32.50443198696756</v>
      </c>
      <c r="D41" t="str">
        <f>INDEX($B$7:$B$11,MATCH(C41,AB7:AB11,0))</f>
        <v>Subgobernador</v>
      </c>
      <c r="E41" t="str">
        <f>INDEX($G$7:$G$11,MATCH(F41,AI7:AI11,0))</f>
        <v>José Gabriel Cuadra García</v>
      </c>
      <c r="F41" s="11">
        <f>MAX(AI7:AI11)</f>
        <v>27.097065648165259</v>
      </c>
      <c r="G41" t="str">
        <f>INDEX($H$7:$H$11,MATCH(F41,AI7:AI11,0))</f>
        <v>Subgobernador</v>
      </c>
    </row>
    <row r="42" spans="1:11">
      <c r="A42" t="s">
        <v>437</v>
      </c>
      <c r="B42" t="str">
        <f>INDEX($A$7:$A$11,MATCH(C42,AC7:AC11,0))</f>
        <v>Agustín Carstens Carstens</v>
      </c>
      <c r="C42" s="11">
        <f>MAX(AC7:AC11)</f>
        <v>5.664729597459222</v>
      </c>
      <c r="D42" t="str">
        <f>INDEX($B$7:$B$11,MATCH(C42,AC7:AC11,0))</f>
        <v>Gobernador</v>
      </c>
      <c r="E42" t="str">
        <f>INDEX($G$7:$G$11,MATCH(F42,AJ7:AJ11,0))</f>
        <v>Victoria Rodríguez Ceja</v>
      </c>
      <c r="F42" s="11">
        <f>MAX(AJ7:AJ11)</f>
        <v>20.000410686051048</v>
      </c>
      <c r="G42" t="str">
        <f>INDEX($H$7:$H$11,MATCH(F42,AJ7:AJ11,0))</f>
        <v>Gobernador</v>
      </c>
    </row>
    <row r="43" spans="1:11">
      <c r="A43" t="s">
        <v>438</v>
      </c>
      <c r="B43" t="str">
        <f>INDEX($A$7:$A$11,MATCH(C43,AE7:AE11,0))</f>
        <v>Agustín Carstens Carstens</v>
      </c>
      <c r="C43" s="11">
        <f>MAX(AE7:AE11)</f>
        <v>4.8406195883556817</v>
      </c>
      <c r="D43" t="str">
        <f>INDEX($B$7:$B$11,MATCH(C43,AE7:AE11,0))</f>
        <v>Gobernador</v>
      </c>
      <c r="E43" t="str">
        <f>INDEX($G$7:$G$11,MATCH(F43,AL7:AL11,0))</f>
        <v>Victoria Rodríguez Ceja</v>
      </c>
      <c r="F43" s="11">
        <f>MAX(AL7:AL11)</f>
        <v>0</v>
      </c>
      <c r="G43" t="str">
        <f>INDEX($H$7:$H$11,MATCH(F43,AL7:AL11,0))</f>
        <v>Gobernador</v>
      </c>
    </row>
    <row r="46" spans="1:11" ht="14.4">
      <c r="A46" s="61" t="s">
        <v>439</v>
      </c>
      <c r="B46" s="61"/>
      <c r="C46" s="61"/>
      <c r="D46" s="61"/>
      <c r="E46" s="61"/>
      <c r="F46" s="61"/>
      <c r="G46" s="61"/>
      <c r="H46" s="61"/>
      <c r="I46" s="61"/>
      <c r="J46" s="61"/>
      <c r="K46" s="61"/>
    </row>
  </sheetData>
  <mergeCells count="5">
    <mergeCell ref="A46:K46"/>
    <mergeCell ref="A1:K1"/>
    <mergeCell ref="A2:K2"/>
    <mergeCell ref="A5:E5"/>
    <mergeCell ref="G5:K5"/>
  </mergeCells>
  <dataValidations count="1">
    <dataValidation type="list" allowBlank="1" showInputMessage="1" showErrorMessage="1" sqref="B3 E3" xr:uid="{65F3AB06-A361-4940-8A55-A1C802E892C8}">
      <formula1>MonthlyDates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4"/>
  <sheetViews>
    <sheetView showGridLines="0" workbookViewId="0"/>
  </sheetViews>
  <sheetFormatPr defaultRowHeight="13.8"/>
  <cols>
    <col min="1" max="1" width="25" customWidth="1"/>
    <col min="2" max="2" width="30" customWidth="1"/>
    <col min="3" max="3" width="38" customWidth="1"/>
    <col min="4" max="4" width="24" customWidth="1"/>
    <col min="5" max="5" width="58" customWidth="1"/>
    <col min="6" max="6" width="14" customWidth="1"/>
    <col min="7" max="7" width="48" customWidth="1"/>
  </cols>
  <sheetData>
    <row r="1" spans="1:7" ht="28.05" customHeight="1">
      <c r="A1" s="57" t="s">
        <v>296</v>
      </c>
      <c r="B1" s="57"/>
      <c r="C1" s="57"/>
      <c r="D1" s="57"/>
      <c r="E1" s="57"/>
      <c r="F1" s="57"/>
      <c r="G1" s="57"/>
    </row>
    <row r="2" spans="1:7" ht="14.4">
      <c r="A2" s="63" t="s">
        <v>297</v>
      </c>
      <c r="B2" s="59"/>
      <c r="C2" s="59"/>
      <c r="D2" s="59"/>
      <c r="E2" s="59"/>
      <c r="F2" s="59"/>
      <c r="G2" s="59"/>
    </row>
    <row r="3" spans="1:7" ht="27.6">
      <c r="A3" s="2" t="s">
        <v>2</v>
      </c>
      <c r="B3" s="2" t="s">
        <v>4</v>
      </c>
      <c r="C3" s="2" t="s">
        <v>298</v>
      </c>
      <c r="D3" s="2" t="s">
        <v>3</v>
      </c>
      <c r="E3" s="2" t="s">
        <v>12</v>
      </c>
      <c r="F3" s="2" t="s">
        <v>299</v>
      </c>
      <c r="G3" s="2" t="s">
        <v>14</v>
      </c>
    </row>
    <row r="4" spans="1:7" ht="41.4">
      <c r="A4" s="3" t="s">
        <v>300</v>
      </c>
      <c r="B4" s="3" t="s">
        <v>301</v>
      </c>
      <c r="C4" s="3" t="s">
        <v>302</v>
      </c>
      <c r="D4" s="3" t="s">
        <v>27</v>
      </c>
      <c r="E4" s="3" t="s">
        <v>39</v>
      </c>
      <c r="F4" s="4">
        <v>46225</v>
      </c>
      <c r="G4" s="3" t="s">
        <v>303</v>
      </c>
    </row>
    <row r="5" spans="1:7" ht="27.6">
      <c r="A5" s="3" t="s">
        <v>300</v>
      </c>
      <c r="B5" s="3" t="s">
        <v>304</v>
      </c>
      <c r="C5" s="3" t="s">
        <v>305</v>
      </c>
      <c r="D5" s="3" t="s">
        <v>27</v>
      </c>
      <c r="E5" s="3" t="s">
        <v>52</v>
      </c>
      <c r="F5" s="4">
        <v>46225</v>
      </c>
      <c r="G5" s="3" t="s">
        <v>306</v>
      </c>
    </row>
    <row r="6" spans="1:7" ht="27.6">
      <c r="A6" s="3" t="s">
        <v>300</v>
      </c>
      <c r="B6" s="3" t="s">
        <v>307</v>
      </c>
      <c r="C6" s="3" t="s">
        <v>308</v>
      </c>
      <c r="D6" s="3" t="s">
        <v>27</v>
      </c>
      <c r="E6" s="3" t="s">
        <v>83</v>
      </c>
      <c r="F6" s="4">
        <v>46225</v>
      </c>
      <c r="G6" s="3" t="s">
        <v>306</v>
      </c>
    </row>
    <row r="7" spans="1:7">
      <c r="A7" s="3" t="s">
        <v>300</v>
      </c>
      <c r="B7" s="3" t="s">
        <v>309</v>
      </c>
      <c r="C7" s="3" t="s">
        <v>310</v>
      </c>
      <c r="D7" s="3" t="s">
        <v>311</v>
      </c>
      <c r="E7" s="3" t="s">
        <v>312</v>
      </c>
      <c r="F7" s="4">
        <v>46225</v>
      </c>
      <c r="G7" s="3" t="s">
        <v>313</v>
      </c>
    </row>
    <row r="8" spans="1:7" ht="41.4">
      <c r="A8" s="3" t="s">
        <v>15</v>
      </c>
      <c r="B8" s="3" t="s">
        <v>17</v>
      </c>
      <c r="C8" s="3" t="s">
        <v>19</v>
      </c>
      <c r="D8" s="3" t="s">
        <v>19</v>
      </c>
      <c r="E8" s="3" t="s">
        <v>20</v>
      </c>
      <c r="F8" s="4">
        <v>46225</v>
      </c>
      <c r="G8" s="3" t="s">
        <v>22</v>
      </c>
    </row>
    <row r="9" spans="1:7" ht="41.4">
      <c r="A9" s="3" t="s">
        <v>34</v>
      </c>
      <c r="B9" s="3" t="s">
        <v>36</v>
      </c>
      <c r="C9" s="3" t="s">
        <v>38</v>
      </c>
      <c r="D9" s="3" t="s">
        <v>38</v>
      </c>
      <c r="E9" s="3" t="s">
        <v>39</v>
      </c>
      <c r="F9" s="4">
        <v>46225</v>
      </c>
      <c r="G9" s="3" t="s">
        <v>41</v>
      </c>
    </row>
    <row r="10" spans="1:7" ht="41.4">
      <c r="A10" s="3" t="s">
        <v>44</v>
      </c>
      <c r="B10" s="3" t="s">
        <v>46</v>
      </c>
      <c r="C10" s="3" t="s">
        <v>48</v>
      </c>
      <c r="D10" s="3" t="s">
        <v>33</v>
      </c>
      <c r="E10" s="3" t="s">
        <v>39</v>
      </c>
      <c r="F10" s="4">
        <v>46225</v>
      </c>
      <c r="G10" s="3" t="s">
        <v>50</v>
      </c>
    </row>
    <row r="11" spans="1:7" ht="27.6">
      <c r="A11" s="3" t="s">
        <v>44</v>
      </c>
      <c r="B11" s="3" t="s">
        <v>42</v>
      </c>
      <c r="C11" s="3" t="s">
        <v>33</v>
      </c>
      <c r="D11" s="3" t="s">
        <v>33</v>
      </c>
      <c r="E11" s="3" t="s">
        <v>52</v>
      </c>
      <c r="F11" s="4">
        <v>46225</v>
      </c>
      <c r="G11" s="3" t="s">
        <v>314</v>
      </c>
    </row>
    <row r="12" spans="1:7" ht="41.4">
      <c r="A12" s="3" t="s">
        <v>53</v>
      </c>
      <c r="B12" s="3" t="s">
        <v>55</v>
      </c>
      <c r="C12" s="3" t="s">
        <v>48</v>
      </c>
      <c r="D12" s="3" t="s">
        <v>33</v>
      </c>
      <c r="E12" s="3" t="s">
        <v>39</v>
      </c>
      <c r="F12" s="4">
        <v>46225</v>
      </c>
      <c r="G12" s="3" t="s">
        <v>57</v>
      </c>
    </row>
    <row r="13" spans="1:7" ht="27.6">
      <c r="A13" s="3" t="s">
        <v>53</v>
      </c>
      <c r="B13" s="3" t="s">
        <v>42</v>
      </c>
      <c r="C13" s="3" t="s">
        <v>59</v>
      </c>
      <c r="D13" s="3" t="s">
        <v>59</v>
      </c>
      <c r="E13" s="3" t="s">
        <v>52</v>
      </c>
      <c r="F13" s="4">
        <v>46225</v>
      </c>
      <c r="G13" s="3" t="s">
        <v>314</v>
      </c>
    </row>
    <row r="14" spans="1:7" ht="41.4">
      <c r="A14" s="3" t="s">
        <v>60</v>
      </c>
      <c r="B14" s="3" t="s">
        <v>62</v>
      </c>
      <c r="C14" s="3" t="s">
        <v>64</v>
      </c>
      <c r="D14" s="3" t="s">
        <v>33</v>
      </c>
      <c r="E14" s="3" t="s">
        <v>39</v>
      </c>
      <c r="F14" s="4">
        <v>46225</v>
      </c>
      <c r="G14" s="3" t="s">
        <v>65</v>
      </c>
    </row>
    <row r="15" spans="1:7" ht="41.4">
      <c r="A15" s="3" t="s">
        <v>67</v>
      </c>
      <c r="B15" s="3" t="s">
        <v>36</v>
      </c>
      <c r="C15" s="3" t="s">
        <v>70</v>
      </c>
      <c r="D15" s="3" t="s">
        <v>70</v>
      </c>
      <c r="E15" s="3" t="s">
        <v>39</v>
      </c>
      <c r="F15" s="4">
        <v>46225</v>
      </c>
      <c r="G15" s="3" t="s">
        <v>71</v>
      </c>
    </row>
    <row r="16" spans="1:7" ht="41.4">
      <c r="A16" s="3" t="s">
        <v>73</v>
      </c>
      <c r="B16" s="3" t="s">
        <v>75</v>
      </c>
      <c r="C16" s="3" t="s">
        <v>77</v>
      </c>
      <c r="D16" s="3" t="s">
        <v>77</v>
      </c>
      <c r="E16" s="3" t="s">
        <v>39</v>
      </c>
      <c r="F16" s="4">
        <v>46225</v>
      </c>
      <c r="G16" s="3" t="s">
        <v>78</v>
      </c>
    </row>
    <row r="17" spans="1:7" ht="27.6">
      <c r="A17" s="3" t="s">
        <v>73</v>
      </c>
      <c r="B17" s="3" t="s">
        <v>42</v>
      </c>
      <c r="C17" s="3" t="s">
        <v>33</v>
      </c>
      <c r="D17" s="3" t="s">
        <v>33</v>
      </c>
      <c r="E17" s="3" t="s">
        <v>83</v>
      </c>
      <c r="F17" s="4">
        <v>46225</v>
      </c>
      <c r="G17" s="3" t="s">
        <v>314</v>
      </c>
    </row>
    <row r="18" spans="1:7" ht="41.4">
      <c r="A18" s="3" t="s">
        <v>84</v>
      </c>
      <c r="B18" s="3" t="s">
        <v>46</v>
      </c>
      <c r="C18" s="3" t="s">
        <v>48</v>
      </c>
      <c r="D18" s="3" t="s">
        <v>33</v>
      </c>
      <c r="E18" s="3" t="s">
        <v>39</v>
      </c>
      <c r="F18" s="4">
        <v>46225</v>
      </c>
      <c r="G18" s="3" t="s">
        <v>87</v>
      </c>
    </row>
    <row r="19" spans="1:7" ht="27.6">
      <c r="A19" s="3" t="s">
        <v>84</v>
      </c>
      <c r="B19" s="3" t="s">
        <v>94</v>
      </c>
      <c r="C19" s="3" t="s">
        <v>33</v>
      </c>
      <c r="D19" s="3" t="s">
        <v>33</v>
      </c>
      <c r="E19" s="3" t="s">
        <v>83</v>
      </c>
      <c r="F19" s="4">
        <v>46225</v>
      </c>
      <c r="G19" s="3" t="s">
        <v>314</v>
      </c>
    </row>
    <row r="20" spans="1:7" ht="41.4">
      <c r="A20" s="3" t="s">
        <v>95</v>
      </c>
      <c r="B20" s="3" t="s">
        <v>96</v>
      </c>
      <c r="C20" s="3" t="s">
        <v>98</v>
      </c>
      <c r="D20" s="3" t="s">
        <v>98</v>
      </c>
      <c r="E20" s="3" t="s">
        <v>99</v>
      </c>
      <c r="F20" s="4">
        <v>46225</v>
      </c>
      <c r="G20" s="3" t="s">
        <v>100</v>
      </c>
    </row>
    <row r="21" spans="1:7" ht="41.4">
      <c r="A21" s="3" t="s">
        <v>111</v>
      </c>
      <c r="B21" s="3" t="s">
        <v>113</v>
      </c>
      <c r="C21" s="3" t="s">
        <v>98</v>
      </c>
      <c r="D21" s="3" t="s">
        <v>98</v>
      </c>
      <c r="E21" s="3" t="s">
        <v>115</v>
      </c>
      <c r="F21" s="4">
        <v>46225</v>
      </c>
      <c r="G21" s="3" t="s">
        <v>116</v>
      </c>
    </row>
    <row r="22" spans="1:7" ht="41.4">
      <c r="A22" s="3" t="s">
        <v>119</v>
      </c>
      <c r="B22" s="3" t="s">
        <v>120</v>
      </c>
      <c r="C22" s="3" t="s">
        <v>122</v>
      </c>
      <c r="D22" s="3" t="s">
        <v>33</v>
      </c>
      <c r="E22" s="3" t="s">
        <v>39</v>
      </c>
      <c r="F22" s="4">
        <v>46225</v>
      </c>
      <c r="G22" s="3" t="s">
        <v>123</v>
      </c>
    </row>
    <row r="23" spans="1:7" ht="41.4">
      <c r="A23" s="3" t="s">
        <v>132</v>
      </c>
      <c r="B23" s="3" t="s">
        <v>120</v>
      </c>
      <c r="C23" s="3" t="s">
        <v>134</v>
      </c>
      <c r="D23" s="3" t="s">
        <v>134</v>
      </c>
      <c r="E23" s="3" t="s">
        <v>39</v>
      </c>
      <c r="F23" s="4">
        <v>46225</v>
      </c>
      <c r="G23" s="3" t="s">
        <v>116</v>
      </c>
    </row>
    <row r="24" spans="1:7" ht="41.4">
      <c r="A24" s="3" t="s">
        <v>135</v>
      </c>
      <c r="B24" s="3" t="s">
        <v>36</v>
      </c>
      <c r="C24" s="3" t="s">
        <v>122</v>
      </c>
      <c r="D24" s="3" t="s">
        <v>33</v>
      </c>
      <c r="E24" s="3" t="s">
        <v>39</v>
      </c>
      <c r="F24" s="4">
        <v>46225</v>
      </c>
      <c r="G24" s="3" t="s">
        <v>116</v>
      </c>
    </row>
    <row r="25" spans="1:7" ht="41.4">
      <c r="A25" s="3" t="s">
        <v>138</v>
      </c>
      <c r="B25" s="3" t="s">
        <v>139</v>
      </c>
      <c r="C25" s="3" t="s">
        <v>141</v>
      </c>
      <c r="D25" s="3" t="s">
        <v>33</v>
      </c>
      <c r="E25" s="3" t="s">
        <v>39</v>
      </c>
      <c r="F25" s="4">
        <v>46225</v>
      </c>
      <c r="G25" s="3" t="s">
        <v>116</v>
      </c>
    </row>
    <row r="26" spans="1:7" ht="41.4">
      <c r="A26" s="3" t="s">
        <v>149</v>
      </c>
      <c r="B26" s="3" t="s">
        <v>151</v>
      </c>
      <c r="C26" s="3" t="s">
        <v>127</v>
      </c>
      <c r="D26" s="3" t="s">
        <v>127</v>
      </c>
      <c r="E26" s="3" t="s">
        <v>39</v>
      </c>
      <c r="F26" s="4">
        <v>46225</v>
      </c>
      <c r="G26" s="3" t="s">
        <v>116</v>
      </c>
    </row>
    <row r="27" spans="1:7" ht="41.4">
      <c r="A27" s="3" t="s">
        <v>157</v>
      </c>
      <c r="B27" s="3" t="s">
        <v>159</v>
      </c>
      <c r="C27" s="3" t="s">
        <v>161</v>
      </c>
      <c r="D27" s="3" t="s">
        <v>161</v>
      </c>
      <c r="E27" s="3" t="s">
        <v>39</v>
      </c>
      <c r="F27" s="4">
        <v>46225</v>
      </c>
      <c r="G27" s="3" t="s">
        <v>162</v>
      </c>
    </row>
    <row r="28" spans="1:7" ht="27.6">
      <c r="A28" s="3" t="s">
        <v>166</v>
      </c>
      <c r="B28" s="3" t="s">
        <v>168</v>
      </c>
      <c r="C28" s="3" t="s">
        <v>170</v>
      </c>
      <c r="D28" s="3" t="s">
        <v>33</v>
      </c>
      <c r="E28" s="3" t="s">
        <v>171</v>
      </c>
      <c r="F28" s="4">
        <v>46225</v>
      </c>
      <c r="G28" s="3" t="s">
        <v>172</v>
      </c>
    </row>
    <row r="29" spans="1:7" ht="27.6">
      <c r="A29" s="3" t="s">
        <v>185</v>
      </c>
      <c r="B29" s="3" t="s">
        <v>187</v>
      </c>
      <c r="C29" s="3" t="s">
        <v>189</v>
      </c>
      <c r="D29" s="3" t="s">
        <v>189</v>
      </c>
      <c r="E29" s="3" t="s">
        <v>190</v>
      </c>
      <c r="F29" s="4">
        <v>46225</v>
      </c>
      <c r="G29" s="3" t="s">
        <v>314</v>
      </c>
    </row>
    <row r="30" spans="1:7" ht="27.6">
      <c r="A30" s="3" t="s">
        <v>185</v>
      </c>
      <c r="B30" s="3" t="s">
        <v>156</v>
      </c>
      <c r="C30" s="3" t="s">
        <v>33</v>
      </c>
      <c r="D30" s="3" t="s">
        <v>33</v>
      </c>
      <c r="E30" s="3" t="s">
        <v>171</v>
      </c>
      <c r="F30" s="4">
        <v>46225</v>
      </c>
      <c r="G30" s="3" t="s">
        <v>314</v>
      </c>
    </row>
    <row r="31" spans="1:7" ht="27.6">
      <c r="A31" s="3" t="s">
        <v>194</v>
      </c>
      <c r="B31" s="3" t="s">
        <v>196</v>
      </c>
      <c r="C31" s="3" t="s">
        <v>198</v>
      </c>
      <c r="D31" s="3" t="s">
        <v>198</v>
      </c>
      <c r="E31" s="3" t="s">
        <v>199</v>
      </c>
      <c r="F31" s="4">
        <v>46225</v>
      </c>
      <c r="G31" s="3" t="s">
        <v>200</v>
      </c>
    </row>
    <row r="32" spans="1:7" ht="41.4">
      <c r="A32" s="3" t="s">
        <v>204</v>
      </c>
      <c r="B32" s="3" t="s">
        <v>206</v>
      </c>
      <c r="C32" s="3" t="s">
        <v>208</v>
      </c>
      <c r="D32" s="3" t="s">
        <v>208</v>
      </c>
      <c r="E32" s="3" t="s">
        <v>209</v>
      </c>
      <c r="F32" s="4">
        <v>46225</v>
      </c>
      <c r="G32" s="3" t="s">
        <v>314</v>
      </c>
    </row>
    <row r="33" spans="1:7" ht="41.4">
      <c r="A33" s="3" t="s">
        <v>215</v>
      </c>
      <c r="B33" s="3" t="s">
        <v>216</v>
      </c>
      <c r="C33" s="3" t="s">
        <v>218</v>
      </c>
      <c r="D33" s="3" t="s">
        <v>198</v>
      </c>
      <c r="E33" s="3" t="s">
        <v>219</v>
      </c>
      <c r="F33" s="4">
        <v>46225</v>
      </c>
      <c r="G33" s="3" t="s">
        <v>220</v>
      </c>
    </row>
    <row r="34" spans="1:7" ht="27.6">
      <c r="A34" s="3" t="s">
        <v>215</v>
      </c>
      <c r="B34" s="3" t="s">
        <v>42</v>
      </c>
      <c r="C34" s="3" t="s">
        <v>198</v>
      </c>
      <c r="D34" s="3" t="s">
        <v>198</v>
      </c>
      <c r="E34" s="3" t="s">
        <v>221</v>
      </c>
      <c r="F34" s="4">
        <v>46225</v>
      </c>
      <c r="G34" s="3" t="s">
        <v>314</v>
      </c>
    </row>
  </sheetData>
  <mergeCells count="2">
    <mergeCell ref="A1:G1"/>
    <mergeCell ref="A2:G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13"/>
  <sheetViews>
    <sheetView showGridLines="0" workbookViewId="0">
      <selection sqref="A1:F1"/>
    </sheetView>
  </sheetViews>
  <sheetFormatPr defaultRowHeight="13.8"/>
  <cols>
    <col min="1" max="1" width="28" customWidth="1"/>
    <col min="2" max="2" width="39" customWidth="1"/>
    <col min="3" max="3" width="34" customWidth="1"/>
    <col min="4" max="4" width="14" customWidth="1"/>
    <col min="5" max="5" width="30" customWidth="1"/>
    <col min="6" max="6" width="54" customWidth="1"/>
  </cols>
  <sheetData>
    <row r="1" spans="1:6" ht="28.05" customHeight="1">
      <c r="A1" s="57" t="s">
        <v>315</v>
      </c>
      <c r="B1" s="57"/>
      <c r="C1" s="57"/>
      <c r="D1" s="57"/>
      <c r="E1" s="57"/>
      <c r="F1" s="57"/>
    </row>
    <row r="2" spans="1:6">
      <c r="A2" s="1"/>
      <c r="B2" s="1"/>
      <c r="C2" s="1"/>
      <c r="D2" s="1"/>
      <c r="E2" s="1"/>
      <c r="F2" s="1"/>
    </row>
    <row r="3" spans="1:6">
      <c r="A3" s="2" t="s">
        <v>316</v>
      </c>
      <c r="B3" s="2" t="s">
        <v>317</v>
      </c>
      <c r="C3" s="2" t="s">
        <v>318</v>
      </c>
      <c r="D3" s="2" t="s">
        <v>319</v>
      </c>
      <c r="E3" s="2" t="s">
        <v>320</v>
      </c>
      <c r="F3" s="2" t="s">
        <v>14</v>
      </c>
    </row>
    <row r="4" spans="1:6">
      <c r="A4" s="3" t="s">
        <v>321</v>
      </c>
      <c r="B4" s="3" t="s">
        <v>322</v>
      </c>
      <c r="C4" s="3" t="s">
        <v>323</v>
      </c>
      <c r="D4" s="3" t="s">
        <v>324</v>
      </c>
      <c r="E4" s="3" t="s">
        <v>325</v>
      </c>
      <c r="F4" s="3" t="s">
        <v>326</v>
      </c>
    </row>
    <row r="5" spans="1:6">
      <c r="A5" s="3" t="s">
        <v>327</v>
      </c>
      <c r="B5" s="3" t="s">
        <v>328</v>
      </c>
      <c r="C5" s="3" t="s">
        <v>329</v>
      </c>
      <c r="D5" s="3" t="s">
        <v>324</v>
      </c>
      <c r="E5" s="3" t="s">
        <v>330</v>
      </c>
      <c r="F5" s="3" t="s">
        <v>331</v>
      </c>
    </row>
    <row r="6" spans="1:6">
      <c r="A6" s="3" t="s">
        <v>332</v>
      </c>
      <c r="B6" s="3" t="s">
        <v>333</v>
      </c>
      <c r="C6" s="3" t="s">
        <v>334</v>
      </c>
      <c r="D6" s="3" t="s">
        <v>324</v>
      </c>
      <c r="E6" s="3" t="s">
        <v>335</v>
      </c>
      <c r="F6" s="3" t="s">
        <v>336</v>
      </c>
    </row>
    <row r="7" spans="1:6" ht="27.6">
      <c r="A7" s="3" t="s">
        <v>337</v>
      </c>
      <c r="B7" s="3" t="s">
        <v>338</v>
      </c>
      <c r="C7" s="3" t="s">
        <v>339</v>
      </c>
      <c r="D7" s="3" t="s">
        <v>324</v>
      </c>
      <c r="E7" s="3" t="s">
        <v>340</v>
      </c>
      <c r="F7" s="3" t="s">
        <v>341</v>
      </c>
    </row>
    <row r="8" spans="1:6">
      <c r="A8" s="3" t="s">
        <v>342</v>
      </c>
      <c r="B8" s="3" t="s">
        <v>343</v>
      </c>
      <c r="C8" s="3" t="s">
        <v>339</v>
      </c>
      <c r="D8" s="3" t="s">
        <v>344</v>
      </c>
      <c r="E8" s="3" t="s">
        <v>345</v>
      </c>
      <c r="F8" s="3" t="s">
        <v>346</v>
      </c>
    </row>
    <row r="9" spans="1:6">
      <c r="A9" s="3" t="s">
        <v>347</v>
      </c>
      <c r="B9" s="3" t="s">
        <v>348</v>
      </c>
      <c r="C9" s="3" t="s">
        <v>349</v>
      </c>
      <c r="D9" s="3" t="s">
        <v>324</v>
      </c>
      <c r="E9" s="3" t="s">
        <v>350</v>
      </c>
      <c r="F9" s="3" t="s">
        <v>351</v>
      </c>
    </row>
    <row r="10" spans="1:6">
      <c r="A10" s="3" t="s">
        <v>352</v>
      </c>
      <c r="B10" s="3" t="s">
        <v>348</v>
      </c>
      <c r="C10" s="3" t="s">
        <v>349</v>
      </c>
      <c r="D10" s="3" t="s">
        <v>324</v>
      </c>
      <c r="E10" s="3" t="s">
        <v>353</v>
      </c>
      <c r="F10" s="3" t="s">
        <v>351</v>
      </c>
    </row>
    <row r="11" spans="1:6" ht="27.6">
      <c r="A11" s="3" t="s">
        <v>354</v>
      </c>
      <c r="B11" s="3" t="s">
        <v>355</v>
      </c>
      <c r="C11" s="3" t="s">
        <v>356</v>
      </c>
      <c r="D11" s="3" t="s">
        <v>324</v>
      </c>
      <c r="E11" s="3" t="s">
        <v>357</v>
      </c>
      <c r="F11" s="3" t="s">
        <v>358</v>
      </c>
    </row>
    <row r="12" spans="1:6">
      <c r="A12" s="3" t="s">
        <v>359</v>
      </c>
      <c r="B12" s="3" t="s">
        <v>360</v>
      </c>
      <c r="C12" s="3" t="s">
        <v>339</v>
      </c>
      <c r="D12" s="3" t="s">
        <v>324</v>
      </c>
      <c r="E12" s="3" t="s">
        <v>361</v>
      </c>
      <c r="F12" s="3" t="s">
        <v>362</v>
      </c>
    </row>
    <row r="13" spans="1:6">
      <c r="A13" s="3" t="s">
        <v>363</v>
      </c>
      <c r="B13" s="3" t="s">
        <v>364</v>
      </c>
      <c r="C13" s="3" t="s">
        <v>365</v>
      </c>
      <c r="D13" s="3" t="s">
        <v>344</v>
      </c>
      <c r="E13" s="3" t="s">
        <v>366</v>
      </c>
      <c r="F13" s="3" t="s">
        <v>367</v>
      </c>
    </row>
  </sheetData>
  <mergeCells count="1">
    <mergeCell ref="A1:F1"/>
  </mergeCells>
  <conditionalFormatting sqref="D4:D13">
    <cfRule type="containsText" dxfId="1" priority="1" operator="containsText" text="REVISAR"/>
    <cfRule type="containsText" dxfId="0" priority="2" operator="containsText" text="OK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3CD14-699A-4227-9788-A1B334DC3747}">
  <sheetPr codeName="Sheet8"/>
  <dimension ref="A1:H32"/>
  <sheetViews>
    <sheetView showGridLines="0" workbookViewId="0">
      <selection sqref="A1:H1"/>
    </sheetView>
  </sheetViews>
  <sheetFormatPr defaultRowHeight="13.8"/>
  <cols>
    <col min="1" max="1" width="11.69921875" style="18" bestFit="1" customWidth="1"/>
    <col min="2" max="2" width="32.69921875" style="18" customWidth="1"/>
    <col min="3" max="3" width="14.8984375" style="18" bestFit="1" customWidth="1"/>
    <col min="4" max="4" width="19.3984375" style="18" bestFit="1" customWidth="1"/>
    <col min="5" max="5" width="18.5" style="18" bestFit="1" customWidth="1"/>
    <col min="6" max="6" width="12.69921875" style="18" bestFit="1" customWidth="1"/>
    <col min="7" max="7" width="11.3984375" style="18" bestFit="1" customWidth="1"/>
    <col min="8" max="8" width="48.69921875" style="18" customWidth="1"/>
    <col min="9" max="16384" width="8.796875" style="18"/>
  </cols>
  <sheetData>
    <row r="1" spans="1:8" ht="15.6">
      <c r="A1" s="64" t="s">
        <v>440</v>
      </c>
      <c r="B1" s="64"/>
      <c r="C1" s="64"/>
      <c r="D1" s="64"/>
      <c r="E1" s="64"/>
      <c r="F1" s="64"/>
      <c r="G1" s="64"/>
      <c r="H1" s="64"/>
    </row>
    <row r="2" spans="1:8">
      <c r="A2" s="65" t="s">
        <v>441</v>
      </c>
      <c r="B2" s="65"/>
      <c r="C2" s="65"/>
      <c r="D2" s="65"/>
      <c r="E2" s="65"/>
      <c r="F2" s="65"/>
      <c r="G2" s="65"/>
      <c r="H2" s="65"/>
    </row>
    <row r="3" spans="1:8">
      <c r="A3" s="19" t="s">
        <v>442</v>
      </c>
      <c r="B3" s="19" t="s">
        <v>443</v>
      </c>
      <c r="C3" s="19" t="s">
        <v>444</v>
      </c>
      <c r="D3" s="19" t="s">
        <v>445</v>
      </c>
      <c r="E3" s="19" t="s">
        <v>446</v>
      </c>
      <c r="F3" s="19" t="s">
        <v>447</v>
      </c>
      <c r="G3" s="19" t="s">
        <v>448</v>
      </c>
      <c r="H3" s="19" t="s">
        <v>14</v>
      </c>
    </row>
    <row r="4" spans="1:8">
      <c r="A4" s="18" t="s">
        <v>449</v>
      </c>
      <c r="B4" s="18" t="s">
        <v>15</v>
      </c>
      <c r="C4" s="18" t="s">
        <v>450</v>
      </c>
      <c r="D4" s="22">
        <v>34700</v>
      </c>
      <c r="E4" s="22">
        <v>35795</v>
      </c>
      <c r="F4" s="18" t="s">
        <v>451</v>
      </c>
      <c r="G4" s="22">
        <v>46227</v>
      </c>
      <c r="H4" s="18" t="s">
        <v>452</v>
      </c>
    </row>
    <row r="5" spans="1:8">
      <c r="A5" s="18" t="s">
        <v>453</v>
      </c>
      <c r="B5" s="18" t="s">
        <v>34</v>
      </c>
      <c r="C5" s="18" t="s">
        <v>450</v>
      </c>
      <c r="D5" s="22">
        <v>34700</v>
      </c>
      <c r="E5" s="22">
        <v>35430</v>
      </c>
      <c r="F5" s="18" t="s">
        <v>451</v>
      </c>
      <c r="G5" s="22">
        <v>46227</v>
      </c>
      <c r="H5" s="18" t="s">
        <v>452</v>
      </c>
    </row>
    <row r="6" spans="1:8">
      <c r="A6" s="18" t="s">
        <v>454</v>
      </c>
      <c r="B6" s="18" t="s">
        <v>44</v>
      </c>
      <c r="C6" s="18" t="s">
        <v>450</v>
      </c>
      <c r="D6" s="22">
        <v>34700</v>
      </c>
      <c r="E6" s="22">
        <v>35795</v>
      </c>
      <c r="F6" s="18" t="s">
        <v>451</v>
      </c>
      <c r="G6" s="22">
        <v>46227</v>
      </c>
      <c r="H6" s="18" t="s">
        <v>452</v>
      </c>
    </row>
    <row r="7" spans="1:8">
      <c r="A7" s="18" t="s">
        <v>455</v>
      </c>
      <c r="B7" s="18" t="s">
        <v>53</v>
      </c>
      <c r="C7" s="18" t="s">
        <v>450</v>
      </c>
      <c r="D7" s="22">
        <v>34700</v>
      </c>
      <c r="E7" s="22">
        <v>40543</v>
      </c>
      <c r="F7" s="18" t="s">
        <v>451</v>
      </c>
      <c r="G7" s="22">
        <v>46227</v>
      </c>
      <c r="H7" s="18" t="s">
        <v>452</v>
      </c>
    </row>
    <row r="8" spans="1:8">
      <c r="A8" s="18" t="s">
        <v>456</v>
      </c>
      <c r="B8" s="18" t="s">
        <v>60</v>
      </c>
      <c r="C8" s="18" t="s">
        <v>450</v>
      </c>
      <c r="D8" s="22">
        <v>34700</v>
      </c>
      <c r="E8" s="22">
        <v>39069</v>
      </c>
      <c r="F8" s="18" t="s">
        <v>451</v>
      </c>
      <c r="G8" s="22">
        <v>46227</v>
      </c>
      <c r="H8" s="18" t="s">
        <v>452</v>
      </c>
    </row>
    <row r="9" spans="1:8">
      <c r="A9" s="18" t="s">
        <v>457</v>
      </c>
      <c r="B9" s="18" t="s">
        <v>67</v>
      </c>
      <c r="C9" s="18" t="s">
        <v>450</v>
      </c>
      <c r="D9" s="22">
        <v>35431</v>
      </c>
      <c r="E9" s="22">
        <v>41274</v>
      </c>
      <c r="F9" s="18" t="s">
        <v>451</v>
      </c>
      <c r="G9" s="22">
        <v>46227</v>
      </c>
      <c r="H9" s="18" t="s">
        <v>452</v>
      </c>
    </row>
    <row r="10" spans="1:8">
      <c r="A10" s="18" t="s">
        <v>458</v>
      </c>
      <c r="B10" s="18" t="s">
        <v>73</v>
      </c>
      <c r="C10" s="18" t="s">
        <v>450</v>
      </c>
      <c r="D10" s="22">
        <v>35823</v>
      </c>
      <c r="E10" s="22">
        <v>39813</v>
      </c>
      <c r="F10" s="18" t="s">
        <v>451</v>
      </c>
      <c r="G10" s="22">
        <v>46227</v>
      </c>
      <c r="H10" s="18" t="s">
        <v>452</v>
      </c>
    </row>
    <row r="11" spans="1:8">
      <c r="A11" s="18" t="s">
        <v>459</v>
      </c>
      <c r="B11" s="18" t="s">
        <v>84</v>
      </c>
      <c r="C11" s="18" t="s">
        <v>450</v>
      </c>
      <c r="D11" s="22">
        <v>35796</v>
      </c>
      <c r="E11" s="22">
        <v>40178</v>
      </c>
      <c r="F11" s="18" t="s">
        <v>451</v>
      </c>
      <c r="G11" s="22">
        <v>46227</v>
      </c>
      <c r="H11" s="18" t="s">
        <v>452</v>
      </c>
    </row>
    <row r="12" spans="1:8">
      <c r="A12" s="18" t="s">
        <v>460</v>
      </c>
      <c r="B12" s="18" t="s">
        <v>95</v>
      </c>
      <c r="C12" s="18" t="s">
        <v>450</v>
      </c>
      <c r="D12" s="22">
        <v>39267</v>
      </c>
      <c r="E12" s="22">
        <v>43434</v>
      </c>
      <c r="F12" s="18" t="s">
        <v>451</v>
      </c>
      <c r="G12" s="22">
        <v>46227</v>
      </c>
      <c r="H12" s="18" t="s">
        <v>452</v>
      </c>
    </row>
    <row r="13" spans="1:8">
      <c r="A13" s="18" t="s">
        <v>461</v>
      </c>
      <c r="B13" s="18" t="s">
        <v>111</v>
      </c>
      <c r="C13" s="18" t="s">
        <v>450</v>
      </c>
      <c r="D13" s="22">
        <v>39960</v>
      </c>
      <c r="E13" s="22">
        <v>42735</v>
      </c>
      <c r="F13" s="18" t="s">
        <v>451</v>
      </c>
      <c r="G13" s="22">
        <v>46227</v>
      </c>
      <c r="H13" s="18" t="s">
        <v>452</v>
      </c>
    </row>
    <row r="14" spans="1:8">
      <c r="A14" s="18" t="s">
        <v>462</v>
      </c>
      <c r="B14" s="18" t="s">
        <v>119</v>
      </c>
      <c r="C14" s="18" t="s">
        <v>450</v>
      </c>
      <c r="D14" s="22">
        <v>40179</v>
      </c>
      <c r="E14" s="22">
        <v>43069</v>
      </c>
      <c r="F14" s="18" t="s">
        <v>451</v>
      </c>
      <c r="G14" s="22">
        <v>46227</v>
      </c>
      <c r="H14" s="18" t="s">
        <v>452</v>
      </c>
    </row>
    <row r="15" spans="1:8">
      <c r="A15" s="18" t="s">
        <v>463</v>
      </c>
      <c r="B15" s="18" t="s">
        <v>132</v>
      </c>
      <c r="C15" s="18" t="s">
        <v>450</v>
      </c>
      <c r="D15" s="22">
        <v>40544</v>
      </c>
      <c r="E15" s="22">
        <v>43465</v>
      </c>
      <c r="F15" s="18" t="s">
        <v>451</v>
      </c>
      <c r="G15" s="22">
        <v>46227</v>
      </c>
      <c r="H15" s="18" t="s">
        <v>452</v>
      </c>
    </row>
    <row r="16" spans="1:8">
      <c r="A16" s="18" t="s">
        <v>464</v>
      </c>
      <c r="B16" s="18" t="s">
        <v>135</v>
      </c>
      <c r="C16" s="18" t="s">
        <v>450</v>
      </c>
      <c r="D16" s="22">
        <v>41275</v>
      </c>
      <c r="E16" s="22">
        <v>44196</v>
      </c>
      <c r="F16" s="18" t="s">
        <v>451</v>
      </c>
      <c r="G16" s="22">
        <v>46227</v>
      </c>
      <c r="H16" s="18" t="s">
        <v>452</v>
      </c>
    </row>
    <row r="17" spans="1:8">
      <c r="A17" s="18" t="s">
        <v>465</v>
      </c>
      <c r="B17" s="18" t="s">
        <v>138</v>
      </c>
      <c r="C17" s="18" t="s">
        <v>450</v>
      </c>
      <c r="D17" s="22">
        <v>42736</v>
      </c>
      <c r="E17" s="22">
        <v>44561</v>
      </c>
      <c r="F17" s="18" t="s">
        <v>451</v>
      </c>
      <c r="G17" s="22">
        <v>46227</v>
      </c>
      <c r="H17" s="18" t="s">
        <v>452</v>
      </c>
    </row>
    <row r="18" spans="1:8">
      <c r="A18" s="18" t="s">
        <v>466</v>
      </c>
      <c r="B18" s="18" t="s">
        <v>149</v>
      </c>
      <c r="C18" s="18" t="s">
        <v>450</v>
      </c>
      <c r="D18" s="22">
        <v>43101</v>
      </c>
      <c r="E18" s="22">
        <v>45692</v>
      </c>
      <c r="F18" s="18" t="s">
        <v>451</v>
      </c>
      <c r="G18" s="22">
        <v>46227</v>
      </c>
      <c r="H18" s="18" t="s">
        <v>452</v>
      </c>
    </row>
    <row r="19" spans="1:8">
      <c r="A19" s="18" t="s">
        <v>467</v>
      </c>
      <c r="B19" s="18" t="s">
        <v>157</v>
      </c>
      <c r="C19" s="18" t="s">
        <v>450</v>
      </c>
      <c r="D19" s="22">
        <v>43466</v>
      </c>
      <c r="E19" s="22">
        <v>44926</v>
      </c>
      <c r="F19" s="18" t="s">
        <v>451</v>
      </c>
      <c r="G19" s="22">
        <v>46227</v>
      </c>
      <c r="H19" s="18" t="s">
        <v>452</v>
      </c>
    </row>
    <row r="20" spans="1:8">
      <c r="A20" s="18" t="s">
        <v>468</v>
      </c>
      <c r="B20" s="18" t="s">
        <v>166</v>
      </c>
      <c r="C20" s="18" t="s">
        <v>450</v>
      </c>
      <c r="D20" s="22">
        <v>43466</v>
      </c>
      <c r="E20" s="22">
        <v>46203</v>
      </c>
      <c r="F20" s="18" t="s">
        <v>469</v>
      </c>
      <c r="G20" s="22">
        <v>46227</v>
      </c>
      <c r="H20" s="18" t="s">
        <v>452</v>
      </c>
    </row>
    <row r="21" spans="1:8">
      <c r="A21" s="18" t="s">
        <v>470</v>
      </c>
      <c r="B21" s="18" t="s">
        <v>185</v>
      </c>
      <c r="C21" s="18" t="s">
        <v>450</v>
      </c>
      <c r="D21" s="22">
        <v>44197</v>
      </c>
      <c r="E21" s="22">
        <v>46203</v>
      </c>
      <c r="F21" s="18" t="s">
        <v>469</v>
      </c>
      <c r="G21" s="22">
        <v>46227</v>
      </c>
      <c r="H21" s="18" t="s">
        <v>452</v>
      </c>
    </row>
    <row r="22" spans="1:8">
      <c r="A22" s="18" t="s">
        <v>471</v>
      </c>
      <c r="B22" s="18" t="s">
        <v>194</v>
      </c>
      <c r="C22" s="18" t="s">
        <v>450</v>
      </c>
      <c r="D22" s="22">
        <v>44562</v>
      </c>
      <c r="E22" s="22">
        <v>46203</v>
      </c>
      <c r="F22" s="18" t="s">
        <v>469</v>
      </c>
      <c r="G22" s="22">
        <v>46227</v>
      </c>
      <c r="H22" s="18" t="s">
        <v>452</v>
      </c>
    </row>
    <row r="23" spans="1:8">
      <c r="A23" s="18" t="s">
        <v>472</v>
      </c>
      <c r="B23" s="18" t="s">
        <v>204</v>
      </c>
      <c r="C23" s="18" t="s">
        <v>450</v>
      </c>
      <c r="D23" s="22">
        <v>44944</v>
      </c>
      <c r="E23" s="22">
        <v>46203</v>
      </c>
      <c r="F23" s="18" t="s">
        <v>469</v>
      </c>
      <c r="G23" s="22">
        <v>46227</v>
      </c>
      <c r="H23" s="18" t="s">
        <v>452</v>
      </c>
    </row>
    <row r="24" spans="1:8">
      <c r="A24" s="18" t="s">
        <v>473</v>
      </c>
      <c r="B24" s="18" t="s">
        <v>215</v>
      </c>
      <c r="C24" s="18" t="s">
        <v>450</v>
      </c>
      <c r="D24" s="22">
        <v>45693</v>
      </c>
      <c r="E24" s="22">
        <v>46203</v>
      </c>
      <c r="F24" s="18" t="s">
        <v>469</v>
      </c>
      <c r="G24" s="22">
        <v>46227</v>
      </c>
      <c r="H24" s="18" t="s">
        <v>452</v>
      </c>
    </row>
    <row r="25" spans="1:8">
      <c r="A25" s="18" t="s">
        <v>594</v>
      </c>
      <c r="B25" s="18" t="s">
        <v>595</v>
      </c>
      <c r="C25" s="18" t="s">
        <v>596</v>
      </c>
      <c r="D25" s="22"/>
      <c r="E25" s="22"/>
      <c r="F25" s="18" t="s">
        <v>451</v>
      </c>
      <c r="G25" s="22">
        <v>46227</v>
      </c>
      <c r="H25" s="18" t="s">
        <v>597</v>
      </c>
    </row>
    <row r="26" spans="1:8">
      <c r="A26" s="18" t="s">
        <v>598</v>
      </c>
      <c r="B26" s="18" t="s">
        <v>599</v>
      </c>
      <c r="C26" s="18" t="s">
        <v>596</v>
      </c>
      <c r="D26" s="22"/>
      <c r="E26" s="22"/>
      <c r="F26" s="18" t="s">
        <v>451</v>
      </c>
      <c r="G26" s="22">
        <v>46227</v>
      </c>
      <c r="H26" s="18" t="s">
        <v>597</v>
      </c>
    </row>
    <row r="27" spans="1:8">
      <c r="A27" s="18" t="s">
        <v>600</v>
      </c>
      <c r="B27" s="18" t="s">
        <v>601</v>
      </c>
      <c r="C27" s="18" t="s">
        <v>596</v>
      </c>
      <c r="D27" s="22"/>
      <c r="E27" s="22"/>
      <c r="F27" s="18" t="s">
        <v>451</v>
      </c>
      <c r="G27" s="22">
        <v>46227</v>
      </c>
      <c r="H27" s="18" t="s">
        <v>597</v>
      </c>
    </row>
    <row r="28" spans="1:8">
      <c r="A28" s="18" t="s">
        <v>602</v>
      </c>
      <c r="B28" s="18" t="s">
        <v>603</v>
      </c>
      <c r="C28" s="18" t="s">
        <v>596</v>
      </c>
      <c r="D28" s="22"/>
      <c r="E28" s="22"/>
      <c r="F28" s="18" t="s">
        <v>451</v>
      </c>
      <c r="G28" s="22">
        <v>46227</v>
      </c>
      <c r="H28" s="18" t="s">
        <v>597</v>
      </c>
    </row>
    <row r="29" spans="1:8">
      <c r="A29" s="18" t="s">
        <v>604</v>
      </c>
      <c r="B29" s="18" t="s">
        <v>605</v>
      </c>
      <c r="C29" s="18" t="s">
        <v>596</v>
      </c>
      <c r="D29" s="22"/>
      <c r="E29" s="22"/>
      <c r="F29" s="18" t="s">
        <v>451</v>
      </c>
      <c r="G29" s="22">
        <v>46227</v>
      </c>
      <c r="H29" s="18" t="s">
        <v>597</v>
      </c>
    </row>
    <row r="30" spans="1:8">
      <c r="A30" s="18" t="s">
        <v>606</v>
      </c>
      <c r="B30" s="18" t="s">
        <v>607</v>
      </c>
      <c r="C30" s="18" t="s">
        <v>596</v>
      </c>
      <c r="D30" s="22"/>
      <c r="E30" s="22"/>
      <c r="F30" s="18" t="s">
        <v>451</v>
      </c>
      <c r="G30" s="22">
        <v>46227</v>
      </c>
      <c r="H30" s="18" t="s">
        <v>597</v>
      </c>
    </row>
    <row r="31" spans="1:8">
      <c r="A31" s="18" t="s">
        <v>608</v>
      </c>
      <c r="B31" s="18" t="s">
        <v>609</v>
      </c>
      <c r="C31" s="18" t="s">
        <v>596</v>
      </c>
      <c r="D31" s="22"/>
      <c r="E31" s="22"/>
      <c r="F31" s="18" t="s">
        <v>451</v>
      </c>
      <c r="G31" s="22">
        <v>46227</v>
      </c>
      <c r="H31" s="18" t="s">
        <v>597</v>
      </c>
    </row>
    <row r="32" spans="1:8">
      <c r="A32" s="18" t="s">
        <v>610</v>
      </c>
      <c r="B32" s="18" t="s">
        <v>611</v>
      </c>
      <c r="C32" s="18" t="s">
        <v>596</v>
      </c>
      <c r="D32" s="22"/>
      <c r="E32" s="22"/>
      <c r="F32" s="18" t="s">
        <v>451</v>
      </c>
      <c r="G32" s="22">
        <v>46227</v>
      </c>
      <c r="H32" s="18" t="s">
        <v>597</v>
      </c>
    </row>
  </sheetData>
  <mergeCells count="2">
    <mergeCell ref="A1:H1"/>
    <mergeCell ref="A2:H2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79FDF-BC91-4663-B922-E06921976A36}">
  <sheetPr codeName="Sheet9"/>
  <dimension ref="A1:I13"/>
  <sheetViews>
    <sheetView showGridLines="0" workbookViewId="0">
      <selection sqref="A1:H1"/>
    </sheetView>
  </sheetViews>
  <sheetFormatPr defaultRowHeight="13.8"/>
  <cols>
    <col min="1" max="1" width="11.296875" style="18" bestFit="1" customWidth="1"/>
    <col min="2" max="2" width="5.09765625" style="18" bestFit="1" customWidth="1"/>
    <col min="3" max="3" width="42.69921875" style="18" customWidth="1"/>
    <col min="4" max="4" width="11.59765625" style="18" bestFit="1" customWidth="1"/>
    <col min="5" max="5" width="6.69921875" style="18" bestFit="1" customWidth="1"/>
    <col min="6" max="7" width="55.69921875" style="18" customWidth="1"/>
    <col min="8" max="8" width="7.796875" style="18" bestFit="1" customWidth="1"/>
    <col min="9" max="16384" width="8.796875" style="18"/>
  </cols>
  <sheetData>
    <row r="1" spans="1:9" ht="15.6">
      <c r="A1" s="64" t="s">
        <v>474</v>
      </c>
      <c r="B1" s="64"/>
      <c r="C1" s="64"/>
      <c r="D1" s="64"/>
      <c r="E1" s="64"/>
      <c r="F1" s="64"/>
      <c r="G1" s="64"/>
      <c r="H1" s="64"/>
    </row>
    <row r="2" spans="1:9">
      <c r="A2" s="65" t="s">
        <v>475</v>
      </c>
      <c r="B2" s="65"/>
      <c r="C2" s="65"/>
      <c r="D2" s="65"/>
      <c r="E2" s="65"/>
      <c r="F2" s="65"/>
      <c r="G2" s="65"/>
      <c r="H2" s="65"/>
    </row>
    <row r="3" spans="1:9">
      <c r="A3" s="19" t="s">
        <v>476</v>
      </c>
      <c r="B3" s="19" t="s">
        <v>451</v>
      </c>
      <c r="C3" s="19" t="s">
        <v>477</v>
      </c>
      <c r="D3" s="19" t="s">
        <v>478</v>
      </c>
      <c r="E3" s="19" t="s">
        <v>479</v>
      </c>
      <c r="F3" s="19" t="s">
        <v>480</v>
      </c>
      <c r="G3" s="19" t="s">
        <v>481</v>
      </c>
      <c r="H3" s="19" t="s">
        <v>482</v>
      </c>
      <c r="I3" s="19" t="s">
        <v>668</v>
      </c>
    </row>
    <row r="4" spans="1:9">
      <c r="A4" s="18" t="s">
        <v>483</v>
      </c>
      <c r="B4" s="18">
        <v>1</v>
      </c>
      <c r="C4" s="18" t="s">
        <v>484</v>
      </c>
      <c r="D4" s="18" t="s">
        <v>485</v>
      </c>
      <c r="E4" s="29">
        <v>0.1</v>
      </c>
      <c r="F4" s="18" t="s">
        <v>486</v>
      </c>
      <c r="G4" s="18" t="s">
        <v>487</v>
      </c>
      <c r="H4" s="18" t="s">
        <v>469</v>
      </c>
      <c r="I4" s="18" t="s">
        <v>669</v>
      </c>
    </row>
    <row r="5" spans="1:9">
      <c r="A5" s="18" t="s">
        <v>488</v>
      </c>
      <c r="B5" s="18">
        <v>2</v>
      </c>
      <c r="C5" s="18" t="s">
        <v>489</v>
      </c>
      <c r="D5" s="18" t="s">
        <v>485</v>
      </c>
      <c r="E5" s="29">
        <v>0.1</v>
      </c>
      <c r="F5" s="18" t="s">
        <v>490</v>
      </c>
      <c r="G5" s="18" t="s">
        <v>487</v>
      </c>
      <c r="H5" s="18" t="s">
        <v>469</v>
      </c>
      <c r="I5" s="18" t="s">
        <v>670</v>
      </c>
    </row>
    <row r="6" spans="1:9">
      <c r="A6" s="18" t="s">
        <v>491</v>
      </c>
      <c r="B6" s="18">
        <v>3</v>
      </c>
      <c r="C6" s="18" t="s">
        <v>492</v>
      </c>
      <c r="D6" s="18" t="s">
        <v>493</v>
      </c>
      <c r="E6" s="29">
        <v>0.1</v>
      </c>
      <c r="F6" s="18" t="s">
        <v>494</v>
      </c>
      <c r="G6" s="18" t="s">
        <v>495</v>
      </c>
      <c r="H6" s="18" t="s">
        <v>469</v>
      </c>
      <c r="I6" s="18" t="s">
        <v>671</v>
      </c>
    </row>
    <row r="7" spans="1:9">
      <c r="A7" s="18" t="s">
        <v>496</v>
      </c>
      <c r="B7" s="18">
        <v>4</v>
      </c>
      <c r="C7" s="18" t="s">
        <v>497</v>
      </c>
      <c r="D7" s="18" t="s">
        <v>493</v>
      </c>
      <c r="E7" s="29">
        <v>0.1</v>
      </c>
      <c r="F7" s="18" t="s">
        <v>498</v>
      </c>
      <c r="G7" s="18" t="s">
        <v>499</v>
      </c>
      <c r="H7" s="18" t="s">
        <v>469</v>
      </c>
      <c r="I7" s="18" t="s">
        <v>672</v>
      </c>
    </row>
    <row r="8" spans="1:9">
      <c r="A8" s="18" t="s">
        <v>500</v>
      </c>
      <c r="B8" s="18">
        <v>5</v>
      </c>
      <c r="C8" s="18" t="s">
        <v>501</v>
      </c>
      <c r="D8" s="18" t="s">
        <v>493</v>
      </c>
      <c r="E8" s="29">
        <v>0.1</v>
      </c>
      <c r="F8" s="18" t="s">
        <v>502</v>
      </c>
      <c r="G8" s="18" t="s">
        <v>503</v>
      </c>
      <c r="H8" s="18" t="s">
        <v>469</v>
      </c>
      <c r="I8" s="18" t="s">
        <v>673</v>
      </c>
    </row>
    <row r="9" spans="1:9">
      <c r="A9" s="18" t="s">
        <v>504</v>
      </c>
      <c r="B9" s="18">
        <v>6</v>
      </c>
      <c r="C9" s="18" t="s">
        <v>505</v>
      </c>
      <c r="D9" s="18" t="s">
        <v>506</v>
      </c>
      <c r="E9" s="29">
        <v>0.1</v>
      </c>
      <c r="F9" s="18" t="s">
        <v>507</v>
      </c>
      <c r="G9" s="18" t="s">
        <v>508</v>
      </c>
      <c r="H9" s="18" t="s">
        <v>469</v>
      </c>
      <c r="I9" s="18" t="s">
        <v>674</v>
      </c>
    </row>
    <row r="10" spans="1:9">
      <c r="A10" s="18" t="s">
        <v>509</v>
      </c>
      <c r="B10" s="18">
        <v>7</v>
      </c>
      <c r="C10" s="18" t="s">
        <v>510</v>
      </c>
      <c r="D10" s="18" t="s">
        <v>493</v>
      </c>
      <c r="E10" s="29">
        <v>0.1</v>
      </c>
      <c r="F10" s="18" t="s">
        <v>511</v>
      </c>
      <c r="G10" s="18" t="s">
        <v>512</v>
      </c>
      <c r="H10" s="18" t="s">
        <v>469</v>
      </c>
      <c r="I10" s="18" t="s">
        <v>675</v>
      </c>
    </row>
    <row r="11" spans="1:9">
      <c r="A11" s="18" t="s">
        <v>513</v>
      </c>
      <c r="B11" s="18">
        <v>8</v>
      </c>
      <c r="C11" s="18" t="s">
        <v>514</v>
      </c>
      <c r="D11" s="18" t="s">
        <v>506</v>
      </c>
      <c r="E11" s="29">
        <v>0.1</v>
      </c>
      <c r="F11" s="18" t="s">
        <v>515</v>
      </c>
      <c r="G11" s="18" t="s">
        <v>516</v>
      </c>
      <c r="H11" s="18" t="s">
        <v>469</v>
      </c>
      <c r="I11" s="18" t="s">
        <v>676</v>
      </c>
    </row>
    <row r="12" spans="1:9">
      <c r="A12" s="18" t="s">
        <v>517</v>
      </c>
      <c r="B12" s="18">
        <v>9</v>
      </c>
      <c r="C12" s="18" t="s">
        <v>518</v>
      </c>
      <c r="D12" s="18" t="s">
        <v>493</v>
      </c>
      <c r="E12" s="29">
        <v>0.1</v>
      </c>
      <c r="F12" s="18" t="s">
        <v>519</v>
      </c>
      <c r="G12" s="18" t="s">
        <v>503</v>
      </c>
      <c r="H12" s="18" t="s">
        <v>469</v>
      </c>
      <c r="I12" s="18" t="s">
        <v>677</v>
      </c>
    </row>
    <row r="13" spans="1:9">
      <c r="A13" s="18" t="s">
        <v>520</v>
      </c>
      <c r="B13" s="18">
        <v>10</v>
      </c>
      <c r="C13" s="18" t="s">
        <v>521</v>
      </c>
      <c r="D13" s="18" t="s">
        <v>493</v>
      </c>
      <c r="E13" s="29">
        <v>0.1</v>
      </c>
      <c r="F13" s="18" t="s">
        <v>522</v>
      </c>
      <c r="G13" s="18" t="s">
        <v>503</v>
      </c>
      <c r="H13" s="18" t="s">
        <v>469</v>
      </c>
      <c r="I13" s="18" t="s">
        <v>678</v>
      </c>
    </row>
  </sheetData>
  <mergeCells count="2">
    <mergeCell ref="A1:H1"/>
    <mergeCell ref="A2:H2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A9213-FD21-4680-A80A-A69AB619707B}">
  <sheetPr codeName="Sheet10"/>
  <dimension ref="A1:S552"/>
  <sheetViews>
    <sheetView showGridLines="0" topLeftCell="A66" workbookViewId="0">
      <selection activeCell="A68" sqref="A68"/>
    </sheetView>
  </sheetViews>
  <sheetFormatPr defaultRowHeight="13.8"/>
  <cols>
    <col min="1" max="1" width="21.19921875" style="18" bestFit="1" customWidth="1"/>
    <col min="2" max="2" width="11.69921875" style="18" bestFit="1" customWidth="1"/>
    <col min="3" max="3" width="24.19921875" style="18" bestFit="1" customWidth="1"/>
    <col min="4" max="4" width="16.8984375" style="18" bestFit="1" customWidth="1"/>
    <col min="5" max="5" width="15.69921875" style="18" bestFit="1" customWidth="1"/>
    <col min="6" max="6" width="8.296875" style="18" bestFit="1" customWidth="1"/>
    <col min="7" max="7" width="16.59765625" style="18" bestFit="1" customWidth="1"/>
    <col min="8" max="8" width="14.796875" style="18" bestFit="1" customWidth="1"/>
    <col min="9" max="9" width="6.796875" style="18" bestFit="1" customWidth="1"/>
    <col min="10" max="10" width="16.796875" style="18" bestFit="1" customWidth="1"/>
    <col min="11" max="11" width="65.69921875" style="18" customWidth="1"/>
    <col min="12" max="12" width="22.3984375" style="18" bestFit="1" customWidth="1"/>
    <col min="13" max="13" width="19.59765625" style="18" bestFit="1" customWidth="1"/>
    <col min="14" max="14" width="42.69921875" style="18" customWidth="1"/>
    <col min="15" max="15" width="55.69921875" style="18" customWidth="1"/>
    <col min="16" max="16" width="16.19921875" style="18" bestFit="1" customWidth="1"/>
    <col min="17" max="17" width="22" style="18" bestFit="1" customWidth="1"/>
    <col min="18" max="18" width="24.3984375" style="18" bestFit="1" customWidth="1"/>
    <col min="19" max="19" width="24.796875" style="18" bestFit="1" customWidth="1"/>
    <col min="20" max="16384" width="8.796875" style="18"/>
  </cols>
  <sheetData>
    <row r="1" spans="1:19">
      <c r="A1" s="66" t="s">
        <v>523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</row>
    <row r="2" spans="1:19">
      <c r="A2" s="65" t="s">
        <v>593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</row>
    <row r="3" spans="1:19">
      <c r="A3" s="19" t="s">
        <v>524</v>
      </c>
      <c r="B3" s="19" t="s">
        <v>442</v>
      </c>
      <c r="C3" s="19" t="s">
        <v>2</v>
      </c>
      <c r="D3" s="23" t="s">
        <v>525</v>
      </c>
      <c r="E3" s="19" t="s">
        <v>526</v>
      </c>
      <c r="F3" s="19" t="s">
        <v>319</v>
      </c>
      <c r="G3" s="19" t="s">
        <v>527</v>
      </c>
      <c r="H3" s="24" t="s">
        <v>528</v>
      </c>
      <c r="I3" s="26" t="s">
        <v>400</v>
      </c>
      <c r="J3" s="19" t="s">
        <v>529</v>
      </c>
      <c r="K3" s="19" t="s">
        <v>530</v>
      </c>
      <c r="L3" s="19" t="s">
        <v>590</v>
      </c>
      <c r="M3" s="19" t="s">
        <v>591</v>
      </c>
      <c r="N3" s="19" t="s">
        <v>592</v>
      </c>
      <c r="O3" s="19" t="s">
        <v>536</v>
      </c>
      <c r="P3" s="19" t="s">
        <v>759</v>
      </c>
      <c r="Q3" s="19" t="s">
        <v>760</v>
      </c>
      <c r="R3" s="19" t="s">
        <v>761</v>
      </c>
      <c r="S3" s="19" t="s">
        <v>762</v>
      </c>
    </row>
    <row r="4" spans="1:19" ht="27.6">
      <c r="A4" s="37" t="s">
        <v>612</v>
      </c>
      <c r="B4" s="37" t="s">
        <v>454</v>
      </c>
      <c r="C4" s="37" t="s">
        <v>44</v>
      </c>
      <c r="D4" s="38">
        <v>35795</v>
      </c>
      <c r="E4" s="37" t="s">
        <v>613</v>
      </c>
      <c r="F4" s="37" t="s">
        <v>614</v>
      </c>
      <c r="G4" s="37" t="s">
        <v>615</v>
      </c>
      <c r="H4" s="39">
        <v>46227.5</v>
      </c>
      <c r="I4" s="40">
        <v>9.5</v>
      </c>
      <c r="J4" s="37" t="s">
        <v>21</v>
      </c>
      <c r="K4" s="43" t="s">
        <v>616</v>
      </c>
      <c r="L4" s="43" t="s">
        <v>617</v>
      </c>
      <c r="M4" s="43" t="s">
        <v>451</v>
      </c>
      <c r="N4" s="43" t="s">
        <v>618</v>
      </c>
      <c r="O4" s="43" t="s">
        <v>619</v>
      </c>
      <c r="P4" s="43" t="s">
        <v>763</v>
      </c>
      <c r="Q4" s="43" t="s">
        <v>451</v>
      </c>
      <c r="R4" s="43" t="s">
        <v>451</v>
      </c>
      <c r="S4" s="47"/>
    </row>
    <row r="5" spans="1:19" ht="27.6">
      <c r="A5" s="37" t="s">
        <v>620</v>
      </c>
      <c r="B5" s="37" t="s">
        <v>456</v>
      </c>
      <c r="C5" s="37" t="s">
        <v>60</v>
      </c>
      <c r="D5" s="38">
        <v>35795</v>
      </c>
      <c r="E5" s="37" t="s">
        <v>613</v>
      </c>
      <c r="F5" s="37" t="s">
        <v>614</v>
      </c>
      <c r="G5" s="37" t="s">
        <v>615</v>
      </c>
      <c r="H5" s="39">
        <v>46227.500011574077</v>
      </c>
      <c r="I5" s="40">
        <v>9.25</v>
      </c>
      <c r="J5" s="37" t="s">
        <v>21</v>
      </c>
      <c r="K5" s="43" t="s">
        <v>616</v>
      </c>
      <c r="L5" s="43" t="s">
        <v>617</v>
      </c>
      <c r="M5" s="43" t="s">
        <v>451</v>
      </c>
      <c r="N5" s="43" t="s">
        <v>618</v>
      </c>
      <c r="O5" s="43" t="s">
        <v>619</v>
      </c>
      <c r="P5" s="43" t="s">
        <v>763</v>
      </c>
      <c r="Q5" s="43" t="s">
        <v>451</v>
      </c>
      <c r="R5" s="43" t="s">
        <v>451</v>
      </c>
      <c r="S5" s="47"/>
    </row>
    <row r="6" spans="1:19" ht="27.6">
      <c r="A6" s="37" t="s">
        <v>621</v>
      </c>
      <c r="B6" s="37" t="s">
        <v>457</v>
      </c>
      <c r="C6" s="37" t="s">
        <v>67</v>
      </c>
      <c r="D6" s="38">
        <v>35795</v>
      </c>
      <c r="E6" s="37" t="s">
        <v>613</v>
      </c>
      <c r="F6" s="37" t="s">
        <v>614</v>
      </c>
      <c r="G6" s="37" t="s">
        <v>615</v>
      </c>
      <c r="H6" s="39">
        <v>46227.500023148146</v>
      </c>
      <c r="I6" s="40">
        <v>9</v>
      </c>
      <c r="J6" s="37" t="s">
        <v>21</v>
      </c>
      <c r="K6" s="43" t="s">
        <v>616</v>
      </c>
      <c r="L6" s="43" t="s">
        <v>617</v>
      </c>
      <c r="M6" s="43" t="s">
        <v>451</v>
      </c>
      <c r="N6" s="43" t="s">
        <v>618</v>
      </c>
      <c r="O6" s="43" t="s">
        <v>619</v>
      </c>
      <c r="P6" s="43" t="s">
        <v>763</v>
      </c>
      <c r="Q6" s="43" t="s">
        <v>451</v>
      </c>
      <c r="R6" s="43" t="s">
        <v>451</v>
      </c>
      <c r="S6" s="47"/>
    </row>
    <row r="7" spans="1:19" ht="27.6">
      <c r="A7" s="37" t="s">
        <v>622</v>
      </c>
      <c r="B7" s="37" t="s">
        <v>459</v>
      </c>
      <c r="C7" s="37" t="s">
        <v>84</v>
      </c>
      <c r="D7" s="38">
        <v>35795</v>
      </c>
      <c r="E7" s="37" t="s">
        <v>613</v>
      </c>
      <c r="F7" s="37" t="s">
        <v>614</v>
      </c>
      <c r="G7" s="37" t="s">
        <v>615</v>
      </c>
      <c r="H7" s="39">
        <v>46227.500034722223</v>
      </c>
      <c r="I7" s="40">
        <v>8.5</v>
      </c>
      <c r="J7" s="37" t="s">
        <v>21</v>
      </c>
      <c r="K7" s="43" t="s">
        <v>616</v>
      </c>
      <c r="L7" s="43" t="s">
        <v>617</v>
      </c>
      <c r="M7" s="43" t="s">
        <v>451</v>
      </c>
      <c r="N7" s="43" t="s">
        <v>618</v>
      </c>
      <c r="O7" s="43" t="s">
        <v>619</v>
      </c>
      <c r="P7" s="43" t="s">
        <v>763</v>
      </c>
      <c r="Q7" s="43" t="s">
        <v>451</v>
      </c>
      <c r="R7" s="43" t="s">
        <v>451</v>
      </c>
      <c r="S7" s="47"/>
    </row>
    <row r="8" spans="1:19" ht="27.6">
      <c r="A8" s="37" t="s">
        <v>623</v>
      </c>
      <c r="B8" s="37" t="s">
        <v>594</v>
      </c>
      <c r="C8" s="37" t="s">
        <v>595</v>
      </c>
      <c r="D8" s="38">
        <v>35795</v>
      </c>
      <c r="E8" s="37" t="s">
        <v>613</v>
      </c>
      <c r="F8" s="37" t="s">
        <v>614</v>
      </c>
      <c r="G8" s="37" t="s">
        <v>615</v>
      </c>
      <c r="H8" s="39">
        <v>46227.5000462963</v>
      </c>
      <c r="I8" s="40">
        <v>7.5</v>
      </c>
      <c r="J8" s="37" t="s">
        <v>21</v>
      </c>
      <c r="K8" s="43" t="s">
        <v>616</v>
      </c>
      <c r="L8" s="43" t="s">
        <v>617</v>
      </c>
      <c r="M8" s="43" t="s">
        <v>451</v>
      </c>
      <c r="N8" s="43" t="s">
        <v>618</v>
      </c>
      <c r="O8" s="43" t="s">
        <v>619</v>
      </c>
      <c r="P8" s="43" t="s">
        <v>763</v>
      </c>
      <c r="Q8" s="43" t="s">
        <v>451</v>
      </c>
      <c r="R8" s="43" t="s">
        <v>451</v>
      </c>
      <c r="S8" s="47"/>
    </row>
    <row r="9" spans="1:19" ht="27.6">
      <c r="A9" s="37" t="s">
        <v>624</v>
      </c>
      <c r="B9" s="37" t="s">
        <v>598</v>
      </c>
      <c r="C9" s="37" t="s">
        <v>599</v>
      </c>
      <c r="D9" s="38">
        <v>35795</v>
      </c>
      <c r="E9" s="37" t="s">
        <v>613</v>
      </c>
      <c r="F9" s="37" t="s">
        <v>614</v>
      </c>
      <c r="G9" s="37" t="s">
        <v>615</v>
      </c>
      <c r="H9" s="39">
        <v>46227.500057870369</v>
      </c>
      <c r="I9" s="40">
        <v>6.9</v>
      </c>
      <c r="J9" s="37" t="s">
        <v>21</v>
      </c>
      <c r="K9" s="43" t="s">
        <v>616</v>
      </c>
      <c r="L9" s="43" t="s">
        <v>617</v>
      </c>
      <c r="M9" s="43" t="s">
        <v>451</v>
      </c>
      <c r="N9" s="43" t="s">
        <v>618</v>
      </c>
      <c r="O9" s="43" t="s">
        <v>619</v>
      </c>
      <c r="P9" s="43" t="s">
        <v>763</v>
      </c>
      <c r="Q9" s="43" t="s">
        <v>451</v>
      </c>
      <c r="R9" s="43" t="s">
        <v>451</v>
      </c>
      <c r="S9" s="47"/>
    </row>
    <row r="10" spans="1:19" ht="27.6">
      <c r="A10" s="37" t="s">
        <v>625</v>
      </c>
      <c r="B10" s="37" t="s">
        <v>457</v>
      </c>
      <c r="C10" s="37" t="s">
        <v>67</v>
      </c>
      <c r="D10" s="38">
        <v>42978</v>
      </c>
      <c r="E10" s="37" t="s">
        <v>613</v>
      </c>
      <c r="F10" s="37" t="s">
        <v>614</v>
      </c>
      <c r="G10" s="37" t="s">
        <v>615</v>
      </c>
      <c r="H10" s="39">
        <v>46227.500069444446</v>
      </c>
      <c r="I10" s="40">
        <v>9.65</v>
      </c>
      <c r="J10" s="37" t="s">
        <v>21</v>
      </c>
      <c r="K10" s="43" t="s">
        <v>626</v>
      </c>
      <c r="L10" s="43" t="s">
        <v>617</v>
      </c>
      <c r="M10" s="43" t="s">
        <v>469</v>
      </c>
      <c r="N10" s="43" t="s">
        <v>627</v>
      </c>
      <c r="O10" s="43" t="s">
        <v>628</v>
      </c>
      <c r="P10" s="43" t="s">
        <v>617</v>
      </c>
      <c r="Q10" s="43" t="s">
        <v>451</v>
      </c>
      <c r="R10" s="43" t="s">
        <v>469</v>
      </c>
      <c r="S10" s="47"/>
    </row>
    <row r="11" spans="1:19" ht="27.6">
      <c r="A11" s="37" t="s">
        <v>631</v>
      </c>
      <c r="B11" s="37" t="s">
        <v>463</v>
      </c>
      <c r="C11" s="37" t="s">
        <v>132</v>
      </c>
      <c r="D11" s="38">
        <v>42978</v>
      </c>
      <c r="E11" s="37" t="s">
        <v>613</v>
      </c>
      <c r="F11" s="37" t="s">
        <v>614</v>
      </c>
      <c r="G11" s="37" t="s">
        <v>615</v>
      </c>
      <c r="H11" s="39">
        <v>46227.500081018516</v>
      </c>
      <c r="I11" s="40">
        <v>9</v>
      </c>
      <c r="J11" s="37" t="s">
        <v>21</v>
      </c>
      <c r="K11" s="43" t="s">
        <v>626</v>
      </c>
      <c r="L11" s="43" t="s">
        <v>617</v>
      </c>
      <c r="M11" s="43" t="s">
        <v>469</v>
      </c>
      <c r="N11" s="43" t="s">
        <v>632</v>
      </c>
      <c r="O11" s="43" t="s">
        <v>633</v>
      </c>
      <c r="P11" s="43" t="s">
        <v>617</v>
      </c>
      <c r="Q11" s="43" t="s">
        <v>451</v>
      </c>
      <c r="R11" s="43" t="s">
        <v>469</v>
      </c>
      <c r="S11" s="47"/>
    </row>
    <row r="12" spans="1:19" ht="27.6">
      <c r="A12" s="37" t="s">
        <v>634</v>
      </c>
      <c r="B12" s="37" t="s">
        <v>465</v>
      </c>
      <c r="C12" s="37" t="s">
        <v>138</v>
      </c>
      <c r="D12" s="38">
        <v>42978</v>
      </c>
      <c r="E12" s="37" t="s">
        <v>613</v>
      </c>
      <c r="F12" s="37" t="s">
        <v>614</v>
      </c>
      <c r="G12" s="37" t="s">
        <v>615</v>
      </c>
      <c r="H12" s="39">
        <v>46227.500092592592</v>
      </c>
      <c r="I12" s="40">
        <v>8.6999999999999993</v>
      </c>
      <c r="J12" s="37" t="s">
        <v>21</v>
      </c>
      <c r="K12" s="43" t="s">
        <v>626</v>
      </c>
      <c r="L12" s="43" t="s">
        <v>617</v>
      </c>
      <c r="M12" s="43" t="s">
        <v>469</v>
      </c>
      <c r="N12" s="43" t="s">
        <v>635</v>
      </c>
      <c r="O12" s="43" t="s">
        <v>636</v>
      </c>
      <c r="P12" s="43" t="s">
        <v>617</v>
      </c>
      <c r="Q12" s="43" t="s">
        <v>451</v>
      </c>
      <c r="R12" s="43" t="s">
        <v>469</v>
      </c>
      <c r="S12" s="47"/>
    </row>
    <row r="13" spans="1:19" ht="27.6">
      <c r="A13" s="37" t="s">
        <v>637</v>
      </c>
      <c r="B13" s="37" t="s">
        <v>604</v>
      </c>
      <c r="C13" s="37" t="s">
        <v>605</v>
      </c>
      <c r="D13" s="38">
        <v>42978</v>
      </c>
      <c r="E13" s="37" t="s">
        <v>613</v>
      </c>
      <c r="F13" s="37" t="s">
        <v>614</v>
      </c>
      <c r="G13" s="37" t="s">
        <v>615</v>
      </c>
      <c r="H13" s="39">
        <v>46227.500104166669</v>
      </c>
      <c r="I13" s="40">
        <v>8.25</v>
      </c>
      <c r="J13" s="37" t="s">
        <v>21</v>
      </c>
      <c r="K13" s="43" t="s">
        <v>626</v>
      </c>
      <c r="L13" s="43" t="s">
        <v>617</v>
      </c>
      <c r="M13" s="43" t="s">
        <v>469</v>
      </c>
      <c r="N13" s="43" t="s">
        <v>638</v>
      </c>
      <c r="O13" s="43" t="s">
        <v>619</v>
      </c>
      <c r="P13" s="43" t="s">
        <v>617</v>
      </c>
      <c r="Q13" s="43" t="s">
        <v>451</v>
      </c>
      <c r="R13" s="43" t="s">
        <v>469</v>
      </c>
      <c r="S13" s="47"/>
    </row>
    <row r="14" spans="1:19" ht="27.6">
      <c r="A14" s="37" t="s">
        <v>639</v>
      </c>
      <c r="B14" s="37" t="s">
        <v>606</v>
      </c>
      <c r="C14" s="37" t="s">
        <v>607</v>
      </c>
      <c r="D14" s="38">
        <v>42978</v>
      </c>
      <c r="E14" s="37" t="s">
        <v>613</v>
      </c>
      <c r="F14" s="37" t="s">
        <v>614</v>
      </c>
      <c r="G14" s="37" t="s">
        <v>615</v>
      </c>
      <c r="H14" s="39">
        <v>46227.500115740739</v>
      </c>
      <c r="I14" s="40">
        <v>7.8</v>
      </c>
      <c r="J14" s="37" t="s">
        <v>21</v>
      </c>
      <c r="K14" s="43" t="s">
        <v>640</v>
      </c>
      <c r="L14" s="43" t="s">
        <v>617</v>
      </c>
      <c r="M14" s="43" t="s">
        <v>469</v>
      </c>
      <c r="N14" s="43" t="s">
        <v>641</v>
      </c>
      <c r="O14" s="43" t="s">
        <v>642</v>
      </c>
      <c r="P14" s="43" t="s">
        <v>617</v>
      </c>
      <c r="Q14" s="43" t="s">
        <v>451</v>
      </c>
      <c r="R14" s="43" t="s">
        <v>469</v>
      </c>
      <c r="S14" s="47"/>
    </row>
    <row r="15" spans="1:19" ht="27.6">
      <c r="A15" s="37" t="s">
        <v>643</v>
      </c>
      <c r="B15" s="37" t="s">
        <v>610</v>
      </c>
      <c r="C15" s="37" t="s">
        <v>611</v>
      </c>
      <c r="D15" s="38">
        <v>42978</v>
      </c>
      <c r="E15" s="37" t="s">
        <v>613</v>
      </c>
      <c r="F15" s="37" t="s">
        <v>614</v>
      </c>
      <c r="G15" s="37" t="s">
        <v>615</v>
      </c>
      <c r="H15" s="39">
        <v>46227.500127314815</v>
      </c>
      <c r="I15" s="40">
        <v>7.1</v>
      </c>
      <c r="J15" s="37" t="s">
        <v>21</v>
      </c>
      <c r="K15" s="43" t="s">
        <v>626</v>
      </c>
      <c r="L15" s="43" t="s">
        <v>617</v>
      </c>
      <c r="M15" s="43" t="s">
        <v>469</v>
      </c>
      <c r="N15" s="43" t="s">
        <v>644</v>
      </c>
      <c r="O15" s="43" t="s">
        <v>645</v>
      </c>
      <c r="P15" s="43" t="s">
        <v>617</v>
      </c>
      <c r="Q15" s="43" t="s">
        <v>451</v>
      </c>
      <c r="R15" s="43" t="s">
        <v>469</v>
      </c>
      <c r="S15" s="47"/>
    </row>
    <row r="16" spans="1:19" ht="27.6">
      <c r="A16" s="37" t="s">
        <v>646</v>
      </c>
      <c r="B16" s="37" t="s">
        <v>464</v>
      </c>
      <c r="C16" s="37" t="s">
        <v>135</v>
      </c>
      <c r="D16" s="38">
        <v>42978</v>
      </c>
      <c r="E16" s="37" t="s">
        <v>613</v>
      </c>
      <c r="F16" s="37" t="s">
        <v>614</v>
      </c>
      <c r="G16" s="37" t="s">
        <v>615</v>
      </c>
      <c r="H16" s="39">
        <v>46227.500138888892</v>
      </c>
      <c r="I16" s="40">
        <v>8.9499999999999993</v>
      </c>
      <c r="J16" s="37" t="s">
        <v>21</v>
      </c>
      <c r="K16" s="43" t="s">
        <v>647</v>
      </c>
      <c r="L16" s="43" t="s">
        <v>617</v>
      </c>
      <c r="M16" s="43" t="s">
        <v>451</v>
      </c>
      <c r="N16" s="43" t="s">
        <v>648</v>
      </c>
      <c r="O16" s="43" t="s">
        <v>649</v>
      </c>
      <c r="P16" s="43" t="s">
        <v>763</v>
      </c>
      <c r="Q16" s="43" t="s">
        <v>451</v>
      </c>
      <c r="R16" s="43" t="s">
        <v>451</v>
      </c>
      <c r="S16" s="47"/>
    </row>
    <row r="17" spans="1:19" ht="27.6">
      <c r="A17" s="37" t="s">
        <v>650</v>
      </c>
      <c r="B17" s="37" t="s">
        <v>600</v>
      </c>
      <c r="C17" s="37" t="s">
        <v>601</v>
      </c>
      <c r="D17" s="38">
        <v>42978</v>
      </c>
      <c r="E17" s="37" t="s">
        <v>613</v>
      </c>
      <c r="F17" s="37" t="s">
        <v>614</v>
      </c>
      <c r="G17" s="37" t="s">
        <v>615</v>
      </c>
      <c r="H17" s="39">
        <v>46227.500150462962</v>
      </c>
      <c r="I17" s="40">
        <v>8.9499999999999993</v>
      </c>
      <c r="J17" s="37" t="s">
        <v>21</v>
      </c>
      <c r="K17" s="43" t="s">
        <v>647</v>
      </c>
      <c r="L17" s="43" t="s">
        <v>617</v>
      </c>
      <c r="M17" s="43" t="s">
        <v>451</v>
      </c>
      <c r="N17" s="43" t="s">
        <v>648</v>
      </c>
      <c r="O17" s="43" t="s">
        <v>649</v>
      </c>
      <c r="P17" s="43" t="s">
        <v>763</v>
      </c>
      <c r="Q17" s="43" t="s">
        <v>451</v>
      </c>
      <c r="R17" s="43" t="s">
        <v>451</v>
      </c>
      <c r="S17" s="47"/>
    </row>
    <row r="18" spans="1:19" ht="27.6">
      <c r="A18" s="37" t="s">
        <v>651</v>
      </c>
      <c r="B18" s="37" t="s">
        <v>602</v>
      </c>
      <c r="C18" s="37" t="s">
        <v>603</v>
      </c>
      <c r="D18" s="38">
        <v>42978</v>
      </c>
      <c r="E18" s="37" t="s">
        <v>613</v>
      </c>
      <c r="F18" s="37" t="s">
        <v>614</v>
      </c>
      <c r="G18" s="37" t="s">
        <v>615</v>
      </c>
      <c r="H18" s="39">
        <v>46227.500162037039</v>
      </c>
      <c r="I18" s="40">
        <v>8.65</v>
      </c>
      <c r="J18" s="37" t="s">
        <v>21</v>
      </c>
      <c r="K18" s="43" t="s">
        <v>647</v>
      </c>
      <c r="L18" s="43" t="s">
        <v>617</v>
      </c>
      <c r="M18" s="43" t="s">
        <v>451</v>
      </c>
      <c r="N18" s="43" t="s">
        <v>648</v>
      </c>
      <c r="O18" s="43" t="s">
        <v>649</v>
      </c>
      <c r="P18" s="43" t="s">
        <v>763</v>
      </c>
      <c r="Q18" s="43" t="s">
        <v>451</v>
      </c>
      <c r="R18" s="43" t="s">
        <v>451</v>
      </c>
      <c r="S18" s="47"/>
    </row>
    <row r="19" spans="1:19" ht="27.6">
      <c r="A19" s="37" t="s">
        <v>652</v>
      </c>
      <c r="B19" s="37" t="s">
        <v>608</v>
      </c>
      <c r="C19" s="37" t="s">
        <v>609</v>
      </c>
      <c r="D19" s="38">
        <v>42978</v>
      </c>
      <c r="E19" s="37" t="s">
        <v>613</v>
      </c>
      <c r="F19" s="37" t="s">
        <v>614</v>
      </c>
      <c r="G19" s="37" t="s">
        <v>615</v>
      </c>
      <c r="H19" s="39">
        <v>46227.500173611108</v>
      </c>
      <c r="I19" s="40">
        <v>7.5</v>
      </c>
      <c r="J19" s="37" t="s">
        <v>21</v>
      </c>
      <c r="K19" s="43" t="s">
        <v>647</v>
      </c>
      <c r="L19" s="43" t="s">
        <v>617</v>
      </c>
      <c r="M19" s="43" t="s">
        <v>451</v>
      </c>
      <c r="N19" s="43" t="s">
        <v>648</v>
      </c>
      <c r="O19" s="43" t="s">
        <v>649</v>
      </c>
      <c r="P19" s="43" t="s">
        <v>763</v>
      </c>
      <c r="Q19" s="43" t="s">
        <v>451</v>
      </c>
      <c r="R19" s="43" t="s">
        <v>451</v>
      </c>
      <c r="S19" s="47"/>
    </row>
    <row r="20" spans="1:19" ht="41.4">
      <c r="A20" s="37" t="s">
        <v>653</v>
      </c>
      <c r="B20" s="37" t="s">
        <v>462</v>
      </c>
      <c r="C20" s="37" t="s">
        <v>119</v>
      </c>
      <c r="D20" s="38">
        <v>42979</v>
      </c>
      <c r="E20" s="37" t="s">
        <v>654</v>
      </c>
      <c r="F20" s="37" t="s">
        <v>614</v>
      </c>
      <c r="G20" s="37" t="s">
        <v>655</v>
      </c>
      <c r="H20" s="39">
        <v>46227.500185185185</v>
      </c>
      <c r="I20" s="40">
        <v>9.5</v>
      </c>
      <c r="J20" s="37" t="s">
        <v>49</v>
      </c>
      <c r="K20" s="43" t="s">
        <v>656</v>
      </c>
      <c r="L20" s="43" t="s">
        <v>657</v>
      </c>
      <c r="M20" s="43" t="s">
        <v>469</v>
      </c>
      <c r="N20" s="43" t="s">
        <v>658</v>
      </c>
      <c r="O20" s="43" t="s">
        <v>39</v>
      </c>
      <c r="P20" s="43" t="s">
        <v>657</v>
      </c>
      <c r="Q20" s="43" t="s">
        <v>451</v>
      </c>
      <c r="R20" s="43" t="s">
        <v>451</v>
      </c>
      <c r="S20" s="47"/>
    </row>
    <row r="21" spans="1:19" ht="41.4">
      <c r="A21" s="37" t="s">
        <v>661</v>
      </c>
      <c r="B21" s="37" t="s">
        <v>464</v>
      </c>
      <c r="C21" s="37" t="s">
        <v>135</v>
      </c>
      <c r="D21" s="38">
        <v>42979</v>
      </c>
      <c r="E21" s="37" t="s">
        <v>654</v>
      </c>
      <c r="F21" s="37" t="s">
        <v>614</v>
      </c>
      <c r="G21" s="37" t="s">
        <v>655</v>
      </c>
      <c r="H21" s="39">
        <v>46227.500196759262</v>
      </c>
      <c r="I21" s="40">
        <v>8.9499999999999993</v>
      </c>
      <c r="J21" s="37" t="s">
        <v>49</v>
      </c>
      <c r="K21" s="43" t="s">
        <v>662</v>
      </c>
      <c r="L21" s="43" t="s">
        <v>657</v>
      </c>
      <c r="M21" s="43" t="s">
        <v>469</v>
      </c>
      <c r="N21" s="43" t="s">
        <v>658</v>
      </c>
      <c r="O21" s="43" t="s">
        <v>39</v>
      </c>
      <c r="P21" s="43" t="s">
        <v>657</v>
      </c>
      <c r="Q21" s="43" t="s">
        <v>451</v>
      </c>
      <c r="R21" s="43" t="s">
        <v>451</v>
      </c>
      <c r="S21" s="47"/>
    </row>
    <row r="22" spans="1:19" ht="41.4">
      <c r="A22" s="37" t="s">
        <v>663</v>
      </c>
      <c r="B22" s="37" t="s">
        <v>460</v>
      </c>
      <c r="C22" s="37" t="s">
        <v>95</v>
      </c>
      <c r="D22" s="38">
        <v>42979</v>
      </c>
      <c r="E22" s="37" t="s">
        <v>654</v>
      </c>
      <c r="F22" s="37" t="s">
        <v>614</v>
      </c>
      <c r="G22" s="37" t="s">
        <v>655</v>
      </c>
      <c r="H22" s="39">
        <v>46227.500208333331</v>
      </c>
      <c r="I22" s="40">
        <v>8.75</v>
      </c>
      <c r="J22" s="37" t="s">
        <v>49</v>
      </c>
      <c r="K22" s="43" t="s">
        <v>656</v>
      </c>
      <c r="L22" s="43" t="s">
        <v>657</v>
      </c>
      <c r="M22" s="43" t="s">
        <v>469</v>
      </c>
      <c r="N22" s="43" t="s">
        <v>664</v>
      </c>
      <c r="O22" s="43" t="s">
        <v>99</v>
      </c>
      <c r="P22" s="43" t="s">
        <v>657</v>
      </c>
      <c r="Q22" s="43" t="s">
        <v>451</v>
      </c>
      <c r="R22" s="43" t="s">
        <v>451</v>
      </c>
      <c r="S22" s="47"/>
    </row>
    <row r="23" spans="1:19" ht="27.6">
      <c r="A23" s="37" t="s">
        <v>679</v>
      </c>
      <c r="B23" s="37" t="s">
        <v>449</v>
      </c>
      <c r="C23" s="37" t="s">
        <v>15</v>
      </c>
      <c r="D23" s="38">
        <v>34730</v>
      </c>
      <c r="E23" s="37" t="s">
        <v>680</v>
      </c>
      <c r="F23" s="37" t="s">
        <v>614</v>
      </c>
      <c r="G23" s="37" t="s">
        <v>655</v>
      </c>
      <c r="H23" s="39">
        <v>46227.791666666664</v>
      </c>
      <c r="I23" s="40">
        <v>9.35</v>
      </c>
      <c r="J23" s="37" t="s">
        <v>49</v>
      </c>
      <c r="K23" s="43" t="s">
        <v>753</v>
      </c>
      <c r="L23" s="43" t="s">
        <v>665</v>
      </c>
      <c r="M23" s="43" t="s">
        <v>469</v>
      </c>
      <c r="N23" s="43" t="s">
        <v>681</v>
      </c>
      <c r="O23" s="43" t="s">
        <v>171</v>
      </c>
      <c r="P23" s="43" t="s">
        <v>665</v>
      </c>
      <c r="Q23" s="43" t="s">
        <v>451</v>
      </c>
      <c r="R23" s="43" t="s">
        <v>451</v>
      </c>
      <c r="S23" s="47"/>
    </row>
    <row r="24" spans="1:19" ht="27.6">
      <c r="A24" s="37" t="s">
        <v>685</v>
      </c>
      <c r="B24" s="37" t="s">
        <v>453</v>
      </c>
      <c r="C24" s="37" t="s">
        <v>34</v>
      </c>
      <c r="D24" s="38">
        <v>34730</v>
      </c>
      <c r="E24" s="37" t="s">
        <v>680</v>
      </c>
      <c r="F24" s="37" t="s">
        <v>614</v>
      </c>
      <c r="G24" s="37" t="s">
        <v>655</v>
      </c>
      <c r="H24" s="39">
        <v>46227.791678240741</v>
      </c>
      <c r="I24" s="40">
        <v>8.15</v>
      </c>
      <c r="J24" s="37" t="s">
        <v>49</v>
      </c>
      <c r="K24" s="43" t="s">
        <v>753</v>
      </c>
      <c r="L24" s="43" t="s">
        <v>665</v>
      </c>
      <c r="M24" s="43" t="s">
        <v>469</v>
      </c>
      <c r="N24" s="43" t="s">
        <v>681</v>
      </c>
      <c r="O24" s="43" t="s">
        <v>171</v>
      </c>
      <c r="P24" s="43" t="s">
        <v>665</v>
      </c>
      <c r="Q24" s="43" t="s">
        <v>451</v>
      </c>
      <c r="R24" s="43" t="s">
        <v>451</v>
      </c>
      <c r="S24" s="47"/>
    </row>
    <row r="25" spans="1:19" ht="27.6">
      <c r="A25" s="37" t="s">
        <v>686</v>
      </c>
      <c r="B25" s="37" t="s">
        <v>454</v>
      </c>
      <c r="C25" s="37" t="s">
        <v>44</v>
      </c>
      <c r="D25" s="38">
        <v>34730</v>
      </c>
      <c r="E25" s="37" t="s">
        <v>680</v>
      </c>
      <c r="F25" s="37" t="s">
        <v>614</v>
      </c>
      <c r="G25" s="37" t="s">
        <v>655</v>
      </c>
      <c r="H25" s="39">
        <v>46227.791689814818</v>
      </c>
      <c r="I25" s="40">
        <v>8.85</v>
      </c>
      <c r="J25" s="37" t="s">
        <v>49</v>
      </c>
      <c r="K25" s="43" t="s">
        <v>753</v>
      </c>
      <c r="L25" s="43" t="s">
        <v>665</v>
      </c>
      <c r="M25" s="43" t="s">
        <v>469</v>
      </c>
      <c r="N25" s="43" t="s">
        <v>681</v>
      </c>
      <c r="O25" s="43" t="s">
        <v>171</v>
      </c>
      <c r="P25" s="43" t="s">
        <v>665</v>
      </c>
      <c r="Q25" s="43" t="s">
        <v>451</v>
      </c>
      <c r="R25" s="43" t="s">
        <v>451</v>
      </c>
      <c r="S25" s="47"/>
    </row>
    <row r="26" spans="1:19" ht="27.6">
      <c r="A26" s="37" t="s">
        <v>687</v>
      </c>
      <c r="B26" s="37" t="s">
        <v>455</v>
      </c>
      <c r="C26" s="37" t="s">
        <v>53</v>
      </c>
      <c r="D26" s="38">
        <v>34730</v>
      </c>
      <c r="E26" s="37" t="s">
        <v>680</v>
      </c>
      <c r="F26" s="37" t="s">
        <v>614</v>
      </c>
      <c r="G26" s="37" t="s">
        <v>655</v>
      </c>
      <c r="H26" s="39">
        <v>46227.791701388887</v>
      </c>
      <c r="I26" s="40">
        <v>8.6</v>
      </c>
      <c r="J26" s="37" t="s">
        <v>49</v>
      </c>
      <c r="K26" s="43" t="s">
        <v>753</v>
      </c>
      <c r="L26" s="43" t="s">
        <v>665</v>
      </c>
      <c r="M26" s="43" t="s">
        <v>469</v>
      </c>
      <c r="N26" s="43" t="s">
        <v>681</v>
      </c>
      <c r="O26" s="43" t="s">
        <v>171</v>
      </c>
      <c r="P26" s="43" t="s">
        <v>665</v>
      </c>
      <c r="Q26" s="43" t="s">
        <v>451</v>
      </c>
      <c r="R26" s="43" t="s">
        <v>451</v>
      </c>
      <c r="S26" s="47"/>
    </row>
    <row r="27" spans="1:19" ht="27.6">
      <c r="A27" s="37" t="s">
        <v>688</v>
      </c>
      <c r="B27" s="37" t="s">
        <v>456</v>
      </c>
      <c r="C27" s="37" t="s">
        <v>60</v>
      </c>
      <c r="D27" s="38">
        <v>34730</v>
      </c>
      <c r="E27" s="37" t="s">
        <v>680</v>
      </c>
      <c r="F27" s="37" t="s">
        <v>614</v>
      </c>
      <c r="G27" s="37" t="s">
        <v>655</v>
      </c>
      <c r="H27" s="39">
        <v>46227.791712962964</v>
      </c>
      <c r="I27" s="40">
        <v>9.0500000000000007</v>
      </c>
      <c r="J27" s="37" t="s">
        <v>49</v>
      </c>
      <c r="K27" s="43" t="s">
        <v>753</v>
      </c>
      <c r="L27" s="43" t="s">
        <v>665</v>
      </c>
      <c r="M27" s="43" t="s">
        <v>469</v>
      </c>
      <c r="N27" s="43" t="s">
        <v>681</v>
      </c>
      <c r="O27" s="43" t="s">
        <v>171</v>
      </c>
      <c r="P27" s="43" t="s">
        <v>665</v>
      </c>
      <c r="Q27" s="43" t="s">
        <v>451</v>
      </c>
      <c r="R27" s="43" t="s">
        <v>451</v>
      </c>
      <c r="S27" s="47"/>
    </row>
    <row r="28" spans="1:19" ht="27.6">
      <c r="A28" s="37" t="s">
        <v>689</v>
      </c>
      <c r="B28" s="37" t="s">
        <v>457</v>
      </c>
      <c r="C28" s="37" t="s">
        <v>67</v>
      </c>
      <c r="D28" s="38">
        <v>35461</v>
      </c>
      <c r="E28" s="37" t="s">
        <v>680</v>
      </c>
      <c r="F28" s="37" t="s">
        <v>614</v>
      </c>
      <c r="G28" s="37" t="s">
        <v>655</v>
      </c>
      <c r="H28" s="39">
        <v>46227.791724537034</v>
      </c>
      <c r="I28" s="40">
        <v>8.5500000000000007</v>
      </c>
      <c r="J28" s="37" t="s">
        <v>49</v>
      </c>
      <c r="K28" s="43" t="s">
        <v>753</v>
      </c>
      <c r="L28" s="43" t="s">
        <v>665</v>
      </c>
      <c r="M28" s="43" t="s">
        <v>469</v>
      </c>
      <c r="N28" s="43" t="s">
        <v>681</v>
      </c>
      <c r="O28" s="43" t="s">
        <v>171</v>
      </c>
      <c r="P28" s="43" t="s">
        <v>665</v>
      </c>
      <c r="Q28" s="43" t="s">
        <v>451</v>
      </c>
      <c r="R28" s="43" t="s">
        <v>451</v>
      </c>
      <c r="S28" s="47"/>
    </row>
    <row r="29" spans="1:19" ht="27.6">
      <c r="A29" s="37" t="s">
        <v>690</v>
      </c>
      <c r="B29" s="37" t="s">
        <v>458</v>
      </c>
      <c r="C29" s="37" t="s">
        <v>73</v>
      </c>
      <c r="D29" s="38">
        <v>35826</v>
      </c>
      <c r="E29" s="37" t="s">
        <v>680</v>
      </c>
      <c r="F29" s="37" t="s">
        <v>614</v>
      </c>
      <c r="G29" s="37" t="s">
        <v>655</v>
      </c>
      <c r="H29" s="39">
        <v>46227.79173611111</v>
      </c>
      <c r="I29" s="40">
        <v>8.15</v>
      </c>
      <c r="J29" s="37" t="s">
        <v>49</v>
      </c>
      <c r="K29" s="43" t="s">
        <v>753</v>
      </c>
      <c r="L29" s="43" t="s">
        <v>665</v>
      </c>
      <c r="M29" s="43" t="s">
        <v>469</v>
      </c>
      <c r="N29" s="43" t="s">
        <v>681</v>
      </c>
      <c r="O29" s="43" t="s">
        <v>171</v>
      </c>
      <c r="P29" s="43" t="s">
        <v>665</v>
      </c>
      <c r="Q29" s="43" t="s">
        <v>451</v>
      </c>
      <c r="R29" s="43" t="s">
        <v>451</v>
      </c>
      <c r="S29" s="47"/>
    </row>
    <row r="30" spans="1:19" ht="27.6">
      <c r="A30" s="37" t="s">
        <v>691</v>
      </c>
      <c r="B30" s="37" t="s">
        <v>459</v>
      </c>
      <c r="C30" s="37" t="s">
        <v>84</v>
      </c>
      <c r="D30" s="38">
        <v>35826</v>
      </c>
      <c r="E30" s="37" t="s">
        <v>680</v>
      </c>
      <c r="F30" s="37" t="s">
        <v>614</v>
      </c>
      <c r="G30" s="37" t="s">
        <v>655</v>
      </c>
      <c r="H30" s="39">
        <v>46227.791747685187</v>
      </c>
      <c r="I30" s="40">
        <v>8.6999999999999993</v>
      </c>
      <c r="J30" s="37" t="s">
        <v>49</v>
      </c>
      <c r="K30" s="43" t="s">
        <v>753</v>
      </c>
      <c r="L30" s="43" t="s">
        <v>665</v>
      </c>
      <c r="M30" s="43" t="s">
        <v>469</v>
      </c>
      <c r="N30" s="43" t="s">
        <v>681</v>
      </c>
      <c r="O30" s="43" t="s">
        <v>171</v>
      </c>
      <c r="P30" s="43" t="s">
        <v>665</v>
      </c>
      <c r="Q30" s="43" t="s">
        <v>451</v>
      </c>
      <c r="R30" s="43" t="s">
        <v>451</v>
      </c>
      <c r="S30" s="47"/>
    </row>
    <row r="31" spans="1:19" ht="27.6">
      <c r="A31" s="37" t="s">
        <v>692</v>
      </c>
      <c r="B31" s="37" t="s">
        <v>460</v>
      </c>
      <c r="C31" s="37" t="s">
        <v>95</v>
      </c>
      <c r="D31" s="38">
        <v>39294</v>
      </c>
      <c r="E31" s="37" t="s">
        <v>680</v>
      </c>
      <c r="F31" s="37" t="s">
        <v>614</v>
      </c>
      <c r="G31" s="37" t="s">
        <v>655</v>
      </c>
      <c r="H31" s="39">
        <v>46227.791759259257</v>
      </c>
      <c r="I31" s="40">
        <v>8.25</v>
      </c>
      <c r="J31" s="37" t="s">
        <v>49</v>
      </c>
      <c r="K31" s="43" t="s">
        <v>753</v>
      </c>
      <c r="L31" s="43" t="s">
        <v>665</v>
      </c>
      <c r="M31" s="43" t="s">
        <v>469</v>
      </c>
      <c r="N31" s="43" t="s">
        <v>681</v>
      </c>
      <c r="O31" s="43" t="s">
        <v>171</v>
      </c>
      <c r="P31" s="43" t="s">
        <v>665</v>
      </c>
      <c r="Q31" s="43" t="s">
        <v>451</v>
      </c>
      <c r="R31" s="43" t="s">
        <v>451</v>
      </c>
      <c r="S31" s="47"/>
    </row>
    <row r="32" spans="1:19" ht="27.6">
      <c r="A32" s="37" t="s">
        <v>693</v>
      </c>
      <c r="B32" s="37" t="s">
        <v>461</v>
      </c>
      <c r="C32" s="37" t="s">
        <v>111</v>
      </c>
      <c r="D32" s="38">
        <v>39964</v>
      </c>
      <c r="E32" s="37" t="s">
        <v>680</v>
      </c>
      <c r="F32" s="37" t="s">
        <v>614</v>
      </c>
      <c r="G32" s="37" t="s">
        <v>655</v>
      </c>
      <c r="H32" s="39">
        <v>46227.791770833333</v>
      </c>
      <c r="I32" s="40">
        <v>8.5500000000000007</v>
      </c>
      <c r="J32" s="37" t="s">
        <v>49</v>
      </c>
      <c r="K32" s="43" t="s">
        <v>753</v>
      </c>
      <c r="L32" s="43" t="s">
        <v>665</v>
      </c>
      <c r="M32" s="43" t="s">
        <v>469</v>
      </c>
      <c r="N32" s="43" t="s">
        <v>681</v>
      </c>
      <c r="O32" s="43" t="s">
        <v>171</v>
      </c>
      <c r="P32" s="43" t="s">
        <v>665</v>
      </c>
      <c r="Q32" s="43" t="s">
        <v>451</v>
      </c>
      <c r="R32" s="43" t="s">
        <v>451</v>
      </c>
      <c r="S32" s="47"/>
    </row>
    <row r="33" spans="1:19" ht="27.6">
      <c r="A33" s="37" t="s">
        <v>694</v>
      </c>
      <c r="B33" s="37" t="s">
        <v>462</v>
      </c>
      <c r="C33" s="37" t="s">
        <v>119</v>
      </c>
      <c r="D33" s="38">
        <v>40209</v>
      </c>
      <c r="E33" s="37" t="s">
        <v>680</v>
      </c>
      <c r="F33" s="37" t="s">
        <v>614</v>
      </c>
      <c r="G33" s="37" t="s">
        <v>655</v>
      </c>
      <c r="H33" s="39">
        <v>46227.79178240741</v>
      </c>
      <c r="I33" s="40">
        <v>9.3000000000000007</v>
      </c>
      <c r="J33" s="37" t="s">
        <v>49</v>
      </c>
      <c r="K33" s="43" t="s">
        <v>753</v>
      </c>
      <c r="L33" s="43" t="s">
        <v>665</v>
      </c>
      <c r="M33" s="43" t="s">
        <v>469</v>
      </c>
      <c r="N33" s="43" t="s">
        <v>681</v>
      </c>
      <c r="O33" s="43" t="s">
        <v>171</v>
      </c>
      <c r="P33" s="43" t="s">
        <v>665</v>
      </c>
      <c r="Q33" s="43" t="s">
        <v>451</v>
      </c>
      <c r="R33" s="43" t="s">
        <v>451</v>
      </c>
      <c r="S33" s="47"/>
    </row>
    <row r="34" spans="1:19" ht="27.6">
      <c r="A34" s="37" t="s">
        <v>695</v>
      </c>
      <c r="B34" s="37" t="s">
        <v>463</v>
      </c>
      <c r="C34" s="37" t="s">
        <v>132</v>
      </c>
      <c r="D34" s="38">
        <v>40574</v>
      </c>
      <c r="E34" s="37" t="s">
        <v>680</v>
      </c>
      <c r="F34" s="37" t="s">
        <v>614</v>
      </c>
      <c r="G34" s="37" t="s">
        <v>655</v>
      </c>
      <c r="H34" s="39">
        <v>46227.79179398148</v>
      </c>
      <c r="I34" s="40">
        <v>8.6999999999999993</v>
      </c>
      <c r="J34" s="37" t="s">
        <v>49</v>
      </c>
      <c r="K34" s="43" t="s">
        <v>753</v>
      </c>
      <c r="L34" s="43" t="s">
        <v>665</v>
      </c>
      <c r="M34" s="43" t="s">
        <v>469</v>
      </c>
      <c r="N34" s="43" t="s">
        <v>681</v>
      </c>
      <c r="O34" s="43" t="s">
        <v>171</v>
      </c>
      <c r="P34" s="43" t="s">
        <v>665</v>
      </c>
      <c r="Q34" s="43" t="s">
        <v>451</v>
      </c>
      <c r="R34" s="43" t="s">
        <v>451</v>
      </c>
      <c r="S34" s="47"/>
    </row>
    <row r="35" spans="1:19" ht="27.6">
      <c r="A35" s="37" t="s">
        <v>696</v>
      </c>
      <c r="B35" s="37" t="s">
        <v>464</v>
      </c>
      <c r="C35" s="37" t="s">
        <v>135</v>
      </c>
      <c r="D35" s="38">
        <v>41305</v>
      </c>
      <c r="E35" s="37" t="s">
        <v>680</v>
      </c>
      <c r="F35" s="37" t="s">
        <v>614</v>
      </c>
      <c r="G35" s="37" t="s">
        <v>655</v>
      </c>
      <c r="H35" s="39">
        <v>46227.791805555556</v>
      </c>
      <c r="I35" s="40">
        <v>8.65</v>
      </c>
      <c r="J35" s="37" t="s">
        <v>49</v>
      </c>
      <c r="K35" s="43" t="s">
        <v>753</v>
      </c>
      <c r="L35" s="43" t="s">
        <v>665</v>
      </c>
      <c r="M35" s="43" t="s">
        <v>469</v>
      </c>
      <c r="N35" s="43" t="s">
        <v>681</v>
      </c>
      <c r="O35" s="43" t="s">
        <v>171</v>
      </c>
      <c r="P35" s="43" t="s">
        <v>665</v>
      </c>
      <c r="Q35" s="43" t="s">
        <v>451</v>
      </c>
      <c r="R35" s="43" t="s">
        <v>451</v>
      </c>
      <c r="S35" s="47"/>
    </row>
    <row r="36" spans="1:19" ht="27.6">
      <c r="A36" s="37" t="s">
        <v>697</v>
      </c>
      <c r="B36" s="37" t="s">
        <v>465</v>
      </c>
      <c r="C36" s="37" t="s">
        <v>138</v>
      </c>
      <c r="D36" s="38">
        <v>42766</v>
      </c>
      <c r="E36" s="37" t="s">
        <v>680</v>
      </c>
      <c r="F36" s="37" t="s">
        <v>614</v>
      </c>
      <c r="G36" s="37" t="s">
        <v>655</v>
      </c>
      <c r="H36" s="39">
        <v>46227.791817129626</v>
      </c>
      <c r="I36" s="40">
        <v>8.5</v>
      </c>
      <c r="J36" s="37" t="s">
        <v>49</v>
      </c>
      <c r="K36" s="43" t="s">
        <v>753</v>
      </c>
      <c r="L36" s="43" t="s">
        <v>665</v>
      </c>
      <c r="M36" s="43" t="s">
        <v>469</v>
      </c>
      <c r="N36" s="43" t="s">
        <v>681</v>
      </c>
      <c r="O36" s="43" t="s">
        <v>171</v>
      </c>
      <c r="P36" s="43" t="s">
        <v>665</v>
      </c>
      <c r="Q36" s="43" t="s">
        <v>451</v>
      </c>
      <c r="R36" s="43" t="s">
        <v>451</v>
      </c>
      <c r="S36" s="47"/>
    </row>
    <row r="37" spans="1:19" ht="27.6">
      <c r="A37" s="37" t="s">
        <v>698</v>
      </c>
      <c r="B37" s="37" t="s">
        <v>466</v>
      </c>
      <c r="C37" s="37" t="s">
        <v>149</v>
      </c>
      <c r="D37" s="38">
        <v>43131</v>
      </c>
      <c r="E37" s="37" t="s">
        <v>680</v>
      </c>
      <c r="F37" s="37" t="s">
        <v>614</v>
      </c>
      <c r="G37" s="37" t="s">
        <v>655</v>
      </c>
      <c r="H37" s="39">
        <v>46227.791828703703</v>
      </c>
      <c r="I37" s="40">
        <v>7.95</v>
      </c>
      <c r="J37" s="37" t="s">
        <v>49</v>
      </c>
      <c r="K37" s="43" t="s">
        <v>753</v>
      </c>
      <c r="L37" s="43" t="s">
        <v>665</v>
      </c>
      <c r="M37" s="43" t="s">
        <v>469</v>
      </c>
      <c r="N37" s="43" t="s">
        <v>681</v>
      </c>
      <c r="O37" s="43" t="s">
        <v>171</v>
      </c>
      <c r="P37" s="43" t="s">
        <v>665</v>
      </c>
      <c r="Q37" s="43" t="s">
        <v>451</v>
      </c>
      <c r="R37" s="43" t="s">
        <v>451</v>
      </c>
      <c r="S37" s="47"/>
    </row>
    <row r="38" spans="1:19" ht="27.6">
      <c r="A38" s="37" t="s">
        <v>699</v>
      </c>
      <c r="B38" s="37" t="s">
        <v>466</v>
      </c>
      <c r="C38" s="37" t="s">
        <v>149</v>
      </c>
      <c r="D38" s="38">
        <v>43465</v>
      </c>
      <c r="E38" s="37" t="s">
        <v>700</v>
      </c>
      <c r="F38" s="37" t="s">
        <v>614</v>
      </c>
      <c r="G38" s="37" t="s">
        <v>655</v>
      </c>
      <c r="H38" s="39">
        <v>46227.79184027778</v>
      </c>
      <c r="I38" s="40">
        <v>8.0399999999999991</v>
      </c>
      <c r="J38" s="37" t="s">
        <v>49</v>
      </c>
      <c r="K38" s="43" t="s">
        <v>701</v>
      </c>
      <c r="L38" s="43" t="s">
        <v>665</v>
      </c>
      <c r="M38" s="43" t="s">
        <v>469</v>
      </c>
      <c r="N38" s="43" t="s">
        <v>681</v>
      </c>
      <c r="O38" s="43" t="s">
        <v>171</v>
      </c>
      <c r="P38" s="43" t="s">
        <v>665</v>
      </c>
      <c r="Q38" s="43" t="s">
        <v>451</v>
      </c>
      <c r="R38" s="43" t="s">
        <v>451</v>
      </c>
      <c r="S38" s="47"/>
    </row>
    <row r="39" spans="1:19" ht="27.6">
      <c r="A39" s="37" t="s">
        <v>702</v>
      </c>
      <c r="B39" s="37" t="s">
        <v>466</v>
      </c>
      <c r="C39" s="37" t="s">
        <v>149</v>
      </c>
      <c r="D39" s="38">
        <v>43830</v>
      </c>
      <c r="E39" s="37" t="s">
        <v>700</v>
      </c>
      <c r="F39" s="37" t="s">
        <v>614</v>
      </c>
      <c r="G39" s="37" t="s">
        <v>655</v>
      </c>
      <c r="H39" s="39">
        <v>46227.791851851849</v>
      </c>
      <c r="I39" s="40">
        <v>8.14</v>
      </c>
      <c r="J39" s="37" t="s">
        <v>49</v>
      </c>
      <c r="K39" s="43" t="s">
        <v>701</v>
      </c>
      <c r="L39" s="43" t="s">
        <v>665</v>
      </c>
      <c r="M39" s="43" t="s">
        <v>469</v>
      </c>
      <c r="N39" s="43" t="s">
        <v>681</v>
      </c>
      <c r="O39" s="43" t="s">
        <v>171</v>
      </c>
      <c r="P39" s="43" t="s">
        <v>665</v>
      </c>
      <c r="Q39" s="43" t="s">
        <v>451</v>
      </c>
      <c r="R39" s="43" t="s">
        <v>451</v>
      </c>
      <c r="S39" s="47"/>
    </row>
    <row r="40" spans="1:19" ht="27.6">
      <c r="A40" s="37" t="s">
        <v>703</v>
      </c>
      <c r="B40" s="37" t="s">
        <v>466</v>
      </c>
      <c r="C40" s="37" t="s">
        <v>149</v>
      </c>
      <c r="D40" s="38">
        <v>44196</v>
      </c>
      <c r="E40" s="37" t="s">
        <v>700</v>
      </c>
      <c r="F40" s="37" t="s">
        <v>614</v>
      </c>
      <c r="G40" s="37" t="s">
        <v>655</v>
      </c>
      <c r="H40" s="39">
        <v>46227.791863425926</v>
      </c>
      <c r="I40" s="40">
        <v>8.24</v>
      </c>
      <c r="J40" s="37" t="s">
        <v>49</v>
      </c>
      <c r="K40" s="43" t="s">
        <v>701</v>
      </c>
      <c r="L40" s="43" t="s">
        <v>665</v>
      </c>
      <c r="M40" s="43" t="s">
        <v>469</v>
      </c>
      <c r="N40" s="43" t="s">
        <v>681</v>
      </c>
      <c r="O40" s="43" t="s">
        <v>171</v>
      </c>
      <c r="P40" s="43" t="s">
        <v>665</v>
      </c>
      <c r="Q40" s="43" t="s">
        <v>451</v>
      </c>
      <c r="R40" s="43" t="s">
        <v>451</v>
      </c>
      <c r="S40" s="47"/>
    </row>
    <row r="41" spans="1:19" ht="27.6">
      <c r="A41" s="37" t="s">
        <v>704</v>
      </c>
      <c r="B41" s="37" t="s">
        <v>466</v>
      </c>
      <c r="C41" s="37" t="s">
        <v>149</v>
      </c>
      <c r="D41" s="38">
        <v>44561</v>
      </c>
      <c r="E41" s="37" t="s">
        <v>700</v>
      </c>
      <c r="F41" s="37" t="s">
        <v>614</v>
      </c>
      <c r="G41" s="37" t="s">
        <v>655</v>
      </c>
      <c r="H41" s="39">
        <v>46227.791875000003</v>
      </c>
      <c r="I41" s="40">
        <v>8.34</v>
      </c>
      <c r="J41" s="37" t="s">
        <v>49</v>
      </c>
      <c r="K41" s="43" t="s">
        <v>701</v>
      </c>
      <c r="L41" s="43" t="s">
        <v>665</v>
      </c>
      <c r="M41" s="43" t="s">
        <v>469</v>
      </c>
      <c r="N41" s="43" t="s">
        <v>681</v>
      </c>
      <c r="O41" s="43" t="s">
        <v>171</v>
      </c>
      <c r="P41" s="43" t="s">
        <v>665</v>
      </c>
      <c r="Q41" s="43" t="s">
        <v>451</v>
      </c>
      <c r="R41" s="43" t="s">
        <v>451</v>
      </c>
      <c r="S41" s="47"/>
    </row>
    <row r="42" spans="1:19" ht="27.6">
      <c r="A42" s="37" t="s">
        <v>705</v>
      </c>
      <c r="B42" s="37" t="s">
        <v>466</v>
      </c>
      <c r="C42" s="37" t="s">
        <v>149</v>
      </c>
      <c r="D42" s="38">
        <v>44926</v>
      </c>
      <c r="E42" s="37" t="s">
        <v>700</v>
      </c>
      <c r="F42" s="37" t="s">
        <v>614</v>
      </c>
      <c r="G42" s="37" t="s">
        <v>655</v>
      </c>
      <c r="H42" s="39">
        <v>46227.791886574072</v>
      </c>
      <c r="I42" s="40">
        <v>8.44</v>
      </c>
      <c r="J42" s="37" t="s">
        <v>49</v>
      </c>
      <c r="K42" s="43" t="s">
        <v>701</v>
      </c>
      <c r="L42" s="43" t="s">
        <v>665</v>
      </c>
      <c r="M42" s="43" t="s">
        <v>469</v>
      </c>
      <c r="N42" s="43" t="s">
        <v>681</v>
      </c>
      <c r="O42" s="43" t="s">
        <v>171</v>
      </c>
      <c r="P42" s="43" t="s">
        <v>665</v>
      </c>
      <c r="Q42" s="43" t="s">
        <v>451</v>
      </c>
      <c r="R42" s="43" t="s">
        <v>451</v>
      </c>
      <c r="S42" s="47"/>
    </row>
    <row r="43" spans="1:19" ht="27.6">
      <c r="A43" s="37" t="s">
        <v>706</v>
      </c>
      <c r="B43" s="37" t="s">
        <v>466</v>
      </c>
      <c r="C43" s="37" t="s">
        <v>149</v>
      </c>
      <c r="D43" s="38">
        <v>45291</v>
      </c>
      <c r="E43" s="37" t="s">
        <v>700</v>
      </c>
      <c r="F43" s="37" t="s">
        <v>614</v>
      </c>
      <c r="G43" s="37" t="s">
        <v>655</v>
      </c>
      <c r="H43" s="39">
        <v>46227.791898148149</v>
      </c>
      <c r="I43" s="40">
        <v>8.5399999999999991</v>
      </c>
      <c r="J43" s="37" t="s">
        <v>49</v>
      </c>
      <c r="K43" s="43" t="s">
        <v>701</v>
      </c>
      <c r="L43" s="43" t="s">
        <v>665</v>
      </c>
      <c r="M43" s="43" t="s">
        <v>469</v>
      </c>
      <c r="N43" s="43" t="s">
        <v>681</v>
      </c>
      <c r="O43" s="43" t="s">
        <v>171</v>
      </c>
      <c r="P43" s="43" t="s">
        <v>665</v>
      </c>
      <c r="Q43" s="43" t="s">
        <v>451</v>
      </c>
      <c r="R43" s="43" t="s">
        <v>451</v>
      </c>
      <c r="S43" s="47"/>
    </row>
    <row r="44" spans="1:19" ht="27.6">
      <c r="A44" s="37" t="s">
        <v>707</v>
      </c>
      <c r="B44" s="37" t="s">
        <v>466</v>
      </c>
      <c r="C44" s="37" t="s">
        <v>149</v>
      </c>
      <c r="D44" s="38">
        <v>45657</v>
      </c>
      <c r="E44" s="37" t="s">
        <v>700</v>
      </c>
      <c r="F44" s="37" t="s">
        <v>614</v>
      </c>
      <c r="G44" s="37" t="s">
        <v>655</v>
      </c>
      <c r="H44" s="39">
        <v>46227.791909722226</v>
      </c>
      <c r="I44" s="40">
        <v>8.64</v>
      </c>
      <c r="J44" s="37" t="s">
        <v>49</v>
      </c>
      <c r="K44" s="43" t="s">
        <v>701</v>
      </c>
      <c r="L44" s="43" t="s">
        <v>665</v>
      </c>
      <c r="M44" s="43" t="s">
        <v>469</v>
      </c>
      <c r="N44" s="43" t="s">
        <v>681</v>
      </c>
      <c r="O44" s="43" t="s">
        <v>171</v>
      </c>
      <c r="P44" s="43" t="s">
        <v>665</v>
      </c>
      <c r="Q44" s="43" t="s">
        <v>451</v>
      </c>
      <c r="R44" s="43" t="s">
        <v>451</v>
      </c>
      <c r="S44" s="47"/>
    </row>
    <row r="45" spans="1:19" ht="27.6">
      <c r="A45" s="37" t="s">
        <v>708</v>
      </c>
      <c r="B45" s="37" t="s">
        <v>467</v>
      </c>
      <c r="C45" s="37" t="s">
        <v>157</v>
      </c>
      <c r="D45" s="38">
        <v>43496</v>
      </c>
      <c r="E45" s="37" t="s">
        <v>680</v>
      </c>
      <c r="F45" s="37" t="s">
        <v>614</v>
      </c>
      <c r="G45" s="37" t="s">
        <v>655</v>
      </c>
      <c r="H45" s="39">
        <v>46227.791921296295</v>
      </c>
      <c r="I45" s="40">
        <v>7.55</v>
      </c>
      <c r="J45" s="37" t="s">
        <v>49</v>
      </c>
      <c r="K45" s="43" t="s">
        <v>753</v>
      </c>
      <c r="L45" s="43" t="s">
        <v>665</v>
      </c>
      <c r="M45" s="43" t="s">
        <v>469</v>
      </c>
      <c r="N45" s="43" t="s">
        <v>681</v>
      </c>
      <c r="O45" s="43" t="s">
        <v>171</v>
      </c>
      <c r="P45" s="43" t="s">
        <v>665</v>
      </c>
      <c r="Q45" s="43" t="s">
        <v>451</v>
      </c>
      <c r="R45" s="43" t="s">
        <v>451</v>
      </c>
      <c r="S45" s="47"/>
    </row>
    <row r="46" spans="1:19" ht="27.6">
      <c r="A46" s="37" t="s">
        <v>709</v>
      </c>
      <c r="B46" s="37" t="s">
        <v>467</v>
      </c>
      <c r="C46" s="37" t="s">
        <v>157</v>
      </c>
      <c r="D46" s="38">
        <v>43830</v>
      </c>
      <c r="E46" s="37" t="s">
        <v>700</v>
      </c>
      <c r="F46" s="37" t="s">
        <v>614</v>
      </c>
      <c r="G46" s="37" t="s">
        <v>655</v>
      </c>
      <c r="H46" s="39">
        <v>46227.791932870372</v>
      </c>
      <c r="I46" s="40">
        <v>7.64</v>
      </c>
      <c r="J46" s="37" t="s">
        <v>49</v>
      </c>
      <c r="K46" s="43" t="s">
        <v>701</v>
      </c>
      <c r="L46" s="43" t="s">
        <v>665</v>
      </c>
      <c r="M46" s="43" t="s">
        <v>469</v>
      </c>
      <c r="N46" s="43" t="s">
        <v>681</v>
      </c>
      <c r="O46" s="43" t="s">
        <v>171</v>
      </c>
      <c r="P46" s="43" t="s">
        <v>665</v>
      </c>
      <c r="Q46" s="43" t="s">
        <v>451</v>
      </c>
      <c r="R46" s="43" t="s">
        <v>451</v>
      </c>
      <c r="S46" s="47"/>
    </row>
    <row r="47" spans="1:19" ht="27.6">
      <c r="A47" s="37" t="s">
        <v>710</v>
      </c>
      <c r="B47" s="37" t="s">
        <v>467</v>
      </c>
      <c r="C47" s="37" t="s">
        <v>157</v>
      </c>
      <c r="D47" s="38">
        <v>44196</v>
      </c>
      <c r="E47" s="37" t="s">
        <v>700</v>
      </c>
      <c r="F47" s="37" t="s">
        <v>614</v>
      </c>
      <c r="G47" s="37" t="s">
        <v>655</v>
      </c>
      <c r="H47" s="39">
        <v>46227.791944444441</v>
      </c>
      <c r="I47" s="40">
        <v>7.74</v>
      </c>
      <c r="J47" s="37" t="s">
        <v>49</v>
      </c>
      <c r="K47" s="43" t="s">
        <v>701</v>
      </c>
      <c r="L47" s="43" t="s">
        <v>665</v>
      </c>
      <c r="M47" s="43" t="s">
        <v>469</v>
      </c>
      <c r="N47" s="43" t="s">
        <v>681</v>
      </c>
      <c r="O47" s="43" t="s">
        <v>171</v>
      </c>
      <c r="P47" s="43" t="s">
        <v>665</v>
      </c>
      <c r="Q47" s="43" t="s">
        <v>451</v>
      </c>
      <c r="R47" s="43" t="s">
        <v>451</v>
      </c>
      <c r="S47" s="47"/>
    </row>
    <row r="48" spans="1:19" ht="27.6">
      <c r="A48" s="37" t="s">
        <v>711</v>
      </c>
      <c r="B48" s="37" t="s">
        <v>467</v>
      </c>
      <c r="C48" s="37" t="s">
        <v>157</v>
      </c>
      <c r="D48" s="38">
        <v>44561</v>
      </c>
      <c r="E48" s="37" t="s">
        <v>700</v>
      </c>
      <c r="F48" s="37" t="s">
        <v>614</v>
      </c>
      <c r="G48" s="37" t="s">
        <v>655</v>
      </c>
      <c r="H48" s="39">
        <v>46227.791956018518</v>
      </c>
      <c r="I48" s="40">
        <v>7.84</v>
      </c>
      <c r="J48" s="37" t="s">
        <v>49</v>
      </c>
      <c r="K48" s="43" t="s">
        <v>701</v>
      </c>
      <c r="L48" s="43" t="s">
        <v>665</v>
      </c>
      <c r="M48" s="43" t="s">
        <v>469</v>
      </c>
      <c r="N48" s="43" t="s">
        <v>681</v>
      </c>
      <c r="O48" s="43" t="s">
        <v>171</v>
      </c>
      <c r="P48" s="43" t="s">
        <v>665</v>
      </c>
      <c r="Q48" s="43" t="s">
        <v>451</v>
      </c>
      <c r="R48" s="43" t="s">
        <v>451</v>
      </c>
      <c r="S48" s="47"/>
    </row>
    <row r="49" spans="1:19" ht="27.6">
      <c r="A49" s="37" t="s">
        <v>712</v>
      </c>
      <c r="B49" s="37" t="s">
        <v>467</v>
      </c>
      <c r="C49" s="37" t="s">
        <v>157</v>
      </c>
      <c r="D49" s="38">
        <v>44926</v>
      </c>
      <c r="E49" s="37" t="s">
        <v>700</v>
      </c>
      <c r="F49" s="37" t="s">
        <v>614</v>
      </c>
      <c r="G49" s="37" t="s">
        <v>655</v>
      </c>
      <c r="H49" s="39">
        <v>46227.791967592595</v>
      </c>
      <c r="I49" s="40">
        <v>7.94</v>
      </c>
      <c r="J49" s="37" t="s">
        <v>49</v>
      </c>
      <c r="K49" s="43" t="s">
        <v>701</v>
      </c>
      <c r="L49" s="43" t="s">
        <v>665</v>
      </c>
      <c r="M49" s="43" t="s">
        <v>469</v>
      </c>
      <c r="N49" s="43" t="s">
        <v>681</v>
      </c>
      <c r="O49" s="43" t="s">
        <v>171</v>
      </c>
      <c r="P49" s="43" t="s">
        <v>665</v>
      </c>
      <c r="Q49" s="43" t="s">
        <v>451</v>
      </c>
      <c r="R49" s="43" t="s">
        <v>451</v>
      </c>
      <c r="S49" s="47"/>
    </row>
    <row r="50" spans="1:19" ht="27.6">
      <c r="A50" s="37" t="s">
        <v>713</v>
      </c>
      <c r="B50" s="37" t="s">
        <v>468</v>
      </c>
      <c r="C50" s="37" t="s">
        <v>166</v>
      </c>
      <c r="D50" s="38">
        <v>43496</v>
      </c>
      <c r="E50" s="37" t="s">
        <v>680</v>
      </c>
      <c r="F50" s="37" t="s">
        <v>614</v>
      </c>
      <c r="G50" s="37" t="s">
        <v>655</v>
      </c>
      <c r="H50" s="39">
        <v>46227.791979166665</v>
      </c>
      <c r="I50" s="40">
        <v>7.98</v>
      </c>
      <c r="J50" s="37" t="s">
        <v>49</v>
      </c>
      <c r="K50" s="43" t="s">
        <v>753</v>
      </c>
      <c r="L50" s="43" t="s">
        <v>665</v>
      </c>
      <c r="M50" s="43" t="s">
        <v>469</v>
      </c>
      <c r="N50" s="43" t="s">
        <v>681</v>
      </c>
      <c r="O50" s="43" t="s">
        <v>171</v>
      </c>
      <c r="P50" s="43" t="s">
        <v>665</v>
      </c>
      <c r="Q50" s="43" t="s">
        <v>451</v>
      </c>
      <c r="R50" s="43" t="s">
        <v>451</v>
      </c>
      <c r="S50" s="47"/>
    </row>
    <row r="51" spans="1:19" ht="27.6">
      <c r="A51" s="37" t="s">
        <v>714</v>
      </c>
      <c r="B51" s="37" t="s">
        <v>468</v>
      </c>
      <c r="C51" s="37" t="s">
        <v>166</v>
      </c>
      <c r="D51" s="38">
        <v>43830</v>
      </c>
      <c r="E51" s="37" t="s">
        <v>700</v>
      </c>
      <c r="F51" s="37" t="s">
        <v>614</v>
      </c>
      <c r="G51" s="37" t="s">
        <v>655</v>
      </c>
      <c r="H51" s="39">
        <v>46227.791990740741</v>
      </c>
      <c r="I51" s="40">
        <v>8.07</v>
      </c>
      <c r="J51" s="37" t="s">
        <v>49</v>
      </c>
      <c r="K51" s="43" t="s">
        <v>701</v>
      </c>
      <c r="L51" s="43" t="s">
        <v>665</v>
      </c>
      <c r="M51" s="43" t="s">
        <v>469</v>
      </c>
      <c r="N51" s="43" t="s">
        <v>681</v>
      </c>
      <c r="O51" s="43" t="s">
        <v>171</v>
      </c>
      <c r="P51" s="43" t="s">
        <v>665</v>
      </c>
      <c r="Q51" s="43" t="s">
        <v>451</v>
      </c>
      <c r="R51" s="43" t="s">
        <v>451</v>
      </c>
      <c r="S51" s="47"/>
    </row>
    <row r="52" spans="1:19" ht="27.6">
      <c r="A52" s="37" t="s">
        <v>715</v>
      </c>
      <c r="B52" s="37" t="s">
        <v>468</v>
      </c>
      <c r="C52" s="37" t="s">
        <v>166</v>
      </c>
      <c r="D52" s="38">
        <v>44196</v>
      </c>
      <c r="E52" s="37" t="s">
        <v>700</v>
      </c>
      <c r="F52" s="37" t="s">
        <v>614</v>
      </c>
      <c r="G52" s="37" t="s">
        <v>655</v>
      </c>
      <c r="H52" s="39">
        <v>46227.792002314818</v>
      </c>
      <c r="I52" s="40">
        <v>8.17</v>
      </c>
      <c r="J52" s="37" t="s">
        <v>49</v>
      </c>
      <c r="K52" s="43" t="s">
        <v>701</v>
      </c>
      <c r="L52" s="43" t="s">
        <v>665</v>
      </c>
      <c r="M52" s="43" t="s">
        <v>469</v>
      </c>
      <c r="N52" s="43" t="s">
        <v>681</v>
      </c>
      <c r="O52" s="43" t="s">
        <v>171</v>
      </c>
      <c r="P52" s="43" t="s">
        <v>665</v>
      </c>
      <c r="Q52" s="43" t="s">
        <v>451</v>
      </c>
      <c r="R52" s="43" t="s">
        <v>451</v>
      </c>
      <c r="S52" s="47"/>
    </row>
    <row r="53" spans="1:19" ht="27.6">
      <c r="A53" s="37" t="s">
        <v>716</v>
      </c>
      <c r="B53" s="37" t="s">
        <v>468</v>
      </c>
      <c r="C53" s="37" t="s">
        <v>166</v>
      </c>
      <c r="D53" s="38">
        <v>44561</v>
      </c>
      <c r="E53" s="37" t="s">
        <v>700</v>
      </c>
      <c r="F53" s="37" t="s">
        <v>614</v>
      </c>
      <c r="G53" s="37" t="s">
        <v>655</v>
      </c>
      <c r="H53" s="39">
        <v>46227.792013888888</v>
      </c>
      <c r="I53" s="40">
        <v>8.27</v>
      </c>
      <c r="J53" s="37" t="s">
        <v>49</v>
      </c>
      <c r="K53" s="43" t="s">
        <v>701</v>
      </c>
      <c r="L53" s="43" t="s">
        <v>665</v>
      </c>
      <c r="M53" s="43" t="s">
        <v>469</v>
      </c>
      <c r="N53" s="43" t="s">
        <v>681</v>
      </c>
      <c r="O53" s="43" t="s">
        <v>171</v>
      </c>
      <c r="P53" s="43" t="s">
        <v>665</v>
      </c>
      <c r="Q53" s="43" t="s">
        <v>451</v>
      </c>
      <c r="R53" s="43" t="s">
        <v>451</v>
      </c>
      <c r="S53" s="47"/>
    </row>
    <row r="54" spans="1:19" ht="27.6">
      <c r="A54" s="37" t="s">
        <v>717</v>
      </c>
      <c r="B54" s="37" t="s">
        <v>468</v>
      </c>
      <c r="C54" s="37" t="s">
        <v>166</v>
      </c>
      <c r="D54" s="38">
        <v>44926</v>
      </c>
      <c r="E54" s="37" t="s">
        <v>700</v>
      </c>
      <c r="F54" s="37" t="s">
        <v>614</v>
      </c>
      <c r="G54" s="37" t="s">
        <v>655</v>
      </c>
      <c r="H54" s="39">
        <v>46227.792025462964</v>
      </c>
      <c r="I54" s="40">
        <v>8.3699999999999992</v>
      </c>
      <c r="J54" s="37" t="s">
        <v>49</v>
      </c>
      <c r="K54" s="43" t="s">
        <v>701</v>
      </c>
      <c r="L54" s="43" t="s">
        <v>665</v>
      </c>
      <c r="M54" s="43" t="s">
        <v>469</v>
      </c>
      <c r="N54" s="43" t="s">
        <v>681</v>
      </c>
      <c r="O54" s="43" t="s">
        <v>171</v>
      </c>
      <c r="P54" s="43" t="s">
        <v>665</v>
      </c>
      <c r="Q54" s="43" t="s">
        <v>451</v>
      </c>
      <c r="R54" s="43" t="s">
        <v>451</v>
      </c>
      <c r="S54" s="47"/>
    </row>
    <row r="55" spans="1:19" ht="27.6">
      <c r="A55" s="37" t="s">
        <v>718</v>
      </c>
      <c r="B55" s="37" t="s">
        <v>468</v>
      </c>
      <c r="C55" s="37" t="s">
        <v>166</v>
      </c>
      <c r="D55" s="38">
        <v>45291</v>
      </c>
      <c r="E55" s="37" t="s">
        <v>700</v>
      </c>
      <c r="F55" s="37" t="s">
        <v>614</v>
      </c>
      <c r="G55" s="37" t="s">
        <v>655</v>
      </c>
      <c r="H55" s="39">
        <v>46227.792037037034</v>
      </c>
      <c r="I55" s="40">
        <v>8.4700000000000006</v>
      </c>
      <c r="J55" s="37" t="s">
        <v>49</v>
      </c>
      <c r="K55" s="43" t="s">
        <v>701</v>
      </c>
      <c r="L55" s="43" t="s">
        <v>665</v>
      </c>
      <c r="M55" s="43" t="s">
        <v>469</v>
      </c>
      <c r="N55" s="43" t="s">
        <v>681</v>
      </c>
      <c r="O55" s="43" t="s">
        <v>171</v>
      </c>
      <c r="P55" s="43" t="s">
        <v>665</v>
      </c>
      <c r="Q55" s="43" t="s">
        <v>451</v>
      </c>
      <c r="R55" s="43" t="s">
        <v>451</v>
      </c>
      <c r="S55" s="47"/>
    </row>
    <row r="56" spans="1:19" ht="27.6">
      <c r="A56" s="37" t="s">
        <v>719</v>
      </c>
      <c r="B56" s="37" t="s">
        <v>468</v>
      </c>
      <c r="C56" s="37" t="s">
        <v>166</v>
      </c>
      <c r="D56" s="38">
        <v>45657</v>
      </c>
      <c r="E56" s="37" t="s">
        <v>700</v>
      </c>
      <c r="F56" s="37" t="s">
        <v>614</v>
      </c>
      <c r="G56" s="37" t="s">
        <v>655</v>
      </c>
      <c r="H56" s="39">
        <v>46227.792048611111</v>
      </c>
      <c r="I56" s="40">
        <v>8.57</v>
      </c>
      <c r="J56" s="37" t="s">
        <v>49</v>
      </c>
      <c r="K56" s="43" t="s">
        <v>701</v>
      </c>
      <c r="L56" s="43" t="s">
        <v>665</v>
      </c>
      <c r="M56" s="43" t="s">
        <v>469</v>
      </c>
      <c r="N56" s="43" t="s">
        <v>681</v>
      </c>
      <c r="O56" s="43" t="s">
        <v>171</v>
      </c>
      <c r="P56" s="43" t="s">
        <v>665</v>
      </c>
      <c r="Q56" s="43" t="s">
        <v>451</v>
      </c>
      <c r="R56" s="43" t="s">
        <v>451</v>
      </c>
      <c r="S56" s="47"/>
    </row>
    <row r="57" spans="1:19" ht="27.6">
      <c r="A57" s="37" t="s">
        <v>720</v>
      </c>
      <c r="B57" s="37" t="s">
        <v>468</v>
      </c>
      <c r="C57" s="37" t="s">
        <v>166</v>
      </c>
      <c r="D57" s="38">
        <v>46022</v>
      </c>
      <c r="E57" s="37" t="s">
        <v>700</v>
      </c>
      <c r="F57" s="37" t="s">
        <v>614</v>
      </c>
      <c r="G57" s="37" t="s">
        <v>655</v>
      </c>
      <c r="H57" s="39">
        <v>46227.792060185187</v>
      </c>
      <c r="I57" s="40">
        <v>8.67</v>
      </c>
      <c r="J57" s="37" t="s">
        <v>49</v>
      </c>
      <c r="K57" s="43" t="s">
        <v>701</v>
      </c>
      <c r="L57" s="43" t="s">
        <v>665</v>
      </c>
      <c r="M57" s="43" t="s">
        <v>469</v>
      </c>
      <c r="N57" s="43" t="s">
        <v>681</v>
      </c>
      <c r="O57" s="43" t="s">
        <v>171</v>
      </c>
      <c r="P57" s="43" t="s">
        <v>665</v>
      </c>
      <c r="Q57" s="43" t="s">
        <v>451</v>
      </c>
      <c r="R57" s="43" t="s">
        <v>451</v>
      </c>
      <c r="S57" s="47"/>
    </row>
    <row r="58" spans="1:19" ht="27.6">
      <c r="A58" s="37" t="s">
        <v>721</v>
      </c>
      <c r="B58" s="37" t="s">
        <v>468</v>
      </c>
      <c r="C58" s="37" t="s">
        <v>166</v>
      </c>
      <c r="D58" s="38">
        <v>46203</v>
      </c>
      <c r="E58" s="37" t="s">
        <v>700</v>
      </c>
      <c r="F58" s="37" t="s">
        <v>614</v>
      </c>
      <c r="G58" s="37" t="s">
        <v>655</v>
      </c>
      <c r="H58" s="39">
        <v>46227.792071759257</v>
      </c>
      <c r="I58" s="40">
        <v>9.6519999999999975</v>
      </c>
      <c r="J58" s="37" t="s">
        <v>49</v>
      </c>
      <c r="K58" s="43" t="s">
        <v>722</v>
      </c>
      <c r="L58" s="43" t="s">
        <v>665</v>
      </c>
      <c r="M58" s="43" t="s">
        <v>469</v>
      </c>
      <c r="N58" s="43" t="s">
        <v>681</v>
      </c>
      <c r="O58" s="43" t="s">
        <v>171</v>
      </c>
      <c r="P58" s="43" t="s">
        <v>667</v>
      </c>
      <c r="Q58" s="43" t="s">
        <v>469</v>
      </c>
      <c r="R58" s="43" t="s">
        <v>451</v>
      </c>
      <c r="S58" s="47">
        <v>46228.576238425929</v>
      </c>
    </row>
    <row r="59" spans="1:19" ht="27.6">
      <c r="A59" s="37" t="s">
        <v>723</v>
      </c>
      <c r="B59" s="37" t="s">
        <v>470</v>
      </c>
      <c r="C59" s="37" t="s">
        <v>185</v>
      </c>
      <c r="D59" s="38">
        <v>44227</v>
      </c>
      <c r="E59" s="37" t="s">
        <v>680</v>
      </c>
      <c r="F59" s="37" t="s">
        <v>614</v>
      </c>
      <c r="G59" s="37" t="s">
        <v>655</v>
      </c>
      <c r="H59" s="39">
        <v>46227.792083333334</v>
      </c>
      <c r="I59" s="40">
        <v>6.75</v>
      </c>
      <c r="J59" s="37" t="s">
        <v>49</v>
      </c>
      <c r="K59" s="43" t="s">
        <v>753</v>
      </c>
      <c r="L59" s="43" t="s">
        <v>665</v>
      </c>
      <c r="M59" s="43" t="s">
        <v>469</v>
      </c>
      <c r="N59" s="43" t="s">
        <v>681</v>
      </c>
      <c r="O59" s="43" t="s">
        <v>171</v>
      </c>
      <c r="P59" s="43" t="s">
        <v>665</v>
      </c>
      <c r="Q59" s="43" t="s">
        <v>451</v>
      </c>
      <c r="R59" s="43" t="s">
        <v>451</v>
      </c>
      <c r="S59" s="47"/>
    </row>
    <row r="60" spans="1:19" ht="27.6">
      <c r="A60" s="37" t="s">
        <v>724</v>
      </c>
      <c r="B60" s="37" t="s">
        <v>470</v>
      </c>
      <c r="C60" s="37" t="s">
        <v>185</v>
      </c>
      <c r="D60" s="38">
        <v>44561</v>
      </c>
      <c r="E60" s="37" t="s">
        <v>700</v>
      </c>
      <c r="F60" s="37" t="s">
        <v>614</v>
      </c>
      <c r="G60" s="37" t="s">
        <v>655</v>
      </c>
      <c r="H60" s="39">
        <v>46227.792094907411</v>
      </c>
      <c r="I60" s="40">
        <v>6.84</v>
      </c>
      <c r="J60" s="37" t="s">
        <v>49</v>
      </c>
      <c r="K60" s="43" t="s">
        <v>701</v>
      </c>
      <c r="L60" s="43" t="s">
        <v>665</v>
      </c>
      <c r="M60" s="43" t="s">
        <v>469</v>
      </c>
      <c r="N60" s="43" t="s">
        <v>681</v>
      </c>
      <c r="O60" s="43" t="s">
        <v>171</v>
      </c>
      <c r="P60" s="43" t="s">
        <v>665</v>
      </c>
      <c r="Q60" s="43" t="s">
        <v>451</v>
      </c>
      <c r="R60" s="43" t="s">
        <v>451</v>
      </c>
      <c r="S60" s="47"/>
    </row>
    <row r="61" spans="1:19" ht="27.6">
      <c r="A61" s="37" t="s">
        <v>725</v>
      </c>
      <c r="B61" s="37" t="s">
        <v>470</v>
      </c>
      <c r="C61" s="37" t="s">
        <v>185</v>
      </c>
      <c r="D61" s="38">
        <v>44926</v>
      </c>
      <c r="E61" s="37" t="s">
        <v>700</v>
      </c>
      <c r="F61" s="37" t="s">
        <v>614</v>
      </c>
      <c r="G61" s="37" t="s">
        <v>655</v>
      </c>
      <c r="H61" s="39">
        <v>46227.79210648148</v>
      </c>
      <c r="I61" s="40">
        <v>6.94</v>
      </c>
      <c r="J61" s="37" t="s">
        <v>49</v>
      </c>
      <c r="K61" s="43" t="s">
        <v>701</v>
      </c>
      <c r="L61" s="43" t="s">
        <v>665</v>
      </c>
      <c r="M61" s="43" t="s">
        <v>469</v>
      </c>
      <c r="N61" s="43" t="s">
        <v>681</v>
      </c>
      <c r="O61" s="43" t="s">
        <v>171</v>
      </c>
      <c r="P61" s="43" t="s">
        <v>665</v>
      </c>
      <c r="Q61" s="43" t="s">
        <v>451</v>
      </c>
      <c r="R61" s="43" t="s">
        <v>451</v>
      </c>
      <c r="S61" s="47"/>
    </row>
    <row r="62" spans="1:19" ht="27.6">
      <c r="A62" s="37" t="s">
        <v>726</v>
      </c>
      <c r="B62" s="37" t="s">
        <v>470</v>
      </c>
      <c r="C62" s="37" t="s">
        <v>185</v>
      </c>
      <c r="D62" s="38">
        <v>45291</v>
      </c>
      <c r="E62" s="37" t="s">
        <v>700</v>
      </c>
      <c r="F62" s="37" t="s">
        <v>614</v>
      </c>
      <c r="G62" s="37" t="s">
        <v>655</v>
      </c>
      <c r="H62" s="39">
        <v>46227.792118055557</v>
      </c>
      <c r="I62" s="40">
        <v>7.04</v>
      </c>
      <c r="J62" s="37" t="s">
        <v>49</v>
      </c>
      <c r="K62" s="43" t="s">
        <v>701</v>
      </c>
      <c r="L62" s="43" t="s">
        <v>665</v>
      </c>
      <c r="M62" s="43" t="s">
        <v>469</v>
      </c>
      <c r="N62" s="43" t="s">
        <v>681</v>
      </c>
      <c r="O62" s="43" t="s">
        <v>171</v>
      </c>
      <c r="P62" s="43" t="s">
        <v>665</v>
      </c>
      <c r="Q62" s="43" t="s">
        <v>451</v>
      </c>
      <c r="R62" s="43" t="s">
        <v>451</v>
      </c>
      <c r="S62" s="47"/>
    </row>
    <row r="63" spans="1:19" ht="27.6">
      <c r="A63" s="37" t="s">
        <v>727</v>
      </c>
      <c r="B63" s="37" t="s">
        <v>470</v>
      </c>
      <c r="C63" s="37" t="s">
        <v>185</v>
      </c>
      <c r="D63" s="38">
        <v>45657</v>
      </c>
      <c r="E63" s="37" t="s">
        <v>700</v>
      </c>
      <c r="F63" s="37" t="s">
        <v>614</v>
      </c>
      <c r="G63" s="37" t="s">
        <v>655</v>
      </c>
      <c r="H63" s="39">
        <v>46227.792129629626</v>
      </c>
      <c r="I63" s="40">
        <v>7.14</v>
      </c>
      <c r="J63" s="37" t="s">
        <v>49</v>
      </c>
      <c r="K63" s="43" t="s">
        <v>701</v>
      </c>
      <c r="L63" s="43" t="s">
        <v>665</v>
      </c>
      <c r="M63" s="43" t="s">
        <v>469</v>
      </c>
      <c r="N63" s="43" t="s">
        <v>681</v>
      </c>
      <c r="O63" s="43" t="s">
        <v>171</v>
      </c>
      <c r="P63" s="43" t="s">
        <v>665</v>
      </c>
      <c r="Q63" s="43" t="s">
        <v>451</v>
      </c>
      <c r="R63" s="43" t="s">
        <v>451</v>
      </c>
      <c r="S63" s="47"/>
    </row>
    <row r="64" spans="1:19" ht="27.6">
      <c r="A64" s="37" t="s">
        <v>728</v>
      </c>
      <c r="B64" s="37" t="s">
        <v>470</v>
      </c>
      <c r="C64" s="37" t="s">
        <v>185</v>
      </c>
      <c r="D64" s="38">
        <v>46022</v>
      </c>
      <c r="E64" s="37" t="s">
        <v>700</v>
      </c>
      <c r="F64" s="37" t="s">
        <v>614</v>
      </c>
      <c r="G64" s="37" t="s">
        <v>655</v>
      </c>
      <c r="H64" s="39">
        <v>46227.792141203703</v>
      </c>
      <c r="I64" s="40">
        <v>7.24</v>
      </c>
      <c r="J64" s="37" t="s">
        <v>49</v>
      </c>
      <c r="K64" s="43" t="s">
        <v>701</v>
      </c>
      <c r="L64" s="43" t="s">
        <v>665</v>
      </c>
      <c r="M64" s="43" t="s">
        <v>469</v>
      </c>
      <c r="N64" s="43" t="s">
        <v>681</v>
      </c>
      <c r="O64" s="43" t="s">
        <v>171</v>
      </c>
      <c r="P64" s="43" t="s">
        <v>665</v>
      </c>
      <c r="Q64" s="43" t="s">
        <v>451</v>
      </c>
      <c r="R64" s="43" t="s">
        <v>451</v>
      </c>
      <c r="S64" s="47"/>
    </row>
    <row r="65" spans="1:19" ht="27.6">
      <c r="A65" s="37" t="s">
        <v>729</v>
      </c>
      <c r="B65" s="37" t="s">
        <v>470</v>
      </c>
      <c r="C65" s="37" t="s">
        <v>185</v>
      </c>
      <c r="D65" s="38">
        <v>46203</v>
      </c>
      <c r="E65" s="37" t="s">
        <v>700</v>
      </c>
      <c r="F65" s="37" t="s">
        <v>614</v>
      </c>
      <c r="G65" s="37" t="s">
        <v>655</v>
      </c>
      <c r="H65" s="39">
        <v>46227.79215277778</v>
      </c>
      <c r="I65" s="40">
        <v>7.7200000000000006</v>
      </c>
      <c r="J65" s="37" t="s">
        <v>49</v>
      </c>
      <c r="K65" s="43" t="s">
        <v>722</v>
      </c>
      <c r="L65" s="43" t="s">
        <v>665</v>
      </c>
      <c r="M65" s="43" t="s">
        <v>469</v>
      </c>
      <c r="N65" s="43" t="s">
        <v>681</v>
      </c>
      <c r="O65" s="43" t="s">
        <v>171</v>
      </c>
      <c r="P65" s="43" t="s">
        <v>667</v>
      </c>
      <c r="Q65" s="43" t="s">
        <v>469</v>
      </c>
      <c r="R65" s="43" t="s">
        <v>451</v>
      </c>
      <c r="S65" s="47">
        <v>46228.576238425929</v>
      </c>
    </row>
    <row r="66" spans="1:19" ht="27.6">
      <c r="A66" s="37" t="s">
        <v>730</v>
      </c>
      <c r="B66" s="37" t="s">
        <v>471</v>
      </c>
      <c r="C66" s="37" t="s">
        <v>194</v>
      </c>
      <c r="D66" s="38">
        <v>44592</v>
      </c>
      <c r="E66" s="37" t="s">
        <v>680</v>
      </c>
      <c r="F66" s="37" t="s">
        <v>614</v>
      </c>
      <c r="G66" s="37" t="s">
        <v>655</v>
      </c>
      <c r="H66" s="39">
        <v>46227.792164351849</v>
      </c>
      <c r="I66" s="40">
        <v>6.5</v>
      </c>
      <c r="J66" s="37" t="s">
        <v>49</v>
      </c>
      <c r="K66" s="43" t="s">
        <v>753</v>
      </c>
      <c r="L66" s="43" t="s">
        <v>665</v>
      </c>
      <c r="M66" s="43" t="s">
        <v>469</v>
      </c>
      <c r="N66" s="43" t="s">
        <v>681</v>
      </c>
      <c r="O66" s="43" t="s">
        <v>171</v>
      </c>
      <c r="P66" s="43" t="s">
        <v>665</v>
      </c>
      <c r="Q66" s="43" t="s">
        <v>451</v>
      </c>
      <c r="R66" s="43" t="s">
        <v>451</v>
      </c>
      <c r="S66" s="47"/>
    </row>
    <row r="67" spans="1:19" ht="27.6">
      <c r="A67" s="37" t="s">
        <v>731</v>
      </c>
      <c r="B67" s="37" t="s">
        <v>471</v>
      </c>
      <c r="C67" s="37" t="s">
        <v>194</v>
      </c>
      <c r="D67" s="38">
        <v>44926</v>
      </c>
      <c r="E67" s="37" t="s">
        <v>700</v>
      </c>
      <c r="F67" s="37" t="s">
        <v>614</v>
      </c>
      <c r="G67" s="37" t="s">
        <v>655</v>
      </c>
      <c r="H67" s="39">
        <v>46227.792175925926</v>
      </c>
      <c r="I67" s="40">
        <v>6.59</v>
      </c>
      <c r="J67" s="37" t="s">
        <v>49</v>
      </c>
      <c r="K67" s="43" t="s">
        <v>701</v>
      </c>
      <c r="L67" s="43" t="s">
        <v>665</v>
      </c>
      <c r="M67" s="43" t="s">
        <v>469</v>
      </c>
      <c r="N67" s="43" t="s">
        <v>681</v>
      </c>
      <c r="O67" s="43" t="s">
        <v>171</v>
      </c>
      <c r="P67" s="43" t="s">
        <v>665</v>
      </c>
      <c r="Q67" s="43" t="s">
        <v>451</v>
      </c>
      <c r="R67" s="43" t="s">
        <v>451</v>
      </c>
      <c r="S67" s="47"/>
    </row>
    <row r="68" spans="1:19" ht="27.6">
      <c r="A68" s="37" t="s">
        <v>732</v>
      </c>
      <c r="B68" s="37" t="s">
        <v>471</v>
      </c>
      <c r="C68" s="37" t="s">
        <v>194</v>
      </c>
      <c r="D68" s="38">
        <v>45291</v>
      </c>
      <c r="E68" s="37" t="s">
        <v>700</v>
      </c>
      <c r="F68" s="37" t="s">
        <v>614</v>
      </c>
      <c r="G68" s="37" t="s">
        <v>655</v>
      </c>
      <c r="H68" s="39">
        <v>46227.792187500003</v>
      </c>
      <c r="I68" s="40">
        <v>6.69</v>
      </c>
      <c r="J68" s="37" t="s">
        <v>49</v>
      </c>
      <c r="K68" s="43" t="s">
        <v>701</v>
      </c>
      <c r="L68" s="43" t="s">
        <v>665</v>
      </c>
      <c r="M68" s="43" t="s">
        <v>469</v>
      </c>
      <c r="N68" s="43" t="s">
        <v>681</v>
      </c>
      <c r="O68" s="43" t="s">
        <v>171</v>
      </c>
      <c r="P68" s="43" t="s">
        <v>665</v>
      </c>
      <c r="Q68" s="43" t="s">
        <v>451</v>
      </c>
      <c r="R68" s="43" t="s">
        <v>451</v>
      </c>
      <c r="S68" s="47"/>
    </row>
    <row r="69" spans="1:19" ht="27.6">
      <c r="A69" s="37" t="s">
        <v>733</v>
      </c>
      <c r="B69" s="37" t="s">
        <v>471</v>
      </c>
      <c r="C69" s="37" t="s">
        <v>194</v>
      </c>
      <c r="D69" s="38">
        <v>45657</v>
      </c>
      <c r="E69" s="37" t="s">
        <v>700</v>
      </c>
      <c r="F69" s="37" t="s">
        <v>614</v>
      </c>
      <c r="G69" s="37" t="s">
        <v>655</v>
      </c>
      <c r="H69" s="39">
        <v>46227.792199074072</v>
      </c>
      <c r="I69" s="40">
        <v>6.79</v>
      </c>
      <c r="J69" s="37" t="s">
        <v>49</v>
      </c>
      <c r="K69" s="43" t="s">
        <v>701</v>
      </c>
      <c r="L69" s="43" t="s">
        <v>665</v>
      </c>
      <c r="M69" s="43" t="s">
        <v>469</v>
      </c>
      <c r="N69" s="43" t="s">
        <v>681</v>
      </c>
      <c r="O69" s="43" t="s">
        <v>171</v>
      </c>
      <c r="P69" s="43" t="s">
        <v>665</v>
      </c>
      <c r="Q69" s="43" t="s">
        <v>451</v>
      </c>
      <c r="R69" s="43" t="s">
        <v>451</v>
      </c>
      <c r="S69" s="47"/>
    </row>
    <row r="70" spans="1:19" ht="27.6">
      <c r="A70" s="37" t="s">
        <v>734</v>
      </c>
      <c r="B70" s="37" t="s">
        <v>471</v>
      </c>
      <c r="C70" s="37" t="s">
        <v>194</v>
      </c>
      <c r="D70" s="38">
        <v>46022</v>
      </c>
      <c r="E70" s="37" t="s">
        <v>700</v>
      </c>
      <c r="F70" s="37" t="s">
        <v>614</v>
      </c>
      <c r="G70" s="37" t="s">
        <v>655</v>
      </c>
      <c r="H70" s="39">
        <v>46227.792210648149</v>
      </c>
      <c r="I70" s="40">
        <v>6.89</v>
      </c>
      <c r="J70" s="37" t="s">
        <v>49</v>
      </c>
      <c r="K70" s="43" t="s">
        <v>701</v>
      </c>
      <c r="L70" s="43" t="s">
        <v>665</v>
      </c>
      <c r="M70" s="43" t="s">
        <v>469</v>
      </c>
      <c r="N70" s="43" t="s">
        <v>681</v>
      </c>
      <c r="O70" s="43" t="s">
        <v>171</v>
      </c>
      <c r="P70" s="43" t="s">
        <v>665</v>
      </c>
      <c r="Q70" s="43" t="s">
        <v>451</v>
      </c>
      <c r="R70" s="43" t="s">
        <v>451</v>
      </c>
      <c r="S70" s="47"/>
    </row>
    <row r="71" spans="1:19" ht="27.6">
      <c r="A71" s="37" t="s">
        <v>735</v>
      </c>
      <c r="B71" s="37" t="s">
        <v>471</v>
      </c>
      <c r="C71" s="37" t="s">
        <v>194</v>
      </c>
      <c r="D71" s="38">
        <v>46203</v>
      </c>
      <c r="E71" s="37" t="s">
        <v>700</v>
      </c>
      <c r="F71" s="37" t="s">
        <v>614</v>
      </c>
      <c r="G71" s="37" t="s">
        <v>655</v>
      </c>
      <c r="H71" s="39">
        <v>46227.792222222219</v>
      </c>
      <c r="I71" s="40">
        <v>7.2700000000000005</v>
      </c>
      <c r="J71" s="37" t="s">
        <v>49</v>
      </c>
      <c r="K71" s="43" t="s">
        <v>722</v>
      </c>
      <c r="L71" s="43" t="s">
        <v>665</v>
      </c>
      <c r="M71" s="43" t="s">
        <v>469</v>
      </c>
      <c r="N71" s="43" t="s">
        <v>681</v>
      </c>
      <c r="O71" s="43" t="s">
        <v>171</v>
      </c>
      <c r="P71" s="43" t="s">
        <v>667</v>
      </c>
      <c r="Q71" s="43" t="s">
        <v>469</v>
      </c>
      <c r="R71" s="43" t="s">
        <v>451</v>
      </c>
      <c r="S71" s="47">
        <v>46228.576238425929</v>
      </c>
    </row>
    <row r="72" spans="1:19" ht="27.6">
      <c r="A72" s="37" t="s">
        <v>736</v>
      </c>
      <c r="B72" s="37" t="s">
        <v>472</v>
      </c>
      <c r="C72" s="37" t="s">
        <v>204</v>
      </c>
      <c r="D72" s="38">
        <v>44957</v>
      </c>
      <c r="E72" s="37" t="s">
        <v>680</v>
      </c>
      <c r="F72" s="37" t="s">
        <v>614</v>
      </c>
      <c r="G72" s="37" t="s">
        <v>655</v>
      </c>
      <c r="H72" s="39">
        <v>46227.792233796295</v>
      </c>
      <c r="I72" s="40">
        <v>6.7</v>
      </c>
      <c r="J72" s="37" t="s">
        <v>49</v>
      </c>
      <c r="K72" s="43" t="s">
        <v>753</v>
      </c>
      <c r="L72" s="43" t="s">
        <v>665</v>
      </c>
      <c r="M72" s="43" t="s">
        <v>469</v>
      </c>
      <c r="N72" s="43" t="s">
        <v>681</v>
      </c>
      <c r="O72" s="43" t="s">
        <v>171</v>
      </c>
      <c r="P72" s="43" t="s">
        <v>665</v>
      </c>
      <c r="Q72" s="43" t="s">
        <v>451</v>
      </c>
      <c r="R72" s="43" t="s">
        <v>451</v>
      </c>
      <c r="S72" s="47"/>
    </row>
    <row r="73" spans="1:19" ht="27.6">
      <c r="A73" s="37" t="s">
        <v>737</v>
      </c>
      <c r="B73" s="37" t="s">
        <v>472</v>
      </c>
      <c r="C73" s="37" t="s">
        <v>204</v>
      </c>
      <c r="D73" s="38">
        <v>45291</v>
      </c>
      <c r="E73" s="37" t="s">
        <v>700</v>
      </c>
      <c r="F73" s="37" t="s">
        <v>614</v>
      </c>
      <c r="G73" s="37" t="s">
        <v>655</v>
      </c>
      <c r="H73" s="39">
        <v>46227.792245370372</v>
      </c>
      <c r="I73" s="40">
        <v>6.79</v>
      </c>
      <c r="J73" s="37" t="s">
        <v>49</v>
      </c>
      <c r="K73" s="43" t="s">
        <v>701</v>
      </c>
      <c r="L73" s="43" t="s">
        <v>665</v>
      </c>
      <c r="M73" s="43" t="s">
        <v>469</v>
      </c>
      <c r="N73" s="43" t="s">
        <v>681</v>
      </c>
      <c r="O73" s="43" t="s">
        <v>171</v>
      </c>
      <c r="P73" s="43" t="s">
        <v>665</v>
      </c>
      <c r="Q73" s="43" t="s">
        <v>451</v>
      </c>
      <c r="R73" s="43" t="s">
        <v>451</v>
      </c>
      <c r="S73" s="47"/>
    </row>
    <row r="74" spans="1:19" ht="27.6">
      <c r="A74" s="37" t="s">
        <v>738</v>
      </c>
      <c r="B74" s="37" t="s">
        <v>472</v>
      </c>
      <c r="C74" s="37" t="s">
        <v>204</v>
      </c>
      <c r="D74" s="38">
        <v>45657</v>
      </c>
      <c r="E74" s="37" t="s">
        <v>700</v>
      </c>
      <c r="F74" s="37" t="s">
        <v>614</v>
      </c>
      <c r="G74" s="37" t="s">
        <v>655</v>
      </c>
      <c r="H74" s="39">
        <v>46227.792256944442</v>
      </c>
      <c r="I74" s="40">
        <v>6.89</v>
      </c>
      <c r="J74" s="37" t="s">
        <v>49</v>
      </c>
      <c r="K74" s="43" t="s">
        <v>701</v>
      </c>
      <c r="L74" s="43" t="s">
        <v>665</v>
      </c>
      <c r="M74" s="43" t="s">
        <v>469</v>
      </c>
      <c r="N74" s="43" t="s">
        <v>681</v>
      </c>
      <c r="O74" s="43" t="s">
        <v>171</v>
      </c>
      <c r="P74" s="43" t="s">
        <v>665</v>
      </c>
      <c r="Q74" s="43" t="s">
        <v>451</v>
      </c>
      <c r="R74" s="43" t="s">
        <v>451</v>
      </c>
      <c r="S74" s="47"/>
    </row>
    <row r="75" spans="1:19" ht="27.6">
      <c r="A75" s="37" t="s">
        <v>739</v>
      </c>
      <c r="B75" s="37" t="s">
        <v>472</v>
      </c>
      <c r="C75" s="37" t="s">
        <v>204</v>
      </c>
      <c r="D75" s="38">
        <v>46022</v>
      </c>
      <c r="E75" s="37" t="s">
        <v>700</v>
      </c>
      <c r="F75" s="37" t="s">
        <v>614</v>
      </c>
      <c r="G75" s="37" t="s">
        <v>655</v>
      </c>
      <c r="H75" s="39">
        <v>46227.792268518519</v>
      </c>
      <c r="I75" s="40">
        <v>6.99</v>
      </c>
      <c r="J75" s="37" t="s">
        <v>49</v>
      </c>
      <c r="K75" s="43" t="s">
        <v>701</v>
      </c>
      <c r="L75" s="43" t="s">
        <v>665</v>
      </c>
      <c r="M75" s="43" t="s">
        <v>469</v>
      </c>
      <c r="N75" s="43" t="s">
        <v>681</v>
      </c>
      <c r="O75" s="43" t="s">
        <v>171</v>
      </c>
      <c r="P75" s="43" t="s">
        <v>665</v>
      </c>
      <c r="Q75" s="43" t="s">
        <v>451</v>
      </c>
      <c r="R75" s="43" t="s">
        <v>451</v>
      </c>
      <c r="S75" s="47"/>
    </row>
    <row r="76" spans="1:19" ht="27.6">
      <c r="A76" s="37" t="s">
        <v>740</v>
      </c>
      <c r="B76" s="37" t="s">
        <v>472</v>
      </c>
      <c r="C76" s="37" t="s">
        <v>204</v>
      </c>
      <c r="D76" s="38">
        <v>46203</v>
      </c>
      <c r="E76" s="37" t="s">
        <v>700</v>
      </c>
      <c r="F76" s="37" t="s">
        <v>614</v>
      </c>
      <c r="G76" s="37" t="s">
        <v>655</v>
      </c>
      <c r="H76" s="39">
        <v>46227.792280092595</v>
      </c>
      <c r="I76" s="40">
        <v>7.42</v>
      </c>
      <c r="J76" s="37" t="s">
        <v>49</v>
      </c>
      <c r="K76" s="43" t="s">
        <v>722</v>
      </c>
      <c r="L76" s="43" t="s">
        <v>665</v>
      </c>
      <c r="M76" s="43" t="s">
        <v>469</v>
      </c>
      <c r="N76" s="43" t="s">
        <v>681</v>
      </c>
      <c r="O76" s="43" t="s">
        <v>171</v>
      </c>
      <c r="P76" s="43" t="s">
        <v>667</v>
      </c>
      <c r="Q76" s="43" t="s">
        <v>469</v>
      </c>
      <c r="R76" s="43" t="s">
        <v>451</v>
      </c>
      <c r="S76" s="47">
        <v>46228.576249999998</v>
      </c>
    </row>
    <row r="77" spans="1:19" ht="27.6">
      <c r="A77" s="37" t="s">
        <v>741</v>
      </c>
      <c r="B77" s="37" t="s">
        <v>473</v>
      </c>
      <c r="C77" s="37" t="s">
        <v>215</v>
      </c>
      <c r="D77" s="38">
        <v>45716</v>
      </c>
      <c r="E77" s="37" t="s">
        <v>680</v>
      </c>
      <c r="F77" s="37" t="s">
        <v>614</v>
      </c>
      <c r="G77" s="37" t="s">
        <v>655</v>
      </c>
      <c r="H77" s="39">
        <v>46227.792291666665</v>
      </c>
      <c r="I77" s="40">
        <v>8.5</v>
      </c>
      <c r="J77" s="37" t="s">
        <v>49</v>
      </c>
      <c r="K77" s="43" t="s">
        <v>753</v>
      </c>
      <c r="L77" s="43" t="s">
        <v>665</v>
      </c>
      <c r="M77" s="43" t="s">
        <v>469</v>
      </c>
      <c r="N77" s="43" t="s">
        <v>681</v>
      </c>
      <c r="O77" s="43" t="s">
        <v>171</v>
      </c>
      <c r="P77" s="43" t="s">
        <v>665</v>
      </c>
      <c r="Q77" s="43" t="s">
        <v>451</v>
      </c>
      <c r="R77" s="43" t="s">
        <v>451</v>
      </c>
      <c r="S77" s="47"/>
    </row>
    <row r="78" spans="1:19" ht="27.6">
      <c r="A78" s="37" t="s">
        <v>742</v>
      </c>
      <c r="B78" s="37" t="s">
        <v>473</v>
      </c>
      <c r="C78" s="37" t="s">
        <v>215</v>
      </c>
      <c r="D78" s="38">
        <v>46022</v>
      </c>
      <c r="E78" s="37" t="s">
        <v>700</v>
      </c>
      <c r="F78" s="37" t="s">
        <v>614</v>
      </c>
      <c r="G78" s="37" t="s">
        <v>655</v>
      </c>
      <c r="H78" s="39">
        <v>46227.792303240742</v>
      </c>
      <c r="I78" s="40">
        <v>8.58</v>
      </c>
      <c r="J78" s="37" t="s">
        <v>49</v>
      </c>
      <c r="K78" s="43" t="s">
        <v>701</v>
      </c>
      <c r="L78" s="43" t="s">
        <v>665</v>
      </c>
      <c r="M78" s="43" t="s">
        <v>469</v>
      </c>
      <c r="N78" s="43" t="s">
        <v>681</v>
      </c>
      <c r="O78" s="43" t="s">
        <v>171</v>
      </c>
      <c r="P78" s="43" t="s">
        <v>665</v>
      </c>
      <c r="Q78" s="43" t="s">
        <v>451</v>
      </c>
      <c r="R78" s="43" t="s">
        <v>451</v>
      </c>
      <c r="S78" s="47"/>
    </row>
    <row r="79" spans="1:19" ht="27.6">
      <c r="A79" s="37" t="s">
        <v>743</v>
      </c>
      <c r="B79" s="37" t="s">
        <v>473</v>
      </c>
      <c r="C79" s="37" t="s">
        <v>215</v>
      </c>
      <c r="D79" s="38">
        <v>46203</v>
      </c>
      <c r="E79" s="37" t="s">
        <v>700</v>
      </c>
      <c r="F79" s="37" t="s">
        <v>614</v>
      </c>
      <c r="G79" s="37" t="s">
        <v>655</v>
      </c>
      <c r="H79" s="39">
        <v>46227.792314814818</v>
      </c>
      <c r="I79" s="40">
        <v>8.7900000000000009</v>
      </c>
      <c r="J79" s="37" t="s">
        <v>49</v>
      </c>
      <c r="K79" s="43" t="s">
        <v>722</v>
      </c>
      <c r="L79" s="43" t="s">
        <v>665</v>
      </c>
      <c r="M79" s="43" t="s">
        <v>469</v>
      </c>
      <c r="N79" s="43" t="s">
        <v>681</v>
      </c>
      <c r="O79" s="43" t="s">
        <v>171</v>
      </c>
      <c r="P79" s="43" t="s">
        <v>667</v>
      </c>
      <c r="Q79" s="43" t="s">
        <v>469</v>
      </c>
      <c r="R79" s="43" t="s">
        <v>451</v>
      </c>
      <c r="S79" s="47">
        <v>46228.576249999998</v>
      </c>
    </row>
    <row r="80" spans="1:19">
      <c r="D80" s="22"/>
      <c r="H80" s="25"/>
      <c r="I80" s="27"/>
      <c r="K80" s="35"/>
      <c r="L80" s="35"/>
      <c r="M80" s="35"/>
      <c r="N80" s="35"/>
      <c r="O80" s="35"/>
      <c r="S80" s="25"/>
    </row>
    <row r="81" spans="4:19">
      <c r="D81" s="22"/>
      <c r="H81" s="25"/>
      <c r="I81" s="27"/>
      <c r="K81" s="35"/>
      <c r="L81" s="35"/>
      <c r="M81" s="35"/>
      <c r="N81" s="35"/>
      <c r="O81" s="35"/>
      <c r="S81" s="25"/>
    </row>
    <row r="82" spans="4:19">
      <c r="D82" s="22"/>
      <c r="H82" s="25"/>
      <c r="I82" s="27"/>
      <c r="K82" s="35"/>
      <c r="L82" s="35"/>
      <c r="M82" s="35"/>
      <c r="N82" s="35"/>
      <c r="O82" s="35"/>
      <c r="S82" s="25"/>
    </row>
    <row r="83" spans="4:19">
      <c r="D83" s="22"/>
      <c r="H83" s="25"/>
      <c r="I83" s="27"/>
      <c r="K83" s="35"/>
      <c r="L83" s="35"/>
      <c r="M83" s="35"/>
      <c r="N83" s="35"/>
      <c r="O83" s="35"/>
      <c r="S83" s="25"/>
    </row>
    <row r="84" spans="4:19">
      <c r="D84" s="22"/>
      <c r="H84" s="25"/>
      <c r="I84" s="27"/>
      <c r="K84" s="35"/>
      <c r="L84" s="35"/>
      <c r="M84" s="35"/>
      <c r="N84" s="35"/>
      <c r="O84" s="35"/>
      <c r="S84" s="25"/>
    </row>
    <row r="85" spans="4:19">
      <c r="D85" s="22"/>
      <c r="H85" s="25"/>
      <c r="I85" s="27"/>
      <c r="K85" s="35"/>
      <c r="L85" s="35"/>
      <c r="M85" s="35"/>
      <c r="N85" s="35"/>
      <c r="O85" s="35"/>
      <c r="S85" s="25"/>
    </row>
    <row r="86" spans="4:19">
      <c r="D86" s="22"/>
      <c r="H86" s="25"/>
      <c r="I86" s="27"/>
      <c r="K86" s="35"/>
      <c r="L86" s="35"/>
      <c r="M86" s="35"/>
      <c r="N86" s="35"/>
      <c r="O86" s="35"/>
      <c r="S86" s="25"/>
    </row>
    <row r="87" spans="4:19">
      <c r="D87" s="22"/>
      <c r="H87" s="25"/>
      <c r="I87" s="27"/>
      <c r="K87" s="35"/>
      <c r="L87" s="35"/>
      <c r="M87" s="35"/>
      <c r="N87" s="35"/>
      <c r="O87" s="35"/>
      <c r="S87" s="25"/>
    </row>
    <row r="88" spans="4:19">
      <c r="D88" s="22"/>
      <c r="H88" s="25"/>
      <c r="I88" s="27"/>
      <c r="K88" s="35"/>
      <c r="L88" s="35"/>
      <c r="M88" s="35"/>
      <c r="N88" s="35"/>
      <c r="O88" s="35"/>
      <c r="S88" s="25"/>
    </row>
    <row r="89" spans="4:19">
      <c r="D89" s="22"/>
      <c r="H89" s="25"/>
      <c r="I89" s="27"/>
      <c r="K89" s="35"/>
      <c r="L89" s="35"/>
      <c r="M89" s="35"/>
      <c r="N89" s="35"/>
      <c r="O89" s="35"/>
      <c r="S89" s="25"/>
    </row>
    <row r="90" spans="4:19">
      <c r="D90" s="22"/>
      <c r="H90" s="25"/>
      <c r="I90" s="27"/>
      <c r="K90" s="35"/>
      <c r="L90" s="35"/>
      <c r="M90" s="35"/>
      <c r="N90" s="35"/>
      <c r="O90" s="35"/>
      <c r="S90" s="25"/>
    </row>
    <row r="91" spans="4:19">
      <c r="D91" s="22"/>
      <c r="H91" s="25"/>
      <c r="I91" s="27"/>
      <c r="K91" s="35"/>
      <c r="L91" s="35"/>
      <c r="M91" s="35"/>
      <c r="N91" s="35"/>
      <c r="O91" s="35"/>
      <c r="S91" s="25"/>
    </row>
    <row r="92" spans="4:19">
      <c r="D92" s="22"/>
      <c r="H92" s="25"/>
      <c r="I92" s="27"/>
      <c r="K92" s="35"/>
      <c r="L92" s="35"/>
      <c r="M92" s="35"/>
      <c r="N92" s="35"/>
      <c r="O92" s="35"/>
      <c r="S92" s="25"/>
    </row>
    <row r="93" spans="4:19">
      <c r="D93" s="22"/>
      <c r="H93" s="25"/>
      <c r="I93" s="27"/>
      <c r="K93" s="35"/>
      <c r="L93" s="35"/>
      <c r="M93" s="35"/>
      <c r="N93" s="35"/>
      <c r="O93" s="35"/>
      <c r="S93" s="25"/>
    </row>
    <row r="94" spans="4:19">
      <c r="D94" s="22"/>
      <c r="H94" s="25"/>
      <c r="I94" s="27"/>
      <c r="K94" s="35"/>
      <c r="L94" s="35"/>
      <c r="M94" s="35"/>
      <c r="N94" s="35"/>
      <c r="O94" s="35"/>
      <c r="S94" s="25"/>
    </row>
    <row r="95" spans="4:19">
      <c r="D95" s="22"/>
      <c r="H95" s="25"/>
      <c r="I95" s="27"/>
      <c r="K95" s="35"/>
      <c r="L95" s="35"/>
      <c r="M95" s="35"/>
      <c r="N95" s="35"/>
      <c r="O95" s="35"/>
      <c r="S95" s="25"/>
    </row>
    <row r="96" spans="4:19">
      <c r="D96" s="22"/>
      <c r="H96" s="25"/>
      <c r="I96" s="27"/>
      <c r="K96" s="35"/>
      <c r="L96" s="35"/>
      <c r="M96" s="35"/>
      <c r="N96" s="35"/>
      <c r="O96" s="35"/>
      <c r="S96" s="25"/>
    </row>
    <row r="97" spans="4:19">
      <c r="D97" s="22"/>
      <c r="H97" s="25"/>
      <c r="I97" s="27"/>
      <c r="K97" s="35"/>
      <c r="L97" s="35"/>
      <c r="M97" s="35"/>
      <c r="N97" s="35"/>
      <c r="O97" s="35"/>
      <c r="S97" s="25"/>
    </row>
    <row r="98" spans="4:19">
      <c r="D98" s="22"/>
      <c r="H98" s="25"/>
      <c r="I98" s="27"/>
      <c r="K98" s="35"/>
      <c r="L98" s="35"/>
      <c r="M98" s="35"/>
      <c r="N98" s="35"/>
      <c r="O98" s="35"/>
      <c r="S98" s="25"/>
    </row>
    <row r="99" spans="4:19">
      <c r="D99" s="22"/>
      <c r="H99" s="25"/>
      <c r="I99" s="27"/>
      <c r="K99" s="35"/>
      <c r="L99" s="35"/>
      <c r="M99" s="35"/>
      <c r="N99" s="35"/>
      <c r="O99" s="35"/>
      <c r="S99" s="25"/>
    </row>
    <row r="100" spans="4:19">
      <c r="D100" s="22"/>
      <c r="H100" s="25"/>
      <c r="I100" s="27"/>
      <c r="K100" s="35"/>
      <c r="L100" s="35"/>
      <c r="M100" s="35"/>
      <c r="N100" s="35"/>
      <c r="O100" s="35"/>
      <c r="S100" s="25"/>
    </row>
    <row r="101" spans="4:19">
      <c r="D101" s="22"/>
      <c r="H101" s="25"/>
      <c r="I101" s="27"/>
      <c r="K101" s="35"/>
      <c r="L101" s="35"/>
      <c r="M101" s="35"/>
      <c r="N101" s="35"/>
      <c r="O101" s="35"/>
      <c r="S101" s="25"/>
    </row>
    <row r="102" spans="4:19">
      <c r="D102" s="22"/>
      <c r="H102" s="25"/>
      <c r="I102" s="27"/>
      <c r="K102" s="35"/>
      <c r="L102" s="35"/>
      <c r="M102" s="35"/>
      <c r="N102" s="35"/>
      <c r="O102" s="35"/>
      <c r="S102" s="25"/>
    </row>
    <row r="103" spans="4:19">
      <c r="D103" s="22"/>
      <c r="H103" s="25"/>
      <c r="I103" s="27"/>
      <c r="K103" s="35"/>
      <c r="L103" s="35"/>
      <c r="M103" s="35"/>
      <c r="N103" s="35"/>
      <c r="O103" s="35"/>
      <c r="S103" s="25"/>
    </row>
    <row r="104" spans="4:19">
      <c r="D104" s="22"/>
      <c r="H104" s="25"/>
      <c r="I104" s="27"/>
      <c r="K104" s="35"/>
      <c r="L104" s="35"/>
      <c r="M104" s="35"/>
      <c r="N104" s="35"/>
      <c r="O104" s="35"/>
      <c r="S104" s="25"/>
    </row>
    <row r="105" spans="4:19">
      <c r="D105" s="22"/>
      <c r="H105" s="25"/>
      <c r="I105" s="27"/>
      <c r="K105" s="35"/>
      <c r="L105" s="35"/>
      <c r="M105" s="35"/>
      <c r="N105" s="35"/>
      <c r="O105" s="35"/>
      <c r="S105" s="25"/>
    </row>
    <row r="106" spans="4:19">
      <c r="D106" s="22"/>
      <c r="H106" s="25"/>
      <c r="I106" s="27"/>
      <c r="K106" s="35"/>
      <c r="L106" s="35"/>
      <c r="M106" s="35"/>
      <c r="N106" s="35"/>
      <c r="O106" s="35"/>
      <c r="S106" s="25"/>
    </row>
    <row r="107" spans="4:19">
      <c r="D107" s="22"/>
      <c r="H107" s="25"/>
      <c r="I107" s="27"/>
      <c r="K107" s="35"/>
      <c r="L107" s="35"/>
      <c r="M107" s="35"/>
      <c r="N107" s="35"/>
      <c r="O107" s="35"/>
      <c r="S107" s="25"/>
    </row>
    <row r="108" spans="4:19">
      <c r="D108" s="22"/>
      <c r="H108" s="25"/>
      <c r="I108" s="27"/>
      <c r="K108" s="35"/>
      <c r="L108" s="35"/>
      <c r="M108" s="35"/>
      <c r="N108" s="35"/>
      <c r="O108" s="35"/>
      <c r="S108" s="25"/>
    </row>
    <row r="109" spans="4:19">
      <c r="D109" s="22"/>
      <c r="H109" s="25"/>
      <c r="I109" s="27"/>
      <c r="K109" s="35"/>
      <c r="L109" s="35"/>
      <c r="M109" s="35"/>
      <c r="N109" s="35"/>
      <c r="O109" s="35"/>
      <c r="S109" s="25"/>
    </row>
    <row r="110" spans="4:19">
      <c r="D110" s="22"/>
      <c r="H110" s="25"/>
      <c r="I110" s="27"/>
      <c r="K110" s="35"/>
      <c r="L110" s="35"/>
      <c r="M110" s="35"/>
      <c r="N110" s="35"/>
      <c r="O110" s="35"/>
      <c r="S110" s="25"/>
    </row>
    <row r="111" spans="4:19">
      <c r="D111" s="22"/>
      <c r="H111" s="25"/>
      <c r="I111" s="27"/>
      <c r="K111" s="35"/>
      <c r="L111" s="35"/>
      <c r="M111" s="35"/>
      <c r="N111" s="35"/>
      <c r="O111" s="35"/>
      <c r="S111" s="25"/>
    </row>
    <row r="112" spans="4:19">
      <c r="D112" s="22"/>
      <c r="H112" s="25"/>
      <c r="I112" s="27"/>
      <c r="K112" s="35"/>
      <c r="L112" s="35"/>
      <c r="M112" s="35"/>
      <c r="N112" s="35"/>
      <c r="O112" s="35"/>
      <c r="S112" s="25"/>
    </row>
    <row r="113" spans="4:19">
      <c r="D113" s="22"/>
      <c r="H113" s="25"/>
      <c r="I113" s="27"/>
      <c r="K113" s="35"/>
      <c r="L113" s="35"/>
      <c r="M113" s="35"/>
      <c r="N113" s="35"/>
      <c r="O113" s="35"/>
      <c r="S113" s="25"/>
    </row>
    <row r="114" spans="4:19">
      <c r="D114" s="22"/>
      <c r="H114" s="25"/>
      <c r="I114" s="27"/>
      <c r="K114" s="35"/>
      <c r="L114" s="35"/>
      <c r="M114" s="35"/>
      <c r="N114" s="35"/>
      <c r="O114" s="35"/>
      <c r="S114" s="25"/>
    </row>
    <row r="115" spans="4:19">
      <c r="D115" s="22"/>
      <c r="H115" s="25"/>
      <c r="I115" s="27"/>
      <c r="K115" s="35"/>
      <c r="L115" s="35"/>
      <c r="M115" s="35"/>
      <c r="N115" s="35"/>
      <c r="O115" s="35"/>
      <c r="S115" s="25"/>
    </row>
    <row r="116" spans="4:19">
      <c r="D116" s="22"/>
      <c r="H116" s="25"/>
      <c r="I116" s="27"/>
      <c r="K116" s="35"/>
      <c r="L116" s="35"/>
      <c r="M116" s="35"/>
      <c r="N116" s="35"/>
      <c r="O116" s="35"/>
      <c r="S116" s="25"/>
    </row>
    <row r="117" spans="4:19">
      <c r="D117" s="22"/>
      <c r="H117" s="25"/>
      <c r="I117" s="27"/>
      <c r="K117" s="35"/>
      <c r="L117" s="35"/>
      <c r="M117" s="35"/>
      <c r="N117" s="35"/>
      <c r="O117" s="35"/>
      <c r="S117" s="25"/>
    </row>
    <row r="118" spans="4:19">
      <c r="D118" s="22"/>
      <c r="H118" s="25"/>
      <c r="I118" s="27"/>
      <c r="K118" s="35"/>
      <c r="L118" s="35"/>
      <c r="M118" s="35"/>
      <c r="N118" s="35"/>
      <c r="O118" s="35"/>
      <c r="S118" s="25"/>
    </row>
    <row r="119" spans="4:19">
      <c r="D119" s="22"/>
      <c r="H119" s="25"/>
      <c r="I119" s="27"/>
      <c r="K119" s="35"/>
      <c r="L119" s="35"/>
      <c r="M119" s="35"/>
      <c r="N119" s="35"/>
      <c r="O119" s="35"/>
      <c r="S119" s="25"/>
    </row>
    <row r="120" spans="4:19">
      <c r="D120" s="22"/>
      <c r="H120" s="25"/>
      <c r="I120" s="27"/>
      <c r="K120" s="35"/>
      <c r="L120" s="35"/>
      <c r="M120" s="35"/>
      <c r="N120" s="35"/>
      <c r="O120" s="35"/>
      <c r="S120" s="25"/>
    </row>
    <row r="121" spans="4:19">
      <c r="D121" s="22"/>
      <c r="H121" s="25"/>
      <c r="I121" s="27"/>
      <c r="K121" s="35"/>
      <c r="L121" s="35"/>
      <c r="M121" s="35"/>
      <c r="N121" s="35"/>
      <c r="O121" s="35"/>
      <c r="S121" s="25"/>
    </row>
    <row r="122" spans="4:19">
      <c r="D122" s="22"/>
      <c r="H122" s="25"/>
      <c r="I122" s="27"/>
      <c r="K122" s="35"/>
      <c r="L122" s="35"/>
      <c r="M122" s="35"/>
      <c r="N122" s="35"/>
      <c r="O122" s="35"/>
      <c r="S122" s="25"/>
    </row>
    <row r="123" spans="4:19">
      <c r="D123" s="22"/>
      <c r="H123" s="25"/>
      <c r="I123" s="27"/>
      <c r="K123" s="35"/>
      <c r="L123" s="35"/>
      <c r="M123" s="35"/>
      <c r="N123" s="35"/>
      <c r="O123" s="35"/>
      <c r="S123" s="25"/>
    </row>
    <row r="124" spans="4:19">
      <c r="D124" s="22"/>
      <c r="H124" s="25"/>
      <c r="I124" s="27"/>
      <c r="K124" s="35"/>
      <c r="L124" s="35"/>
      <c r="M124" s="35"/>
      <c r="N124" s="35"/>
      <c r="O124" s="35"/>
      <c r="S124" s="25"/>
    </row>
    <row r="125" spans="4:19">
      <c r="D125" s="22"/>
      <c r="H125" s="25"/>
      <c r="I125" s="27"/>
      <c r="K125" s="35"/>
      <c r="L125" s="35"/>
      <c r="M125" s="35"/>
      <c r="N125" s="35"/>
      <c r="O125" s="35"/>
      <c r="S125" s="25"/>
    </row>
    <row r="126" spans="4:19">
      <c r="D126" s="22"/>
      <c r="H126" s="25"/>
      <c r="I126" s="27"/>
      <c r="K126" s="35"/>
      <c r="L126" s="35"/>
      <c r="M126" s="35"/>
      <c r="N126" s="35"/>
      <c r="O126" s="35"/>
      <c r="S126" s="25"/>
    </row>
    <row r="127" spans="4:19">
      <c r="D127" s="22"/>
      <c r="H127" s="25"/>
      <c r="I127" s="27"/>
      <c r="K127" s="35"/>
      <c r="L127" s="35"/>
      <c r="M127" s="35"/>
      <c r="N127" s="35"/>
      <c r="O127" s="35"/>
      <c r="S127" s="25"/>
    </row>
    <row r="128" spans="4:19">
      <c r="D128" s="22"/>
      <c r="H128" s="25"/>
      <c r="I128" s="27"/>
      <c r="K128" s="35"/>
      <c r="L128" s="35"/>
      <c r="M128" s="35"/>
      <c r="N128" s="35"/>
      <c r="O128" s="35"/>
      <c r="S128" s="25"/>
    </row>
    <row r="129" spans="4:19">
      <c r="D129" s="22"/>
      <c r="H129" s="25"/>
      <c r="I129" s="27"/>
      <c r="K129" s="35"/>
      <c r="L129" s="35"/>
      <c r="M129" s="35"/>
      <c r="N129" s="35"/>
      <c r="O129" s="35"/>
      <c r="S129" s="25"/>
    </row>
    <row r="130" spans="4:19">
      <c r="D130" s="22"/>
      <c r="H130" s="25"/>
      <c r="I130" s="27"/>
      <c r="K130" s="35"/>
      <c r="L130" s="35"/>
      <c r="M130" s="35"/>
      <c r="N130" s="35"/>
      <c r="O130" s="35"/>
      <c r="S130" s="25"/>
    </row>
    <row r="131" spans="4:19">
      <c r="D131" s="22"/>
      <c r="H131" s="25"/>
      <c r="I131" s="27"/>
      <c r="K131" s="35"/>
      <c r="L131" s="35"/>
      <c r="M131" s="35"/>
      <c r="N131" s="35"/>
      <c r="O131" s="35"/>
      <c r="S131" s="25"/>
    </row>
    <row r="132" spans="4:19">
      <c r="D132" s="22"/>
      <c r="H132" s="25"/>
      <c r="I132" s="27"/>
      <c r="K132" s="35"/>
      <c r="L132" s="35"/>
      <c r="M132" s="35"/>
      <c r="N132" s="35"/>
      <c r="O132" s="35"/>
      <c r="S132" s="25"/>
    </row>
    <row r="133" spans="4:19">
      <c r="D133" s="22"/>
      <c r="H133" s="25"/>
      <c r="I133" s="27"/>
      <c r="K133" s="35"/>
      <c r="L133" s="35"/>
      <c r="M133" s="35"/>
      <c r="N133" s="35"/>
      <c r="O133" s="35"/>
      <c r="S133" s="25"/>
    </row>
    <row r="134" spans="4:19">
      <c r="D134" s="22"/>
      <c r="H134" s="25"/>
      <c r="I134" s="27"/>
      <c r="K134" s="35"/>
      <c r="L134" s="35"/>
      <c r="M134" s="35"/>
      <c r="N134" s="35"/>
      <c r="O134" s="35"/>
      <c r="S134" s="25"/>
    </row>
    <row r="135" spans="4:19">
      <c r="D135" s="22"/>
      <c r="H135" s="25"/>
      <c r="I135" s="27"/>
      <c r="K135" s="35"/>
      <c r="L135" s="35"/>
      <c r="M135" s="35"/>
      <c r="N135" s="35"/>
      <c r="O135" s="35"/>
      <c r="S135" s="25"/>
    </row>
    <row r="136" spans="4:19">
      <c r="D136" s="22"/>
      <c r="H136" s="25"/>
      <c r="I136" s="27"/>
      <c r="K136" s="35"/>
      <c r="L136" s="35"/>
      <c r="M136" s="35"/>
      <c r="N136" s="35"/>
      <c r="O136" s="35"/>
      <c r="S136" s="25"/>
    </row>
    <row r="137" spans="4:19">
      <c r="D137" s="22"/>
      <c r="H137" s="25"/>
      <c r="I137" s="27"/>
      <c r="K137" s="35"/>
      <c r="L137" s="35"/>
      <c r="M137" s="35"/>
      <c r="N137" s="35"/>
      <c r="O137" s="35"/>
      <c r="S137" s="25"/>
    </row>
    <row r="138" spans="4:19">
      <c r="D138" s="22"/>
      <c r="H138" s="25"/>
      <c r="I138" s="27"/>
      <c r="K138" s="35"/>
      <c r="L138" s="35"/>
      <c r="M138" s="35"/>
      <c r="N138" s="35"/>
      <c r="O138" s="35"/>
      <c r="S138" s="25"/>
    </row>
    <row r="139" spans="4:19">
      <c r="D139" s="22"/>
      <c r="H139" s="25"/>
      <c r="I139" s="27"/>
      <c r="K139" s="35"/>
      <c r="L139" s="35"/>
      <c r="M139" s="35"/>
      <c r="N139" s="35"/>
      <c r="O139" s="35"/>
      <c r="S139" s="25"/>
    </row>
    <row r="140" spans="4:19">
      <c r="D140" s="22"/>
      <c r="H140" s="25"/>
      <c r="I140" s="27"/>
      <c r="K140" s="35"/>
      <c r="L140" s="35"/>
      <c r="M140" s="35"/>
      <c r="N140" s="35"/>
      <c r="O140" s="35"/>
      <c r="S140" s="25"/>
    </row>
    <row r="141" spans="4:19">
      <c r="D141" s="22"/>
      <c r="H141" s="25"/>
      <c r="I141" s="27"/>
      <c r="K141" s="35"/>
      <c r="L141" s="35"/>
      <c r="M141" s="35"/>
      <c r="N141" s="35"/>
      <c r="O141" s="35"/>
      <c r="S141" s="25"/>
    </row>
    <row r="142" spans="4:19">
      <c r="D142" s="22"/>
      <c r="H142" s="25"/>
      <c r="I142" s="27"/>
      <c r="K142" s="35"/>
      <c r="L142" s="35"/>
      <c r="M142" s="35"/>
      <c r="N142" s="35"/>
      <c r="O142" s="35"/>
      <c r="S142" s="25"/>
    </row>
    <row r="143" spans="4:19">
      <c r="D143" s="22"/>
      <c r="H143" s="25"/>
      <c r="I143" s="27"/>
      <c r="K143" s="35"/>
      <c r="L143" s="35"/>
      <c r="M143" s="35"/>
      <c r="N143" s="35"/>
      <c r="O143" s="35"/>
      <c r="S143" s="25"/>
    </row>
    <row r="144" spans="4:19">
      <c r="D144" s="22"/>
      <c r="H144" s="25"/>
      <c r="I144" s="27"/>
      <c r="K144" s="35"/>
      <c r="L144" s="35"/>
      <c r="M144" s="35"/>
      <c r="N144" s="35"/>
      <c r="O144" s="35"/>
      <c r="S144" s="25"/>
    </row>
    <row r="145" spans="4:19">
      <c r="D145" s="22"/>
      <c r="H145" s="25"/>
      <c r="I145" s="27"/>
      <c r="K145" s="35"/>
      <c r="L145" s="35"/>
      <c r="M145" s="35"/>
      <c r="N145" s="35"/>
      <c r="O145" s="35"/>
      <c r="S145" s="25"/>
    </row>
    <row r="146" spans="4:19">
      <c r="D146" s="22"/>
      <c r="H146" s="25"/>
      <c r="I146" s="27"/>
      <c r="K146" s="35"/>
      <c r="L146" s="35"/>
      <c r="M146" s="35"/>
      <c r="N146" s="35"/>
      <c r="O146" s="35"/>
      <c r="S146" s="25"/>
    </row>
    <row r="147" spans="4:19">
      <c r="D147" s="22"/>
      <c r="H147" s="25"/>
      <c r="I147" s="27"/>
      <c r="K147" s="35"/>
      <c r="L147" s="35"/>
      <c r="M147" s="35"/>
      <c r="N147" s="35"/>
      <c r="O147" s="35"/>
      <c r="S147" s="25"/>
    </row>
    <row r="148" spans="4:19">
      <c r="D148" s="22"/>
      <c r="H148" s="25"/>
      <c r="I148" s="27"/>
      <c r="K148" s="35"/>
      <c r="L148" s="35"/>
      <c r="M148" s="35"/>
      <c r="N148" s="35"/>
      <c r="O148" s="35"/>
      <c r="S148" s="25"/>
    </row>
    <row r="149" spans="4:19">
      <c r="D149" s="22"/>
      <c r="H149" s="25"/>
      <c r="I149" s="27"/>
      <c r="K149" s="35"/>
      <c r="L149" s="35"/>
      <c r="M149" s="35"/>
      <c r="N149" s="35"/>
      <c r="O149" s="35"/>
      <c r="S149" s="25"/>
    </row>
    <row r="150" spans="4:19">
      <c r="D150" s="22"/>
      <c r="H150" s="25"/>
      <c r="I150" s="27"/>
      <c r="K150" s="35"/>
      <c r="L150" s="35"/>
      <c r="M150" s="35"/>
      <c r="N150" s="35"/>
      <c r="O150" s="35"/>
      <c r="S150" s="25"/>
    </row>
    <row r="151" spans="4:19">
      <c r="D151" s="22"/>
      <c r="H151" s="25"/>
      <c r="I151" s="27"/>
      <c r="K151" s="35"/>
      <c r="L151" s="35"/>
      <c r="M151" s="35"/>
      <c r="N151" s="35"/>
      <c r="O151" s="35"/>
      <c r="S151" s="25"/>
    </row>
    <row r="152" spans="4:19">
      <c r="D152" s="22"/>
      <c r="H152" s="25"/>
      <c r="I152" s="27"/>
      <c r="K152" s="35"/>
      <c r="L152" s="35"/>
      <c r="M152" s="35"/>
      <c r="N152" s="35"/>
      <c r="O152" s="35"/>
      <c r="S152" s="25"/>
    </row>
    <row r="153" spans="4:19">
      <c r="D153" s="22"/>
      <c r="H153" s="25"/>
      <c r="I153" s="27"/>
      <c r="K153" s="35"/>
      <c r="L153" s="35"/>
      <c r="M153" s="35"/>
      <c r="N153" s="35"/>
      <c r="O153" s="35"/>
      <c r="S153" s="25"/>
    </row>
    <row r="154" spans="4:19">
      <c r="D154" s="22"/>
      <c r="H154" s="25"/>
      <c r="I154" s="27"/>
      <c r="K154" s="35"/>
      <c r="L154" s="35"/>
      <c r="M154" s="35"/>
      <c r="N154" s="35"/>
      <c r="O154" s="35"/>
      <c r="S154" s="25"/>
    </row>
    <row r="155" spans="4:19">
      <c r="D155" s="22"/>
      <c r="H155" s="25"/>
      <c r="I155" s="27"/>
      <c r="K155" s="35"/>
      <c r="L155" s="35"/>
      <c r="M155" s="35"/>
      <c r="N155" s="35"/>
      <c r="O155" s="35"/>
      <c r="S155" s="25"/>
    </row>
    <row r="156" spans="4:19">
      <c r="D156" s="22"/>
      <c r="H156" s="25"/>
      <c r="I156" s="27"/>
      <c r="K156" s="35"/>
      <c r="L156" s="35"/>
      <c r="M156" s="35"/>
      <c r="N156" s="35"/>
      <c r="O156" s="35"/>
      <c r="S156" s="25"/>
    </row>
    <row r="157" spans="4:19">
      <c r="D157" s="22"/>
      <c r="H157" s="25"/>
      <c r="I157" s="27"/>
      <c r="K157" s="35"/>
      <c r="L157" s="35"/>
      <c r="M157" s="35"/>
      <c r="N157" s="35"/>
      <c r="O157" s="35"/>
      <c r="S157" s="25"/>
    </row>
    <row r="158" spans="4:19">
      <c r="D158" s="22"/>
      <c r="H158" s="25"/>
      <c r="I158" s="27"/>
      <c r="K158" s="35"/>
      <c r="L158" s="35"/>
      <c r="M158" s="35"/>
      <c r="N158" s="35"/>
      <c r="O158" s="35"/>
      <c r="S158" s="25"/>
    </row>
    <row r="159" spans="4:19">
      <c r="D159" s="22"/>
      <c r="H159" s="25"/>
      <c r="I159" s="27"/>
      <c r="K159" s="35"/>
      <c r="L159" s="35"/>
      <c r="M159" s="35"/>
      <c r="N159" s="35"/>
      <c r="O159" s="35"/>
      <c r="S159" s="25"/>
    </row>
    <row r="160" spans="4:19">
      <c r="D160" s="22"/>
      <c r="H160" s="25"/>
      <c r="I160" s="27"/>
      <c r="K160" s="35"/>
      <c r="L160" s="35"/>
      <c r="M160" s="35"/>
      <c r="N160" s="35"/>
      <c r="O160" s="35"/>
      <c r="S160" s="25"/>
    </row>
    <row r="161" spans="4:19">
      <c r="D161" s="22"/>
      <c r="H161" s="25"/>
      <c r="I161" s="27"/>
      <c r="K161" s="35"/>
      <c r="L161" s="35"/>
      <c r="M161" s="35"/>
      <c r="N161" s="35"/>
      <c r="O161" s="35"/>
      <c r="S161" s="25"/>
    </row>
    <row r="162" spans="4:19">
      <c r="D162" s="22"/>
      <c r="H162" s="25"/>
      <c r="I162" s="27"/>
      <c r="K162" s="35"/>
      <c r="L162" s="35"/>
      <c r="M162" s="35"/>
      <c r="N162" s="35"/>
      <c r="O162" s="35"/>
      <c r="S162" s="25"/>
    </row>
    <row r="163" spans="4:19">
      <c r="D163" s="22"/>
      <c r="H163" s="25"/>
      <c r="I163" s="27"/>
      <c r="K163" s="35"/>
      <c r="L163" s="35"/>
      <c r="M163" s="35"/>
      <c r="N163" s="35"/>
      <c r="O163" s="35"/>
      <c r="S163" s="25"/>
    </row>
    <row r="164" spans="4:19">
      <c r="D164" s="22"/>
      <c r="H164" s="25"/>
      <c r="I164" s="27"/>
      <c r="K164" s="35"/>
      <c r="L164" s="35"/>
      <c r="M164" s="35"/>
      <c r="N164" s="35"/>
      <c r="O164" s="35"/>
      <c r="S164" s="25"/>
    </row>
    <row r="165" spans="4:19">
      <c r="D165" s="22"/>
      <c r="H165" s="25"/>
      <c r="I165" s="27"/>
      <c r="K165" s="35"/>
      <c r="L165" s="35"/>
      <c r="M165" s="35"/>
      <c r="N165" s="35"/>
      <c r="O165" s="35"/>
      <c r="S165" s="25"/>
    </row>
    <row r="166" spans="4:19">
      <c r="D166" s="22"/>
      <c r="H166" s="25"/>
      <c r="I166" s="27"/>
      <c r="K166" s="35"/>
      <c r="L166" s="35"/>
      <c r="M166" s="35"/>
      <c r="N166" s="35"/>
      <c r="O166" s="35"/>
      <c r="S166" s="25"/>
    </row>
    <row r="167" spans="4:19">
      <c r="D167" s="22"/>
      <c r="H167" s="25"/>
      <c r="I167" s="27"/>
      <c r="K167" s="35"/>
      <c r="L167" s="35"/>
      <c r="M167" s="35"/>
      <c r="N167" s="35"/>
      <c r="O167" s="35"/>
      <c r="S167" s="25"/>
    </row>
    <row r="168" spans="4:19">
      <c r="D168" s="22"/>
      <c r="H168" s="25"/>
      <c r="I168" s="27"/>
      <c r="K168" s="35"/>
      <c r="L168" s="35"/>
      <c r="M168" s="35"/>
      <c r="N168" s="35"/>
      <c r="O168" s="35"/>
      <c r="S168" s="25"/>
    </row>
    <row r="169" spans="4:19">
      <c r="D169" s="22"/>
      <c r="H169" s="25"/>
      <c r="I169" s="27"/>
      <c r="K169" s="35"/>
      <c r="L169" s="35"/>
      <c r="M169" s="35"/>
      <c r="N169" s="35"/>
      <c r="O169" s="35"/>
      <c r="S169" s="25"/>
    </row>
    <row r="170" spans="4:19">
      <c r="D170" s="22"/>
      <c r="H170" s="25"/>
      <c r="I170" s="27"/>
      <c r="K170" s="35"/>
      <c r="L170" s="35"/>
      <c r="M170" s="35"/>
      <c r="N170" s="35"/>
      <c r="O170" s="35"/>
      <c r="S170" s="25"/>
    </row>
    <row r="171" spans="4:19">
      <c r="D171" s="22"/>
      <c r="H171" s="25"/>
      <c r="I171" s="27"/>
      <c r="K171" s="35"/>
      <c r="L171" s="35"/>
      <c r="M171" s="35"/>
      <c r="N171" s="35"/>
      <c r="O171" s="35"/>
      <c r="S171" s="25"/>
    </row>
    <row r="172" spans="4:19">
      <c r="D172" s="22"/>
      <c r="H172" s="25"/>
      <c r="I172" s="27"/>
      <c r="K172" s="35"/>
      <c r="L172" s="35"/>
      <c r="M172" s="35"/>
      <c r="N172" s="35"/>
      <c r="O172" s="35"/>
      <c r="S172" s="25"/>
    </row>
    <row r="173" spans="4:19">
      <c r="D173" s="22"/>
      <c r="H173" s="25"/>
      <c r="I173" s="27"/>
      <c r="K173" s="35"/>
      <c r="L173" s="35"/>
      <c r="M173" s="35"/>
      <c r="N173" s="35"/>
      <c r="O173" s="35"/>
      <c r="S173" s="25"/>
    </row>
    <row r="174" spans="4:19">
      <c r="D174" s="22"/>
      <c r="H174" s="25"/>
      <c r="I174" s="27"/>
      <c r="K174" s="35"/>
      <c r="L174" s="35"/>
      <c r="M174" s="35"/>
      <c r="N174" s="35"/>
      <c r="O174" s="35"/>
      <c r="S174" s="25"/>
    </row>
    <row r="175" spans="4:19">
      <c r="D175" s="22"/>
      <c r="H175" s="25"/>
      <c r="I175" s="27"/>
      <c r="K175" s="35"/>
      <c r="L175" s="35"/>
      <c r="M175" s="35"/>
      <c r="N175" s="35"/>
      <c r="O175" s="35"/>
      <c r="S175" s="25"/>
    </row>
    <row r="176" spans="4:19">
      <c r="D176" s="22"/>
      <c r="H176" s="25"/>
      <c r="I176" s="27"/>
      <c r="K176" s="35"/>
      <c r="L176" s="35"/>
      <c r="M176" s="35"/>
      <c r="N176" s="35"/>
      <c r="O176" s="35"/>
      <c r="S176" s="25"/>
    </row>
    <row r="177" spans="4:19">
      <c r="D177" s="22"/>
      <c r="H177" s="25"/>
      <c r="I177" s="27"/>
      <c r="K177" s="35"/>
      <c r="L177" s="35"/>
      <c r="M177" s="35"/>
      <c r="N177" s="35"/>
      <c r="O177" s="35"/>
      <c r="S177" s="25"/>
    </row>
    <row r="178" spans="4:19">
      <c r="D178" s="22"/>
      <c r="H178" s="25"/>
      <c r="I178" s="27"/>
      <c r="K178" s="35"/>
      <c r="L178" s="35"/>
      <c r="M178" s="35"/>
      <c r="N178" s="35"/>
      <c r="O178" s="35"/>
      <c r="S178" s="25"/>
    </row>
    <row r="179" spans="4:19">
      <c r="D179" s="22"/>
      <c r="H179" s="25"/>
      <c r="I179" s="27"/>
      <c r="K179" s="35"/>
      <c r="L179" s="35"/>
      <c r="M179" s="35"/>
      <c r="N179" s="35"/>
      <c r="O179" s="35"/>
      <c r="S179" s="25"/>
    </row>
    <row r="180" spans="4:19">
      <c r="D180" s="22"/>
      <c r="H180" s="25"/>
      <c r="I180" s="27"/>
      <c r="K180" s="35"/>
      <c r="L180" s="35"/>
      <c r="M180" s="35"/>
      <c r="N180" s="35"/>
      <c r="O180" s="35"/>
      <c r="S180" s="25"/>
    </row>
    <row r="181" spans="4:19">
      <c r="D181" s="22"/>
      <c r="H181" s="25"/>
      <c r="I181" s="27"/>
      <c r="K181" s="35"/>
      <c r="L181" s="35"/>
      <c r="M181" s="35"/>
      <c r="N181" s="35"/>
      <c r="O181" s="35"/>
      <c r="S181" s="25"/>
    </row>
    <row r="182" spans="4:19">
      <c r="D182" s="22"/>
      <c r="H182" s="25"/>
      <c r="I182" s="27"/>
      <c r="K182" s="35"/>
      <c r="L182" s="35"/>
      <c r="M182" s="35"/>
      <c r="N182" s="35"/>
      <c r="O182" s="35"/>
      <c r="S182" s="25"/>
    </row>
    <row r="183" spans="4:19">
      <c r="D183" s="22"/>
      <c r="H183" s="25"/>
      <c r="I183" s="27"/>
      <c r="K183" s="35"/>
      <c r="L183" s="35"/>
      <c r="M183" s="35"/>
      <c r="N183" s="35"/>
      <c r="O183" s="35"/>
      <c r="S183" s="25"/>
    </row>
    <row r="184" spans="4:19">
      <c r="D184" s="22"/>
      <c r="H184" s="25"/>
      <c r="I184" s="27"/>
      <c r="K184" s="35"/>
      <c r="L184" s="35"/>
      <c r="M184" s="35"/>
      <c r="N184" s="35"/>
      <c r="O184" s="35"/>
      <c r="S184" s="25"/>
    </row>
    <row r="185" spans="4:19">
      <c r="D185" s="22"/>
      <c r="H185" s="25"/>
      <c r="I185" s="27"/>
      <c r="K185" s="35"/>
      <c r="L185" s="35"/>
      <c r="M185" s="35"/>
      <c r="N185" s="35"/>
      <c r="O185" s="35"/>
      <c r="S185" s="25"/>
    </row>
    <row r="186" spans="4:19">
      <c r="D186" s="22"/>
      <c r="H186" s="25"/>
      <c r="I186" s="27"/>
      <c r="K186" s="35"/>
      <c r="L186" s="35"/>
      <c r="M186" s="35"/>
      <c r="N186" s="35"/>
      <c r="O186" s="35"/>
      <c r="S186" s="25"/>
    </row>
    <row r="187" spans="4:19">
      <c r="D187" s="22"/>
      <c r="H187" s="25"/>
      <c r="I187" s="27"/>
      <c r="K187" s="35"/>
      <c r="L187" s="35"/>
      <c r="M187" s="35"/>
      <c r="N187" s="35"/>
      <c r="O187" s="35"/>
      <c r="S187" s="25"/>
    </row>
    <row r="188" spans="4:19">
      <c r="D188" s="22"/>
      <c r="H188" s="25"/>
      <c r="I188" s="27"/>
      <c r="K188" s="35"/>
      <c r="L188" s="35"/>
      <c r="M188" s="35"/>
      <c r="N188" s="35"/>
      <c r="O188" s="35"/>
      <c r="S188" s="25"/>
    </row>
    <row r="189" spans="4:19">
      <c r="D189" s="22"/>
      <c r="H189" s="25"/>
      <c r="I189" s="27"/>
      <c r="K189" s="35"/>
      <c r="L189" s="35"/>
      <c r="M189" s="35"/>
      <c r="N189" s="35"/>
      <c r="O189" s="35"/>
      <c r="S189" s="25"/>
    </row>
    <row r="190" spans="4:19">
      <c r="D190" s="22"/>
      <c r="H190" s="25"/>
      <c r="I190" s="27"/>
      <c r="K190" s="35"/>
      <c r="L190" s="35"/>
      <c r="M190" s="35"/>
      <c r="N190" s="35"/>
      <c r="O190" s="35"/>
      <c r="S190" s="25"/>
    </row>
    <row r="191" spans="4:19">
      <c r="D191" s="22"/>
      <c r="H191" s="25"/>
      <c r="I191" s="27"/>
      <c r="K191" s="35"/>
      <c r="L191" s="35"/>
      <c r="M191" s="35"/>
      <c r="N191" s="35"/>
      <c r="O191" s="35"/>
      <c r="S191" s="25"/>
    </row>
    <row r="192" spans="4:19">
      <c r="D192" s="22"/>
      <c r="H192" s="25"/>
      <c r="I192" s="27"/>
      <c r="K192" s="35"/>
      <c r="L192" s="35"/>
      <c r="M192" s="35"/>
      <c r="N192" s="35"/>
      <c r="O192" s="35"/>
      <c r="S192" s="25"/>
    </row>
    <row r="193" spans="4:19">
      <c r="D193" s="22"/>
      <c r="H193" s="25"/>
      <c r="I193" s="27"/>
      <c r="K193" s="35"/>
      <c r="L193" s="35"/>
      <c r="M193" s="35"/>
      <c r="N193" s="35"/>
      <c r="O193" s="35"/>
      <c r="S193" s="25"/>
    </row>
    <row r="194" spans="4:19">
      <c r="D194" s="22"/>
      <c r="H194" s="25"/>
      <c r="I194" s="27"/>
      <c r="K194" s="35"/>
      <c r="L194" s="35"/>
      <c r="M194" s="35"/>
      <c r="N194" s="35"/>
      <c r="O194" s="35"/>
      <c r="S194" s="25"/>
    </row>
    <row r="195" spans="4:19">
      <c r="D195" s="22"/>
      <c r="H195" s="25"/>
      <c r="I195" s="27"/>
      <c r="K195" s="35"/>
      <c r="L195" s="35"/>
      <c r="M195" s="35"/>
      <c r="N195" s="35"/>
      <c r="O195" s="35"/>
      <c r="S195" s="25"/>
    </row>
    <row r="196" spans="4:19">
      <c r="D196" s="22"/>
      <c r="H196" s="25"/>
      <c r="I196" s="27"/>
      <c r="K196" s="35"/>
      <c r="L196" s="35"/>
      <c r="M196" s="35"/>
      <c r="N196" s="35"/>
      <c r="O196" s="35"/>
      <c r="S196" s="25"/>
    </row>
    <row r="197" spans="4:19">
      <c r="D197" s="22"/>
      <c r="H197" s="25"/>
      <c r="I197" s="27"/>
      <c r="K197" s="35"/>
      <c r="L197" s="35"/>
      <c r="M197" s="35"/>
      <c r="N197" s="35"/>
      <c r="O197" s="35"/>
      <c r="S197" s="25"/>
    </row>
    <row r="198" spans="4:19">
      <c r="D198" s="22"/>
      <c r="H198" s="25"/>
      <c r="I198" s="27"/>
      <c r="K198" s="35"/>
      <c r="L198" s="35"/>
      <c r="M198" s="35"/>
      <c r="N198" s="35"/>
      <c r="O198" s="35"/>
      <c r="S198" s="25"/>
    </row>
    <row r="199" spans="4:19">
      <c r="D199" s="22"/>
      <c r="H199" s="25"/>
      <c r="I199" s="27"/>
      <c r="K199" s="35"/>
      <c r="L199" s="35"/>
      <c r="M199" s="35"/>
      <c r="N199" s="35"/>
      <c r="O199" s="35"/>
      <c r="S199" s="25"/>
    </row>
    <row r="200" spans="4:19">
      <c r="D200" s="22"/>
      <c r="H200" s="25"/>
      <c r="I200" s="27"/>
      <c r="K200" s="35"/>
      <c r="L200" s="35"/>
      <c r="M200" s="35"/>
      <c r="N200" s="35"/>
      <c r="O200" s="35"/>
      <c r="S200" s="25"/>
    </row>
    <row r="201" spans="4:19">
      <c r="D201" s="22"/>
      <c r="H201" s="25"/>
      <c r="I201" s="27"/>
      <c r="K201" s="35"/>
      <c r="L201" s="35"/>
      <c r="M201" s="35"/>
      <c r="N201" s="35"/>
      <c r="O201" s="35"/>
      <c r="S201" s="25"/>
    </row>
    <row r="202" spans="4:19">
      <c r="D202" s="22"/>
      <c r="H202" s="25"/>
      <c r="I202" s="27"/>
      <c r="K202" s="35"/>
      <c r="L202" s="35"/>
      <c r="M202" s="35"/>
      <c r="N202" s="35"/>
      <c r="O202" s="35"/>
      <c r="S202" s="25"/>
    </row>
    <row r="203" spans="4:19">
      <c r="D203" s="22"/>
      <c r="H203" s="25"/>
      <c r="I203" s="27"/>
      <c r="K203" s="35"/>
      <c r="L203" s="35"/>
      <c r="M203" s="35"/>
      <c r="N203" s="35"/>
      <c r="O203" s="35"/>
      <c r="S203" s="25"/>
    </row>
    <row r="204" spans="4:19">
      <c r="D204" s="22"/>
      <c r="H204" s="25"/>
      <c r="I204" s="27"/>
      <c r="K204" s="35"/>
      <c r="L204" s="35"/>
      <c r="M204" s="35"/>
      <c r="N204" s="35"/>
      <c r="O204" s="35"/>
      <c r="S204" s="25"/>
    </row>
    <row r="205" spans="4:19">
      <c r="D205" s="22"/>
      <c r="H205" s="25"/>
      <c r="I205" s="27"/>
      <c r="K205" s="35"/>
      <c r="L205" s="35"/>
      <c r="M205" s="35"/>
      <c r="N205" s="35"/>
      <c r="O205" s="35"/>
      <c r="S205" s="25"/>
    </row>
    <row r="206" spans="4:19">
      <c r="D206" s="22"/>
      <c r="H206" s="25"/>
      <c r="I206" s="27"/>
      <c r="K206" s="35"/>
      <c r="L206" s="35"/>
      <c r="M206" s="35"/>
      <c r="N206" s="35"/>
      <c r="O206" s="35"/>
      <c r="S206" s="25"/>
    </row>
    <row r="207" spans="4:19">
      <c r="D207" s="22"/>
      <c r="H207" s="25"/>
      <c r="I207" s="27"/>
      <c r="K207" s="35"/>
      <c r="L207" s="35"/>
      <c r="M207" s="35"/>
      <c r="N207" s="35"/>
      <c r="O207" s="35"/>
      <c r="S207" s="25"/>
    </row>
    <row r="208" spans="4:19">
      <c r="D208" s="22"/>
      <c r="H208" s="25"/>
      <c r="I208" s="27"/>
      <c r="K208" s="35"/>
      <c r="L208" s="35"/>
      <c r="M208" s="35"/>
      <c r="N208" s="35"/>
      <c r="O208" s="35"/>
      <c r="S208" s="25"/>
    </row>
    <row r="209" spans="4:19">
      <c r="D209" s="22"/>
      <c r="H209" s="25"/>
      <c r="I209" s="27"/>
      <c r="K209" s="35"/>
      <c r="L209" s="35"/>
      <c r="M209" s="35"/>
      <c r="N209" s="35"/>
      <c r="O209" s="35"/>
      <c r="S209" s="25"/>
    </row>
    <row r="210" spans="4:19">
      <c r="D210" s="22"/>
      <c r="H210" s="25"/>
      <c r="I210" s="27"/>
      <c r="K210" s="35"/>
      <c r="L210" s="35"/>
      <c r="M210" s="35"/>
      <c r="N210" s="35"/>
      <c r="O210" s="35"/>
      <c r="S210" s="25"/>
    </row>
    <row r="211" spans="4:19">
      <c r="D211" s="22"/>
      <c r="H211" s="25"/>
      <c r="I211" s="27"/>
      <c r="K211" s="35"/>
      <c r="L211" s="35"/>
      <c r="M211" s="35"/>
      <c r="N211" s="35"/>
      <c r="O211" s="35"/>
      <c r="S211" s="25"/>
    </row>
    <row r="212" spans="4:19">
      <c r="D212" s="22"/>
      <c r="H212" s="25"/>
      <c r="I212" s="27"/>
      <c r="K212" s="35"/>
      <c r="L212" s="35"/>
      <c r="M212" s="35"/>
      <c r="N212" s="35"/>
      <c r="O212" s="35"/>
      <c r="S212" s="25"/>
    </row>
    <row r="213" spans="4:19">
      <c r="D213" s="22"/>
      <c r="H213" s="25"/>
      <c r="I213" s="27"/>
      <c r="K213" s="35"/>
      <c r="L213" s="35"/>
      <c r="M213" s="35"/>
      <c r="N213" s="35"/>
      <c r="O213" s="35"/>
      <c r="S213" s="25"/>
    </row>
    <row r="214" spans="4:19">
      <c r="D214" s="22"/>
      <c r="H214" s="25"/>
      <c r="I214" s="27"/>
      <c r="K214" s="35"/>
      <c r="L214" s="35"/>
      <c r="M214" s="35"/>
      <c r="N214" s="35"/>
      <c r="O214" s="35"/>
      <c r="S214" s="25"/>
    </row>
    <row r="215" spans="4:19">
      <c r="D215" s="22"/>
      <c r="H215" s="25"/>
      <c r="I215" s="27"/>
      <c r="K215" s="35"/>
      <c r="L215" s="35"/>
      <c r="M215" s="35"/>
      <c r="N215" s="35"/>
      <c r="O215" s="35"/>
      <c r="S215" s="25"/>
    </row>
    <row r="216" spans="4:19">
      <c r="D216" s="22"/>
      <c r="H216" s="25"/>
      <c r="I216" s="27"/>
      <c r="K216" s="35"/>
      <c r="L216" s="35"/>
      <c r="M216" s="35"/>
      <c r="N216" s="35"/>
      <c r="O216" s="35"/>
      <c r="S216" s="25"/>
    </row>
    <row r="217" spans="4:19">
      <c r="D217" s="22"/>
      <c r="H217" s="25"/>
      <c r="I217" s="27"/>
      <c r="K217" s="35"/>
      <c r="L217" s="35"/>
      <c r="M217" s="35"/>
      <c r="N217" s="35"/>
      <c r="O217" s="35"/>
      <c r="S217" s="25"/>
    </row>
    <row r="218" spans="4:19">
      <c r="D218" s="22"/>
      <c r="H218" s="25"/>
      <c r="I218" s="27"/>
      <c r="K218" s="35"/>
      <c r="L218" s="35"/>
      <c r="M218" s="35"/>
      <c r="N218" s="35"/>
      <c r="O218" s="35"/>
      <c r="S218" s="25"/>
    </row>
    <row r="219" spans="4:19">
      <c r="D219" s="22"/>
      <c r="H219" s="25"/>
      <c r="I219" s="27"/>
      <c r="K219" s="35"/>
      <c r="L219" s="35"/>
      <c r="M219" s="35"/>
      <c r="N219" s="35"/>
      <c r="O219" s="35"/>
      <c r="S219" s="25"/>
    </row>
    <row r="220" spans="4:19">
      <c r="D220" s="22"/>
      <c r="H220" s="25"/>
      <c r="I220" s="27"/>
      <c r="K220" s="35"/>
      <c r="L220" s="35"/>
      <c r="M220" s="35"/>
      <c r="N220" s="35"/>
      <c r="O220" s="35"/>
      <c r="S220" s="25"/>
    </row>
    <row r="221" spans="4:19">
      <c r="D221" s="22"/>
      <c r="H221" s="25"/>
      <c r="I221" s="27"/>
      <c r="K221" s="35"/>
      <c r="L221" s="35"/>
      <c r="M221" s="35"/>
      <c r="N221" s="35"/>
      <c r="O221" s="35"/>
      <c r="S221" s="25"/>
    </row>
    <row r="222" spans="4:19">
      <c r="D222" s="22"/>
      <c r="H222" s="25"/>
      <c r="I222" s="27"/>
      <c r="K222" s="35"/>
      <c r="L222" s="35"/>
      <c r="M222" s="35"/>
      <c r="N222" s="35"/>
      <c r="O222" s="35"/>
      <c r="S222" s="25"/>
    </row>
    <row r="223" spans="4:19">
      <c r="D223" s="22"/>
      <c r="H223" s="25"/>
      <c r="I223" s="27"/>
      <c r="K223" s="35"/>
      <c r="L223" s="35"/>
      <c r="M223" s="35"/>
      <c r="N223" s="35"/>
      <c r="O223" s="35"/>
      <c r="S223" s="25"/>
    </row>
    <row r="224" spans="4:19">
      <c r="D224" s="22"/>
      <c r="H224" s="25"/>
      <c r="I224" s="27"/>
      <c r="K224" s="35"/>
      <c r="L224" s="35"/>
      <c r="M224" s="35"/>
      <c r="N224" s="35"/>
      <c r="O224" s="35"/>
      <c r="S224" s="25"/>
    </row>
    <row r="225" spans="4:19">
      <c r="D225" s="22"/>
      <c r="H225" s="25"/>
      <c r="I225" s="27"/>
      <c r="K225" s="35"/>
      <c r="L225" s="35"/>
      <c r="M225" s="35"/>
      <c r="N225" s="35"/>
      <c r="O225" s="35"/>
      <c r="S225" s="25"/>
    </row>
    <row r="226" spans="4:19">
      <c r="D226" s="22"/>
      <c r="H226" s="25"/>
      <c r="I226" s="27"/>
      <c r="K226" s="35"/>
      <c r="L226" s="35"/>
      <c r="M226" s="35"/>
      <c r="N226" s="35"/>
      <c r="O226" s="35"/>
      <c r="S226" s="25"/>
    </row>
    <row r="227" spans="4:19">
      <c r="D227" s="22"/>
      <c r="H227" s="25"/>
      <c r="I227" s="27"/>
      <c r="K227" s="35"/>
      <c r="L227" s="35"/>
      <c r="M227" s="35"/>
      <c r="N227" s="35"/>
      <c r="O227" s="35"/>
      <c r="S227" s="25"/>
    </row>
    <row r="228" spans="4:19">
      <c r="D228" s="22"/>
      <c r="H228" s="25"/>
      <c r="I228" s="27"/>
      <c r="K228" s="35"/>
      <c r="L228" s="35"/>
      <c r="M228" s="35"/>
      <c r="N228" s="35"/>
      <c r="O228" s="35"/>
      <c r="S228" s="25"/>
    </row>
    <row r="229" spans="4:19">
      <c r="D229" s="22"/>
      <c r="H229" s="25"/>
      <c r="I229" s="27"/>
      <c r="K229" s="35"/>
      <c r="L229" s="35"/>
      <c r="M229" s="35"/>
      <c r="N229" s="35"/>
      <c r="O229" s="35"/>
      <c r="S229" s="25"/>
    </row>
    <row r="230" spans="4:19">
      <c r="D230" s="22"/>
      <c r="H230" s="25"/>
      <c r="I230" s="27"/>
      <c r="K230" s="35"/>
      <c r="L230" s="35"/>
      <c r="M230" s="35"/>
      <c r="N230" s="35"/>
      <c r="O230" s="35"/>
      <c r="S230" s="25"/>
    </row>
    <row r="231" spans="4:19">
      <c r="D231" s="22"/>
      <c r="H231" s="25"/>
      <c r="I231" s="27"/>
      <c r="K231" s="35"/>
      <c r="L231" s="35"/>
      <c r="M231" s="35"/>
      <c r="N231" s="35"/>
      <c r="O231" s="35"/>
      <c r="S231" s="25"/>
    </row>
    <row r="232" spans="4:19">
      <c r="D232" s="22"/>
      <c r="H232" s="25"/>
      <c r="I232" s="27"/>
      <c r="K232" s="35"/>
      <c r="L232" s="35"/>
      <c r="M232" s="35"/>
      <c r="N232" s="35"/>
      <c r="O232" s="35"/>
      <c r="S232" s="25"/>
    </row>
    <row r="233" spans="4:19">
      <c r="D233" s="22"/>
      <c r="H233" s="25"/>
      <c r="I233" s="27"/>
      <c r="K233" s="35"/>
      <c r="L233" s="35"/>
      <c r="M233" s="35"/>
      <c r="N233" s="35"/>
      <c r="O233" s="35"/>
      <c r="S233" s="25"/>
    </row>
    <row r="234" spans="4:19">
      <c r="D234" s="22"/>
      <c r="H234" s="25"/>
      <c r="I234" s="27"/>
      <c r="K234" s="35"/>
      <c r="L234" s="35"/>
      <c r="M234" s="35"/>
      <c r="N234" s="35"/>
      <c r="O234" s="35"/>
      <c r="S234" s="25"/>
    </row>
    <row r="235" spans="4:19">
      <c r="D235" s="22"/>
      <c r="H235" s="25"/>
      <c r="I235" s="27"/>
      <c r="K235" s="35"/>
      <c r="L235" s="35"/>
      <c r="M235" s="35"/>
      <c r="N235" s="35"/>
      <c r="O235" s="35"/>
      <c r="S235" s="25"/>
    </row>
    <row r="236" spans="4:19">
      <c r="D236" s="22"/>
      <c r="H236" s="25"/>
      <c r="I236" s="27"/>
      <c r="K236" s="35"/>
      <c r="L236" s="35"/>
      <c r="M236" s="35"/>
      <c r="N236" s="35"/>
      <c r="O236" s="35"/>
      <c r="S236" s="25"/>
    </row>
    <row r="237" spans="4:19">
      <c r="D237" s="22"/>
      <c r="H237" s="25"/>
      <c r="I237" s="27"/>
      <c r="K237" s="35"/>
      <c r="L237" s="35"/>
      <c r="M237" s="35"/>
      <c r="N237" s="35"/>
      <c r="O237" s="35"/>
      <c r="S237" s="25"/>
    </row>
    <row r="238" spans="4:19">
      <c r="D238" s="22"/>
      <c r="H238" s="25"/>
      <c r="I238" s="27"/>
      <c r="K238" s="35"/>
      <c r="L238" s="35"/>
      <c r="M238" s="35"/>
      <c r="N238" s="35"/>
      <c r="O238" s="35"/>
      <c r="S238" s="25"/>
    </row>
    <row r="239" spans="4:19">
      <c r="D239" s="22"/>
      <c r="H239" s="25"/>
      <c r="I239" s="27"/>
      <c r="K239" s="35"/>
      <c r="L239" s="35"/>
      <c r="M239" s="35"/>
      <c r="N239" s="35"/>
      <c r="O239" s="35"/>
      <c r="S239" s="25"/>
    </row>
    <row r="240" spans="4:19">
      <c r="D240" s="22"/>
      <c r="H240" s="25"/>
      <c r="I240" s="27"/>
      <c r="K240" s="35"/>
      <c r="L240" s="35"/>
      <c r="M240" s="35"/>
      <c r="N240" s="35"/>
      <c r="O240" s="35"/>
      <c r="S240" s="25"/>
    </row>
    <row r="241" spans="4:19">
      <c r="D241" s="22"/>
      <c r="H241" s="25"/>
      <c r="I241" s="27"/>
      <c r="K241" s="35"/>
      <c r="L241" s="35"/>
      <c r="M241" s="35"/>
      <c r="N241" s="35"/>
      <c r="O241" s="35"/>
      <c r="S241" s="25"/>
    </row>
    <row r="242" spans="4:19">
      <c r="D242" s="22"/>
      <c r="H242" s="25"/>
      <c r="I242" s="27"/>
      <c r="K242" s="35"/>
      <c r="L242" s="35"/>
      <c r="M242" s="35"/>
      <c r="N242" s="35"/>
      <c r="O242" s="35"/>
      <c r="S242" s="25"/>
    </row>
    <row r="243" spans="4:19">
      <c r="D243" s="22"/>
      <c r="H243" s="25"/>
      <c r="I243" s="27"/>
      <c r="K243" s="35"/>
      <c r="L243" s="35"/>
      <c r="M243" s="35"/>
      <c r="N243" s="35"/>
      <c r="O243" s="35"/>
      <c r="S243" s="25"/>
    </row>
    <row r="244" spans="4:19">
      <c r="D244" s="22"/>
      <c r="H244" s="25"/>
      <c r="I244" s="27"/>
      <c r="K244" s="35"/>
      <c r="L244" s="35"/>
      <c r="M244" s="35"/>
      <c r="N244" s="35"/>
      <c r="O244" s="35"/>
      <c r="S244" s="25"/>
    </row>
    <row r="245" spans="4:19">
      <c r="D245" s="22"/>
      <c r="H245" s="25"/>
      <c r="I245" s="27"/>
      <c r="K245" s="35"/>
      <c r="L245" s="35"/>
      <c r="M245" s="35"/>
      <c r="N245" s="35"/>
      <c r="O245" s="35"/>
      <c r="S245" s="25"/>
    </row>
    <row r="246" spans="4:19">
      <c r="D246" s="22"/>
      <c r="H246" s="25"/>
      <c r="I246" s="27"/>
      <c r="K246" s="35"/>
      <c r="L246" s="35"/>
      <c r="M246" s="35"/>
      <c r="N246" s="35"/>
      <c r="O246" s="35"/>
      <c r="S246" s="25"/>
    </row>
    <row r="247" spans="4:19">
      <c r="D247" s="22"/>
      <c r="H247" s="25"/>
      <c r="I247" s="27"/>
      <c r="K247" s="35"/>
      <c r="L247" s="35"/>
      <c r="M247" s="35"/>
      <c r="N247" s="35"/>
      <c r="O247" s="35"/>
      <c r="S247" s="25"/>
    </row>
    <row r="248" spans="4:19">
      <c r="D248" s="22"/>
      <c r="H248" s="25"/>
      <c r="I248" s="27"/>
      <c r="K248" s="35"/>
      <c r="L248" s="35"/>
      <c r="M248" s="35"/>
      <c r="N248" s="35"/>
      <c r="O248" s="35"/>
      <c r="S248" s="25"/>
    </row>
    <row r="249" spans="4:19">
      <c r="D249" s="22"/>
      <c r="H249" s="25"/>
      <c r="I249" s="27"/>
      <c r="K249" s="35"/>
      <c r="L249" s="35"/>
      <c r="M249" s="35"/>
      <c r="N249" s="35"/>
      <c r="O249" s="35"/>
      <c r="S249" s="25"/>
    </row>
    <row r="250" spans="4:19">
      <c r="D250" s="22"/>
      <c r="H250" s="25"/>
      <c r="I250" s="27"/>
      <c r="K250" s="35"/>
      <c r="L250" s="35"/>
      <c r="M250" s="35"/>
      <c r="N250" s="35"/>
      <c r="O250" s="35"/>
      <c r="S250" s="25"/>
    </row>
    <row r="251" spans="4:19">
      <c r="D251" s="22"/>
      <c r="H251" s="25"/>
      <c r="I251" s="27"/>
      <c r="K251" s="35"/>
      <c r="L251" s="35"/>
      <c r="M251" s="35"/>
      <c r="N251" s="35"/>
      <c r="O251" s="35"/>
      <c r="S251" s="25"/>
    </row>
    <row r="252" spans="4:19">
      <c r="D252" s="22"/>
      <c r="H252" s="25"/>
      <c r="I252" s="27"/>
      <c r="K252" s="35"/>
      <c r="L252" s="35"/>
      <c r="M252" s="35"/>
      <c r="N252" s="35"/>
      <c r="O252" s="35"/>
      <c r="S252" s="25"/>
    </row>
    <row r="253" spans="4:19">
      <c r="D253" s="22"/>
      <c r="H253" s="25"/>
      <c r="I253" s="27"/>
      <c r="K253" s="35"/>
      <c r="L253" s="35"/>
      <c r="M253" s="35"/>
      <c r="N253" s="35"/>
      <c r="O253" s="35"/>
      <c r="S253" s="25"/>
    </row>
    <row r="254" spans="4:19">
      <c r="D254" s="22"/>
      <c r="H254" s="25"/>
      <c r="I254" s="27"/>
      <c r="K254" s="35"/>
      <c r="L254" s="35"/>
      <c r="M254" s="35"/>
      <c r="N254" s="35"/>
      <c r="O254" s="35"/>
      <c r="S254" s="25"/>
    </row>
    <row r="255" spans="4:19">
      <c r="D255" s="22"/>
      <c r="H255" s="25"/>
      <c r="I255" s="27"/>
      <c r="K255" s="35"/>
      <c r="L255" s="35"/>
      <c r="M255" s="35"/>
      <c r="N255" s="35"/>
      <c r="O255" s="35"/>
      <c r="S255" s="25"/>
    </row>
    <row r="256" spans="4:19">
      <c r="D256" s="22"/>
      <c r="H256" s="25"/>
      <c r="I256" s="27"/>
      <c r="K256" s="35"/>
      <c r="L256" s="35"/>
      <c r="M256" s="35"/>
      <c r="N256" s="35"/>
      <c r="O256" s="35"/>
      <c r="S256" s="25"/>
    </row>
    <row r="257" spans="4:19">
      <c r="D257" s="22"/>
      <c r="H257" s="25"/>
      <c r="I257" s="27"/>
      <c r="K257" s="35"/>
      <c r="L257" s="35"/>
      <c r="M257" s="35"/>
      <c r="N257" s="35"/>
      <c r="O257" s="35"/>
      <c r="S257" s="25"/>
    </row>
    <row r="258" spans="4:19">
      <c r="D258" s="22"/>
      <c r="H258" s="25"/>
      <c r="I258" s="27"/>
      <c r="K258" s="35"/>
      <c r="L258" s="35"/>
      <c r="M258" s="35"/>
      <c r="N258" s="35"/>
      <c r="O258" s="35"/>
      <c r="S258" s="25"/>
    </row>
    <row r="259" spans="4:19">
      <c r="D259" s="22"/>
      <c r="H259" s="25"/>
      <c r="I259" s="27"/>
      <c r="K259" s="35"/>
      <c r="L259" s="35"/>
      <c r="M259" s="35"/>
      <c r="N259" s="35"/>
      <c r="O259" s="35"/>
      <c r="S259" s="25"/>
    </row>
    <row r="260" spans="4:19">
      <c r="D260" s="22"/>
      <c r="H260" s="25"/>
      <c r="I260" s="27"/>
      <c r="K260" s="35"/>
      <c r="L260" s="35"/>
      <c r="M260" s="35"/>
      <c r="N260" s="35"/>
      <c r="O260" s="35"/>
      <c r="S260" s="25"/>
    </row>
    <row r="261" spans="4:19">
      <c r="D261" s="22"/>
      <c r="H261" s="25"/>
      <c r="I261" s="27"/>
      <c r="K261" s="35"/>
      <c r="L261" s="35"/>
      <c r="M261" s="35"/>
      <c r="N261" s="35"/>
      <c r="O261" s="35"/>
      <c r="S261" s="25"/>
    </row>
    <row r="262" spans="4:19">
      <c r="D262" s="22"/>
      <c r="H262" s="25"/>
      <c r="I262" s="27"/>
      <c r="K262" s="35"/>
      <c r="L262" s="35"/>
      <c r="M262" s="35"/>
      <c r="N262" s="35"/>
      <c r="O262" s="35"/>
      <c r="S262" s="25"/>
    </row>
    <row r="263" spans="4:19">
      <c r="D263" s="22"/>
      <c r="H263" s="25"/>
      <c r="I263" s="27"/>
      <c r="K263" s="35"/>
      <c r="L263" s="35"/>
      <c r="M263" s="35"/>
      <c r="N263" s="35"/>
      <c r="O263" s="35"/>
      <c r="S263" s="25"/>
    </row>
    <row r="264" spans="4:19">
      <c r="D264" s="22"/>
      <c r="H264" s="25"/>
      <c r="I264" s="27"/>
      <c r="K264" s="35"/>
      <c r="L264" s="35"/>
      <c r="M264" s="35"/>
      <c r="N264" s="35"/>
      <c r="O264" s="35"/>
      <c r="S264" s="25"/>
    </row>
    <row r="265" spans="4:19">
      <c r="D265" s="22"/>
      <c r="H265" s="25"/>
      <c r="I265" s="27"/>
      <c r="K265" s="35"/>
      <c r="L265" s="35"/>
      <c r="M265" s="35"/>
      <c r="N265" s="35"/>
      <c r="O265" s="35"/>
      <c r="S265" s="25"/>
    </row>
    <row r="266" spans="4:19">
      <c r="D266" s="22"/>
      <c r="H266" s="25"/>
      <c r="I266" s="27"/>
      <c r="K266" s="35"/>
      <c r="L266" s="35"/>
      <c r="M266" s="35"/>
      <c r="N266" s="35"/>
      <c r="O266" s="35"/>
      <c r="S266" s="25"/>
    </row>
    <row r="267" spans="4:19">
      <c r="D267" s="22"/>
      <c r="H267" s="25"/>
      <c r="I267" s="27"/>
      <c r="K267" s="35"/>
      <c r="L267" s="35"/>
      <c r="M267" s="35"/>
      <c r="N267" s="35"/>
      <c r="O267" s="35"/>
      <c r="S267" s="25"/>
    </row>
    <row r="268" spans="4:19">
      <c r="D268" s="22"/>
      <c r="H268" s="25"/>
      <c r="I268" s="27"/>
      <c r="K268" s="35"/>
      <c r="L268" s="35"/>
      <c r="M268" s="35"/>
      <c r="N268" s="35"/>
      <c r="O268" s="35"/>
      <c r="S268" s="25"/>
    </row>
    <row r="269" spans="4:19">
      <c r="D269" s="22"/>
      <c r="H269" s="25"/>
      <c r="I269" s="27"/>
      <c r="K269" s="35"/>
      <c r="L269" s="35"/>
      <c r="M269" s="35"/>
      <c r="N269" s="35"/>
      <c r="O269" s="35"/>
      <c r="S269" s="25"/>
    </row>
    <row r="270" spans="4:19">
      <c r="D270" s="22"/>
      <c r="H270" s="25"/>
      <c r="I270" s="27"/>
      <c r="K270" s="35"/>
      <c r="L270" s="35"/>
      <c r="M270" s="35"/>
      <c r="N270" s="35"/>
      <c r="O270" s="35"/>
      <c r="S270" s="25"/>
    </row>
    <row r="271" spans="4:19">
      <c r="D271" s="22"/>
      <c r="H271" s="25"/>
      <c r="I271" s="27"/>
      <c r="K271" s="35"/>
      <c r="L271" s="35"/>
      <c r="M271" s="35"/>
      <c r="N271" s="35"/>
      <c r="O271" s="35"/>
      <c r="S271" s="25"/>
    </row>
    <row r="272" spans="4:19">
      <c r="D272" s="22"/>
      <c r="H272" s="25"/>
      <c r="I272" s="27"/>
      <c r="K272" s="35"/>
      <c r="L272" s="35"/>
      <c r="M272" s="35"/>
      <c r="N272" s="35"/>
      <c r="O272" s="35"/>
      <c r="S272" s="25"/>
    </row>
    <row r="273" spans="4:19">
      <c r="D273" s="22"/>
      <c r="H273" s="25"/>
      <c r="I273" s="27"/>
      <c r="K273" s="35"/>
      <c r="L273" s="35"/>
      <c r="M273" s="35"/>
      <c r="N273" s="35"/>
      <c r="O273" s="35"/>
      <c r="S273" s="25"/>
    </row>
    <row r="274" spans="4:19">
      <c r="D274" s="22"/>
      <c r="H274" s="25"/>
      <c r="I274" s="27"/>
      <c r="K274" s="35"/>
      <c r="L274" s="35"/>
      <c r="M274" s="35"/>
      <c r="N274" s="35"/>
      <c r="O274" s="35"/>
      <c r="S274" s="25"/>
    </row>
    <row r="275" spans="4:19">
      <c r="D275" s="22"/>
      <c r="H275" s="25"/>
      <c r="I275" s="27"/>
      <c r="K275" s="35"/>
      <c r="L275" s="35"/>
      <c r="M275" s="35"/>
      <c r="N275" s="35"/>
      <c r="O275" s="35"/>
      <c r="S275" s="25"/>
    </row>
    <row r="276" spans="4:19">
      <c r="D276" s="22"/>
      <c r="H276" s="25"/>
      <c r="I276" s="27"/>
      <c r="K276" s="35"/>
      <c r="L276" s="35"/>
      <c r="M276" s="35"/>
      <c r="N276" s="35"/>
      <c r="O276" s="35"/>
      <c r="S276" s="25"/>
    </row>
    <row r="277" spans="4:19">
      <c r="D277" s="22"/>
      <c r="H277" s="25"/>
      <c r="I277" s="27"/>
      <c r="K277" s="35"/>
      <c r="L277" s="35"/>
      <c r="M277" s="35"/>
      <c r="N277" s="35"/>
      <c r="O277" s="35"/>
      <c r="S277" s="25"/>
    </row>
    <row r="278" spans="4:19">
      <c r="D278" s="22"/>
      <c r="H278" s="25"/>
      <c r="I278" s="27"/>
      <c r="K278" s="35"/>
      <c r="L278" s="35"/>
      <c r="M278" s="35"/>
      <c r="N278" s="35"/>
      <c r="O278" s="35"/>
      <c r="S278" s="25"/>
    </row>
    <row r="279" spans="4:19">
      <c r="D279" s="22"/>
      <c r="H279" s="25"/>
      <c r="I279" s="27"/>
      <c r="K279" s="35"/>
      <c r="L279" s="35"/>
      <c r="M279" s="35"/>
      <c r="N279" s="35"/>
      <c r="O279" s="35"/>
      <c r="S279" s="25"/>
    </row>
    <row r="280" spans="4:19">
      <c r="D280" s="22"/>
      <c r="H280" s="25"/>
      <c r="I280" s="27"/>
      <c r="K280" s="35"/>
      <c r="L280" s="35"/>
      <c r="M280" s="35"/>
      <c r="N280" s="35"/>
      <c r="O280" s="35"/>
      <c r="S280" s="25"/>
    </row>
    <row r="281" spans="4:19">
      <c r="D281" s="22"/>
      <c r="H281" s="25"/>
      <c r="I281" s="27"/>
      <c r="K281" s="35"/>
      <c r="L281" s="35"/>
      <c r="M281" s="35"/>
      <c r="N281" s="35"/>
      <c r="O281" s="35"/>
      <c r="S281" s="25"/>
    </row>
    <row r="282" spans="4:19">
      <c r="D282" s="22"/>
      <c r="H282" s="25"/>
      <c r="I282" s="27"/>
      <c r="K282" s="35"/>
      <c r="L282" s="35"/>
      <c r="M282" s="35"/>
      <c r="N282" s="35"/>
      <c r="O282" s="35"/>
      <c r="S282" s="25"/>
    </row>
    <row r="283" spans="4:19">
      <c r="D283" s="22"/>
      <c r="H283" s="25"/>
      <c r="I283" s="27"/>
      <c r="K283" s="35"/>
      <c r="L283" s="35"/>
      <c r="M283" s="35"/>
      <c r="N283" s="35"/>
      <c r="O283" s="35"/>
      <c r="S283" s="25"/>
    </row>
    <row r="284" spans="4:19">
      <c r="D284" s="22"/>
      <c r="H284" s="25"/>
      <c r="I284" s="27"/>
      <c r="K284" s="35"/>
      <c r="L284" s="35"/>
      <c r="M284" s="35"/>
      <c r="N284" s="35"/>
      <c r="O284" s="35"/>
      <c r="S284" s="25"/>
    </row>
    <row r="285" spans="4:19">
      <c r="D285" s="22"/>
      <c r="H285" s="25"/>
      <c r="I285" s="27"/>
      <c r="K285" s="35"/>
      <c r="L285" s="35"/>
      <c r="M285" s="35"/>
      <c r="N285" s="35"/>
      <c r="O285" s="35"/>
      <c r="S285" s="25"/>
    </row>
    <row r="286" spans="4:19">
      <c r="D286" s="22"/>
      <c r="H286" s="25"/>
      <c r="I286" s="27"/>
      <c r="K286" s="35"/>
      <c r="L286" s="35"/>
      <c r="M286" s="35"/>
      <c r="N286" s="35"/>
      <c r="O286" s="35"/>
      <c r="S286" s="25"/>
    </row>
    <row r="287" spans="4:19">
      <c r="D287" s="22"/>
      <c r="H287" s="25"/>
      <c r="I287" s="27"/>
      <c r="K287" s="35"/>
      <c r="L287" s="35"/>
      <c r="M287" s="35"/>
      <c r="N287" s="35"/>
      <c r="O287" s="35"/>
      <c r="S287" s="25"/>
    </row>
    <row r="288" spans="4:19">
      <c r="D288" s="22"/>
      <c r="H288" s="25"/>
      <c r="I288" s="27"/>
      <c r="K288" s="35"/>
      <c r="L288" s="35"/>
      <c r="M288" s="35"/>
      <c r="N288" s="35"/>
      <c r="O288" s="35"/>
      <c r="S288" s="25"/>
    </row>
    <row r="289" spans="4:19">
      <c r="D289" s="22"/>
      <c r="H289" s="25"/>
      <c r="I289" s="27"/>
      <c r="K289" s="35"/>
      <c r="L289" s="35"/>
      <c r="M289" s="35"/>
      <c r="N289" s="35"/>
      <c r="O289" s="35"/>
      <c r="S289" s="25"/>
    </row>
    <row r="290" spans="4:19">
      <c r="D290" s="22"/>
      <c r="H290" s="25"/>
      <c r="I290" s="27"/>
      <c r="K290" s="35"/>
      <c r="L290" s="35"/>
      <c r="M290" s="35"/>
      <c r="N290" s="35"/>
      <c r="O290" s="35"/>
      <c r="S290" s="25"/>
    </row>
    <row r="291" spans="4:19">
      <c r="D291" s="22"/>
      <c r="H291" s="25"/>
      <c r="I291" s="27"/>
      <c r="K291" s="35"/>
      <c r="L291" s="35"/>
      <c r="M291" s="35"/>
      <c r="N291" s="35"/>
      <c r="O291" s="35"/>
      <c r="S291" s="25"/>
    </row>
    <row r="292" spans="4:19">
      <c r="D292" s="22"/>
      <c r="H292" s="25"/>
      <c r="I292" s="27"/>
      <c r="K292" s="35"/>
      <c r="L292" s="35"/>
      <c r="M292" s="35"/>
      <c r="N292" s="35"/>
      <c r="O292" s="35"/>
      <c r="S292" s="25"/>
    </row>
    <row r="293" spans="4:19">
      <c r="D293" s="22"/>
      <c r="H293" s="25"/>
      <c r="I293" s="27"/>
      <c r="K293" s="35"/>
      <c r="L293" s="35"/>
      <c r="M293" s="35"/>
      <c r="N293" s="35"/>
      <c r="O293" s="35"/>
      <c r="S293" s="25"/>
    </row>
    <row r="294" spans="4:19">
      <c r="D294" s="22"/>
      <c r="H294" s="25"/>
      <c r="I294" s="27"/>
      <c r="K294" s="35"/>
      <c r="L294" s="35"/>
      <c r="M294" s="35"/>
      <c r="N294" s="35"/>
      <c r="O294" s="35"/>
      <c r="S294" s="25"/>
    </row>
    <row r="295" spans="4:19">
      <c r="D295" s="22"/>
      <c r="H295" s="25"/>
      <c r="I295" s="27"/>
      <c r="K295" s="35"/>
      <c r="L295" s="35"/>
      <c r="M295" s="35"/>
      <c r="N295" s="35"/>
      <c r="O295" s="35"/>
      <c r="S295" s="25"/>
    </row>
    <row r="296" spans="4:19">
      <c r="D296" s="22"/>
      <c r="H296" s="25"/>
      <c r="I296" s="27"/>
      <c r="K296" s="35"/>
      <c r="L296" s="35"/>
      <c r="M296" s="35"/>
      <c r="N296" s="35"/>
      <c r="O296" s="35"/>
      <c r="S296" s="25"/>
    </row>
    <row r="297" spans="4:19">
      <c r="D297" s="22"/>
      <c r="H297" s="25"/>
      <c r="I297" s="27"/>
      <c r="K297" s="35"/>
      <c r="L297" s="35"/>
      <c r="M297" s="35"/>
      <c r="N297" s="35"/>
      <c r="O297" s="35"/>
      <c r="S297" s="25"/>
    </row>
    <row r="298" spans="4:19">
      <c r="D298" s="22"/>
      <c r="H298" s="25"/>
      <c r="I298" s="27"/>
      <c r="K298" s="35"/>
      <c r="L298" s="35"/>
      <c r="M298" s="35"/>
      <c r="N298" s="35"/>
      <c r="O298" s="35"/>
      <c r="S298" s="25"/>
    </row>
    <row r="299" spans="4:19">
      <c r="D299" s="22"/>
      <c r="H299" s="25"/>
      <c r="I299" s="27"/>
      <c r="K299" s="35"/>
      <c r="L299" s="35"/>
      <c r="M299" s="35"/>
      <c r="N299" s="35"/>
      <c r="O299" s="35"/>
      <c r="S299" s="25"/>
    </row>
    <row r="300" spans="4:19">
      <c r="D300" s="22"/>
      <c r="H300" s="25"/>
      <c r="I300" s="27"/>
      <c r="K300" s="35"/>
      <c r="L300" s="35"/>
      <c r="M300" s="35"/>
      <c r="N300" s="35"/>
      <c r="O300" s="35"/>
      <c r="S300" s="25"/>
    </row>
    <row r="301" spans="4:19">
      <c r="D301" s="22"/>
      <c r="H301" s="25"/>
      <c r="I301" s="27"/>
      <c r="K301" s="35"/>
      <c r="L301" s="35"/>
      <c r="M301" s="35"/>
      <c r="N301" s="35"/>
      <c r="O301" s="35"/>
      <c r="S301" s="25"/>
    </row>
    <row r="302" spans="4:19">
      <c r="D302" s="22"/>
      <c r="H302" s="25"/>
      <c r="I302" s="27"/>
      <c r="K302" s="35"/>
      <c r="L302" s="35"/>
      <c r="M302" s="35"/>
      <c r="N302" s="35"/>
      <c r="O302" s="35"/>
      <c r="S302" s="25"/>
    </row>
    <row r="303" spans="4:19">
      <c r="D303" s="22"/>
      <c r="H303" s="25"/>
      <c r="I303" s="27"/>
      <c r="K303" s="35"/>
      <c r="L303" s="35"/>
      <c r="M303" s="35"/>
      <c r="N303" s="35"/>
      <c r="O303" s="35"/>
      <c r="S303" s="25"/>
    </row>
    <row r="304" spans="4:19">
      <c r="D304" s="22"/>
      <c r="H304" s="25"/>
      <c r="I304" s="27"/>
      <c r="K304" s="35"/>
      <c r="L304" s="35"/>
      <c r="M304" s="35"/>
      <c r="N304" s="35"/>
      <c r="O304" s="35"/>
      <c r="S304" s="25"/>
    </row>
    <row r="305" spans="4:19">
      <c r="D305" s="22"/>
      <c r="H305" s="25"/>
      <c r="I305" s="27"/>
      <c r="K305" s="35"/>
      <c r="L305" s="35"/>
      <c r="M305" s="35"/>
      <c r="N305" s="35"/>
      <c r="O305" s="35"/>
      <c r="S305" s="25"/>
    </row>
    <row r="306" spans="4:19">
      <c r="D306" s="22"/>
      <c r="H306" s="25"/>
      <c r="I306" s="27"/>
      <c r="K306" s="35"/>
      <c r="L306" s="35"/>
      <c r="M306" s="35"/>
      <c r="N306" s="35"/>
      <c r="O306" s="35"/>
      <c r="S306" s="25"/>
    </row>
    <row r="307" spans="4:19">
      <c r="D307" s="22"/>
      <c r="H307" s="25"/>
      <c r="I307" s="27"/>
      <c r="K307" s="35"/>
      <c r="L307" s="35"/>
      <c r="M307" s="35"/>
      <c r="N307" s="35"/>
      <c r="O307" s="35"/>
      <c r="S307" s="25"/>
    </row>
    <row r="308" spans="4:19">
      <c r="D308" s="22"/>
      <c r="H308" s="25"/>
      <c r="I308" s="27"/>
      <c r="K308" s="35"/>
      <c r="L308" s="35"/>
      <c r="M308" s="35"/>
      <c r="N308" s="35"/>
      <c r="O308" s="35"/>
      <c r="S308" s="25"/>
    </row>
    <row r="309" spans="4:19">
      <c r="D309" s="22"/>
      <c r="H309" s="25"/>
      <c r="I309" s="27"/>
      <c r="K309" s="35"/>
      <c r="L309" s="35"/>
      <c r="M309" s="35"/>
      <c r="N309" s="35"/>
      <c r="O309" s="35"/>
      <c r="S309" s="25"/>
    </row>
    <row r="310" spans="4:19">
      <c r="D310" s="22"/>
      <c r="H310" s="25"/>
      <c r="I310" s="27"/>
      <c r="K310" s="35"/>
      <c r="L310" s="35"/>
      <c r="M310" s="35"/>
      <c r="N310" s="35"/>
      <c r="O310" s="35"/>
      <c r="S310" s="25"/>
    </row>
    <row r="311" spans="4:19">
      <c r="D311" s="22"/>
      <c r="H311" s="25"/>
      <c r="I311" s="27"/>
      <c r="K311" s="35"/>
      <c r="L311" s="35"/>
      <c r="M311" s="35"/>
      <c r="N311" s="35"/>
      <c r="O311" s="35"/>
      <c r="S311" s="25"/>
    </row>
    <row r="312" spans="4:19">
      <c r="D312" s="22"/>
      <c r="H312" s="25"/>
      <c r="I312" s="27"/>
      <c r="K312" s="35"/>
      <c r="L312" s="35"/>
      <c r="M312" s="35"/>
      <c r="N312" s="35"/>
      <c r="O312" s="35"/>
      <c r="S312" s="25"/>
    </row>
    <row r="313" spans="4:19">
      <c r="D313" s="22"/>
      <c r="H313" s="25"/>
      <c r="I313" s="27"/>
      <c r="K313" s="35"/>
      <c r="L313" s="35"/>
      <c r="M313" s="35"/>
      <c r="N313" s="35"/>
      <c r="O313" s="35"/>
      <c r="S313" s="25"/>
    </row>
    <row r="314" spans="4:19">
      <c r="D314" s="22"/>
      <c r="H314" s="25"/>
      <c r="I314" s="27"/>
      <c r="K314" s="35"/>
      <c r="L314" s="35"/>
      <c r="M314" s="35"/>
      <c r="N314" s="35"/>
      <c r="O314" s="35"/>
      <c r="S314" s="25"/>
    </row>
    <row r="315" spans="4:19">
      <c r="D315" s="22"/>
      <c r="H315" s="25"/>
      <c r="I315" s="27"/>
      <c r="K315" s="35"/>
      <c r="L315" s="35"/>
      <c r="M315" s="35"/>
      <c r="N315" s="35"/>
      <c r="O315" s="35"/>
      <c r="S315" s="25"/>
    </row>
    <row r="316" spans="4:19">
      <c r="D316" s="22"/>
      <c r="H316" s="25"/>
      <c r="I316" s="27"/>
      <c r="K316" s="35"/>
      <c r="L316" s="35"/>
      <c r="M316" s="35"/>
      <c r="N316" s="35"/>
      <c r="O316" s="35"/>
      <c r="S316" s="25"/>
    </row>
    <row r="317" spans="4:19">
      <c r="D317" s="22"/>
      <c r="H317" s="25"/>
      <c r="I317" s="27"/>
      <c r="K317" s="35"/>
      <c r="L317" s="35"/>
      <c r="M317" s="35"/>
      <c r="N317" s="35"/>
      <c r="O317" s="35"/>
      <c r="S317" s="25"/>
    </row>
    <row r="318" spans="4:19">
      <c r="D318" s="22"/>
      <c r="H318" s="25"/>
      <c r="I318" s="27"/>
      <c r="K318" s="35"/>
      <c r="L318" s="35"/>
      <c r="M318" s="35"/>
      <c r="N318" s="35"/>
      <c r="O318" s="35"/>
      <c r="S318" s="25"/>
    </row>
    <row r="319" spans="4:19">
      <c r="D319" s="22"/>
      <c r="H319" s="25"/>
      <c r="I319" s="27"/>
      <c r="K319" s="35"/>
      <c r="L319" s="35"/>
      <c r="M319" s="35"/>
      <c r="N319" s="35"/>
      <c r="O319" s="35"/>
      <c r="S319" s="25"/>
    </row>
    <row r="320" spans="4:19">
      <c r="D320" s="22"/>
      <c r="H320" s="25"/>
      <c r="I320" s="27"/>
      <c r="K320" s="35"/>
      <c r="L320" s="35"/>
      <c r="M320" s="35"/>
      <c r="N320" s="35"/>
      <c r="O320" s="35"/>
      <c r="S320" s="25"/>
    </row>
    <row r="321" spans="4:19">
      <c r="D321" s="22"/>
      <c r="H321" s="25"/>
      <c r="I321" s="27"/>
      <c r="K321" s="35"/>
      <c r="L321" s="35"/>
      <c r="M321" s="35"/>
      <c r="N321" s="35"/>
      <c r="O321" s="35"/>
      <c r="S321" s="25"/>
    </row>
    <row r="322" spans="4:19">
      <c r="D322" s="22"/>
      <c r="H322" s="25"/>
      <c r="I322" s="27"/>
      <c r="K322" s="35"/>
      <c r="L322" s="35"/>
      <c r="M322" s="35"/>
      <c r="N322" s="35"/>
      <c r="O322" s="35"/>
      <c r="S322" s="25"/>
    </row>
    <row r="323" spans="4:19">
      <c r="D323" s="22"/>
      <c r="H323" s="25"/>
      <c r="I323" s="27"/>
      <c r="K323" s="35"/>
      <c r="L323" s="35"/>
      <c r="M323" s="35"/>
      <c r="N323" s="35"/>
      <c r="O323" s="35"/>
      <c r="S323" s="25"/>
    </row>
    <row r="324" spans="4:19">
      <c r="D324" s="22"/>
      <c r="H324" s="25"/>
      <c r="I324" s="27"/>
      <c r="K324" s="35"/>
      <c r="L324" s="35"/>
      <c r="M324" s="35"/>
      <c r="N324" s="35"/>
      <c r="O324" s="35"/>
      <c r="S324" s="25"/>
    </row>
    <row r="325" spans="4:19">
      <c r="D325" s="22"/>
      <c r="H325" s="25"/>
      <c r="I325" s="27"/>
      <c r="K325" s="35"/>
      <c r="L325" s="35"/>
      <c r="M325" s="35"/>
      <c r="N325" s="35"/>
      <c r="O325" s="35"/>
      <c r="S325" s="25"/>
    </row>
    <row r="326" spans="4:19">
      <c r="D326" s="22"/>
      <c r="H326" s="25"/>
      <c r="I326" s="27"/>
      <c r="K326" s="35"/>
      <c r="L326" s="35"/>
      <c r="M326" s="35"/>
      <c r="N326" s="35"/>
      <c r="O326" s="35"/>
      <c r="S326" s="25"/>
    </row>
    <row r="327" spans="4:19">
      <c r="D327" s="22"/>
      <c r="H327" s="25"/>
      <c r="I327" s="27"/>
      <c r="K327" s="35"/>
      <c r="L327" s="35"/>
      <c r="M327" s="35"/>
      <c r="N327" s="35"/>
      <c r="O327" s="35"/>
      <c r="S327" s="25"/>
    </row>
    <row r="328" spans="4:19">
      <c r="D328" s="22"/>
      <c r="H328" s="25"/>
      <c r="I328" s="27"/>
      <c r="K328" s="35"/>
      <c r="L328" s="35"/>
      <c r="M328" s="35"/>
      <c r="N328" s="35"/>
      <c r="O328" s="35"/>
      <c r="S328" s="25"/>
    </row>
    <row r="329" spans="4:19">
      <c r="D329" s="22"/>
      <c r="H329" s="25"/>
      <c r="I329" s="27"/>
      <c r="K329" s="35"/>
      <c r="L329" s="35"/>
      <c r="M329" s="35"/>
      <c r="N329" s="35"/>
      <c r="O329" s="35"/>
      <c r="S329" s="25"/>
    </row>
    <row r="330" spans="4:19">
      <c r="D330" s="22"/>
      <c r="H330" s="25"/>
      <c r="I330" s="27"/>
      <c r="K330" s="35"/>
      <c r="L330" s="35"/>
      <c r="M330" s="35"/>
      <c r="N330" s="35"/>
      <c r="O330" s="35"/>
      <c r="S330" s="25"/>
    </row>
    <row r="331" spans="4:19">
      <c r="D331" s="22"/>
      <c r="H331" s="25"/>
      <c r="I331" s="27"/>
      <c r="K331" s="35"/>
      <c r="L331" s="35"/>
      <c r="M331" s="35"/>
      <c r="N331" s="35"/>
      <c r="O331" s="35"/>
      <c r="S331" s="25"/>
    </row>
    <row r="332" spans="4:19">
      <c r="D332" s="22"/>
      <c r="H332" s="25"/>
      <c r="I332" s="27"/>
      <c r="K332" s="35"/>
      <c r="L332" s="35"/>
      <c r="M332" s="35"/>
      <c r="N332" s="35"/>
      <c r="O332" s="35"/>
      <c r="S332" s="25"/>
    </row>
    <row r="333" spans="4:19">
      <c r="D333" s="22"/>
      <c r="H333" s="25"/>
      <c r="I333" s="27"/>
      <c r="K333" s="35"/>
      <c r="L333" s="35"/>
      <c r="M333" s="35"/>
      <c r="N333" s="35"/>
      <c r="O333" s="35"/>
      <c r="S333" s="25"/>
    </row>
    <row r="334" spans="4:19">
      <c r="D334" s="22"/>
      <c r="H334" s="25"/>
      <c r="I334" s="27"/>
      <c r="K334" s="35"/>
      <c r="L334" s="35"/>
      <c r="M334" s="35"/>
      <c r="N334" s="35"/>
      <c r="O334" s="35"/>
      <c r="S334" s="25"/>
    </row>
    <row r="335" spans="4:19">
      <c r="D335" s="22"/>
      <c r="H335" s="25"/>
      <c r="I335" s="27"/>
      <c r="K335" s="35"/>
      <c r="L335" s="35"/>
      <c r="M335" s="35"/>
      <c r="N335" s="35"/>
      <c r="O335" s="35"/>
      <c r="S335" s="25"/>
    </row>
    <row r="336" spans="4:19">
      <c r="D336" s="22"/>
      <c r="H336" s="25"/>
      <c r="I336" s="27"/>
      <c r="K336" s="35"/>
      <c r="L336" s="35"/>
      <c r="M336" s="35"/>
      <c r="N336" s="35"/>
      <c r="O336" s="35"/>
      <c r="S336" s="25"/>
    </row>
    <row r="337" spans="4:19">
      <c r="D337" s="22"/>
      <c r="H337" s="25"/>
      <c r="I337" s="27"/>
      <c r="K337" s="35"/>
      <c r="L337" s="35"/>
      <c r="M337" s="35"/>
      <c r="N337" s="35"/>
      <c r="O337" s="35"/>
      <c r="S337" s="25"/>
    </row>
    <row r="338" spans="4:19">
      <c r="D338" s="22"/>
      <c r="H338" s="25"/>
      <c r="I338" s="27"/>
      <c r="K338" s="35"/>
      <c r="L338" s="35"/>
      <c r="M338" s="35"/>
      <c r="N338" s="35"/>
      <c r="O338" s="35"/>
      <c r="S338" s="25"/>
    </row>
    <row r="339" spans="4:19">
      <c r="D339" s="22"/>
      <c r="H339" s="25"/>
      <c r="I339" s="27"/>
      <c r="K339" s="35"/>
      <c r="L339" s="35"/>
      <c r="M339" s="35"/>
      <c r="N339" s="35"/>
      <c r="O339" s="35"/>
      <c r="S339" s="25"/>
    </row>
    <row r="340" spans="4:19">
      <c r="D340" s="22"/>
      <c r="H340" s="25"/>
      <c r="I340" s="27"/>
      <c r="K340" s="35"/>
      <c r="L340" s="35"/>
      <c r="M340" s="35"/>
      <c r="N340" s="35"/>
      <c r="O340" s="35"/>
      <c r="S340" s="25"/>
    </row>
    <row r="341" spans="4:19">
      <c r="D341" s="22"/>
      <c r="H341" s="25"/>
      <c r="I341" s="27"/>
      <c r="K341" s="35"/>
      <c r="L341" s="35"/>
      <c r="M341" s="35"/>
      <c r="N341" s="35"/>
      <c r="O341" s="35"/>
      <c r="S341" s="25"/>
    </row>
    <row r="342" spans="4:19">
      <c r="D342" s="22"/>
      <c r="H342" s="25"/>
      <c r="I342" s="27"/>
      <c r="K342" s="35"/>
      <c r="L342" s="35"/>
      <c r="M342" s="35"/>
      <c r="N342" s="35"/>
      <c r="O342" s="35"/>
      <c r="S342" s="25"/>
    </row>
    <row r="343" spans="4:19">
      <c r="D343" s="22"/>
      <c r="H343" s="25"/>
      <c r="I343" s="27"/>
      <c r="K343" s="35"/>
      <c r="L343" s="35"/>
      <c r="M343" s="35"/>
      <c r="N343" s="35"/>
      <c r="O343" s="35"/>
      <c r="S343" s="25"/>
    </row>
    <row r="344" spans="4:19">
      <c r="D344" s="22"/>
      <c r="H344" s="25"/>
      <c r="I344" s="27"/>
      <c r="K344" s="35"/>
      <c r="L344" s="35"/>
      <c r="M344" s="35"/>
      <c r="N344" s="35"/>
      <c r="O344" s="35"/>
      <c r="S344" s="25"/>
    </row>
    <row r="345" spans="4:19">
      <c r="D345" s="22"/>
      <c r="H345" s="25"/>
      <c r="I345" s="27"/>
      <c r="K345" s="35"/>
      <c r="L345" s="35"/>
      <c r="M345" s="35"/>
      <c r="N345" s="35"/>
      <c r="O345" s="35"/>
      <c r="S345" s="25"/>
    </row>
    <row r="346" spans="4:19">
      <c r="D346" s="22"/>
      <c r="H346" s="25"/>
      <c r="I346" s="27"/>
      <c r="K346" s="35"/>
      <c r="L346" s="35"/>
      <c r="M346" s="35"/>
      <c r="N346" s="35"/>
      <c r="O346" s="35"/>
      <c r="S346" s="25"/>
    </row>
    <row r="347" spans="4:19">
      <c r="D347" s="22"/>
      <c r="H347" s="25"/>
      <c r="I347" s="27"/>
      <c r="K347" s="35"/>
      <c r="L347" s="35"/>
      <c r="M347" s="35"/>
      <c r="N347" s="35"/>
      <c r="O347" s="35"/>
      <c r="S347" s="25"/>
    </row>
    <row r="348" spans="4:19">
      <c r="D348" s="22"/>
      <c r="H348" s="25"/>
      <c r="I348" s="27"/>
      <c r="K348" s="35"/>
      <c r="L348" s="35"/>
      <c r="M348" s="35"/>
      <c r="N348" s="35"/>
      <c r="O348" s="35"/>
      <c r="S348" s="25"/>
    </row>
    <row r="349" spans="4:19">
      <c r="D349" s="22"/>
      <c r="H349" s="25"/>
      <c r="I349" s="27"/>
      <c r="K349" s="35"/>
      <c r="L349" s="35"/>
      <c r="M349" s="35"/>
      <c r="N349" s="35"/>
      <c r="O349" s="35"/>
      <c r="S349" s="25"/>
    </row>
    <row r="350" spans="4:19">
      <c r="D350" s="22"/>
      <c r="H350" s="25"/>
      <c r="I350" s="27"/>
      <c r="K350" s="35"/>
      <c r="L350" s="35"/>
      <c r="M350" s="35"/>
      <c r="N350" s="35"/>
      <c r="O350" s="35"/>
      <c r="S350" s="25"/>
    </row>
    <row r="351" spans="4:19">
      <c r="D351" s="22"/>
      <c r="H351" s="25"/>
      <c r="I351" s="27"/>
      <c r="K351" s="35"/>
      <c r="L351" s="35"/>
      <c r="M351" s="35"/>
      <c r="N351" s="35"/>
      <c r="O351" s="35"/>
      <c r="S351" s="25"/>
    </row>
    <row r="352" spans="4:19">
      <c r="D352" s="22"/>
      <c r="H352" s="25"/>
      <c r="I352" s="27"/>
      <c r="K352" s="35"/>
      <c r="L352" s="35"/>
      <c r="M352" s="35"/>
      <c r="N352" s="35"/>
      <c r="O352" s="35"/>
      <c r="S352" s="25"/>
    </row>
    <row r="353" spans="4:19">
      <c r="D353" s="22"/>
      <c r="H353" s="25"/>
      <c r="I353" s="27"/>
      <c r="K353" s="35"/>
      <c r="L353" s="35"/>
      <c r="M353" s="35"/>
      <c r="N353" s="35"/>
      <c r="O353" s="35"/>
      <c r="S353" s="25"/>
    </row>
    <row r="354" spans="4:19">
      <c r="D354" s="22"/>
      <c r="H354" s="25"/>
      <c r="I354" s="27"/>
      <c r="K354" s="35"/>
      <c r="L354" s="35"/>
      <c r="M354" s="35"/>
      <c r="N354" s="35"/>
      <c r="O354" s="35"/>
      <c r="S354" s="25"/>
    </row>
    <row r="355" spans="4:19">
      <c r="D355" s="22"/>
      <c r="H355" s="25"/>
      <c r="I355" s="27"/>
      <c r="K355" s="35"/>
      <c r="L355" s="35"/>
      <c r="M355" s="35"/>
      <c r="N355" s="35"/>
      <c r="O355" s="35"/>
      <c r="S355" s="25"/>
    </row>
    <row r="356" spans="4:19">
      <c r="D356" s="22"/>
      <c r="H356" s="25"/>
      <c r="I356" s="27"/>
      <c r="K356" s="35"/>
      <c r="L356" s="35"/>
      <c r="M356" s="35"/>
      <c r="N356" s="35"/>
      <c r="O356" s="35"/>
      <c r="S356" s="25"/>
    </row>
    <row r="357" spans="4:19">
      <c r="D357" s="22"/>
      <c r="H357" s="25"/>
      <c r="I357" s="27"/>
      <c r="K357" s="35"/>
      <c r="L357" s="35"/>
      <c r="M357" s="35"/>
      <c r="N357" s="35"/>
      <c r="O357" s="35"/>
      <c r="S357" s="25"/>
    </row>
    <row r="358" spans="4:19">
      <c r="D358" s="22"/>
      <c r="H358" s="25"/>
      <c r="I358" s="27"/>
      <c r="K358" s="35"/>
      <c r="L358" s="35"/>
      <c r="M358" s="35"/>
      <c r="N358" s="35"/>
      <c r="O358" s="35"/>
      <c r="S358" s="25"/>
    </row>
    <row r="359" spans="4:19">
      <c r="D359" s="22"/>
      <c r="H359" s="25"/>
      <c r="I359" s="27"/>
      <c r="K359" s="35"/>
      <c r="L359" s="35"/>
      <c r="M359" s="35"/>
      <c r="N359" s="35"/>
      <c r="O359" s="35"/>
      <c r="S359" s="25"/>
    </row>
    <row r="360" spans="4:19">
      <c r="D360" s="22"/>
      <c r="H360" s="25"/>
      <c r="I360" s="27"/>
      <c r="K360" s="35"/>
      <c r="L360" s="35"/>
      <c r="M360" s="35"/>
      <c r="N360" s="35"/>
      <c r="O360" s="35"/>
      <c r="S360" s="25"/>
    </row>
    <row r="361" spans="4:19">
      <c r="D361" s="22"/>
      <c r="H361" s="25"/>
      <c r="I361" s="27"/>
      <c r="K361" s="35"/>
      <c r="L361" s="35"/>
      <c r="M361" s="35"/>
      <c r="N361" s="35"/>
      <c r="O361" s="35"/>
      <c r="S361" s="25"/>
    </row>
    <row r="362" spans="4:19">
      <c r="D362" s="22"/>
      <c r="H362" s="25"/>
      <c r="I362" s="27"/>
      <c r="K362" s="35"/>
      <c r="L362" s="35"/>
      <c r="M362" s="35"/>
      <c r="N362" s="35"/>
      <c r="O362" s="35"/>
      <c r="S362" s="25"/>
    </row>
    <row r="363" spans="4:19">
      <c r="D363" s="22"/>
      <c r="H363" s="25"/>
      <c r="I363" s="27"/>
      <c r="K363" s="35"/>
      <c r="L363" s="35"/>
      <c r="M363" s="35"/>
      <c r="N363" s="35"/>
      <c r="O363" s="35"/>
      <c r="S363" s="25"/>
    </row>
    <row r="364" spans="4:19">
      <c r="D364" s="22"/>
      <c r="H364" s="25"/>
      <c r="I364" s="27"/>
      <c r="K364" s="35"/>
      <c r="L364" s="35"/>
      <c r="M364" s="35"/>
      <c r="N364" s="35"/>
      <c r="O364" s="35"/>
      <c r="S364" s="25"/>
    </row>
    <row r="365" spans="4:19">
      <c r="D365" s="22"/>
      <c r="H365" s="25"/>
      <c r="I365" s="27"/>
      <c r="K365" s="35"/>
      <c r="L365" s="35"/>
      <c r="M365" s="35"/>
      <c r="N365" s="35"/>
      <c r="O365" s="35"/>
      <c r="S365" s="25"/>
    </row>
    <row r="366" spans="4:19">
      <c r="D366" s="22"/>
      <c r="H366" s="25"/>
      <c r="I366" s="27"/>
      <c r="K366" s="35"/>
      <c r="L366" s="35"/>
      <c r="M366" s="35"/>
      <c r="N366" s="35"/>
      <c r="O366" s="35"/>
      <c r="S366" s="25"/>
    </row>
    <row r="367" spans="4:19">
      <c r="D367" s="22"/>
      <c r="H367" s="25"/>
      <c r="I367" s="27"/>
      <c r="K367" s="35"/>
      <c r="L367" s="35"/>
      <c r="M367" s="35"/>
      <c r="N367" s="35"/>
      <c r="O367" s="35"/>
      <c r="S367" s="25"/>
    </row>
    <row r="368" spans="4:19">
      <c r="D368" s="22"/>
      <c r="H368" s="25"/>
      <c r="I368" s="27"/>
      <c r="K368" s="35"/>
      <c r="L368" s="35"/>
      <c r="M368" s="35"/>
      <c r="N368" s="35"/>
      <c r="O368" s="35"/>
      <c r="S368" s="25"/>
    </row>
    <row r="369" spans="4:19">
      <c r="D369" s="22"/>
      <c r="H369" s="25"/>
      <c r="I369" s="27"/>
      <c r="K369" s="35"/>
      <c r="L369" s="35"/>
      <c r="M369" s="35"/>
      <c r="N369" s="35"/>
      <c r="O369" s="35"/>
      <c r="S369" s="25"/>
    </row>
    <row r="370" spans="4:19">
      <c r="D370" s="22"/>
      <c r="H370" s="25"/>
      <c r="I370" s="27"/>
      <c r="K370" s="35"/>
      <c r="L370" s="35"/>
      <c r="M370" s="35"/>
      <c r="N370" s="35"/>
      <c r="O370" s="35"/>
      <c r="S370" s="25"/>
    </row>
    <row r="371" spans="4:19">
      <c r="D371" s="22"/>
      <c r="H371" s="25"/>
      <c r="I371" s="27"/>
      <c r="K371" s="35"/>
      <c r="L371" s="35"/>
      <c r="M371" s="35"/>
      <c r="N371" s="35"/>
      <c r="O371" s="35"/>
      <c r="S371" s="25"/>
    </row>
    <row r="372" spans="4:19">
      <c r="D372" s="22"/>
      <c r="H372" s="25"/>
      <c r="I372" s="27"/>
      <c r="K372" s="35"/>
      <c r="L372" s="35"/>
      <c r="M372" s="35"/>
      <c r="N372" s="35"/>
      <c r="O372" s="35"/>
      <c r="S372" s="25"/>
    </row>
    <row r="373" spans="4:19">
      <c r="D373" s="22"/>
      <c r="H373" s="25"/>
      <c r="I373" s="27"/>
      <c r="K373" s="35"/>
      <c r="L373" s="35"/>
      <c r="M373" s="35"/>
      <c r="N373" s="35"/>
      <c r="O373" s="35"/>
      <c r="S373" s="25"/>
    </row>
    <row r="374" spans="4:19">
      <c r="D374" s="22"/>
      <c r="H374" s="25"/>
      <c r="I374" s="27"/>
      <c r="K374" s="35"/>
      <c r="L374" s="35"/>
      <c r="M374" s="35"/>
      <c r="N374" s="35"/>
      <c r="O374" s="35"/>
      <c r="S374" s="25"/>
    </row>
    <row r="375" spans="4:19">
      <c r="D375" s="22"/>
      <c r="H375" s="25"/>
      <c r="I375" s="27"/>
      <c r="K375" s="35"/>
      <c r="L375" s="35"/>
      <c r="M375" s="35"/>
      <c r="N375" s="35"/>
      <c r="O375" s="35"/>
      <c r="S375" s="25"/>
    </row>
    <row r="376" spans="4:19">
      <c r="D376" s="22"/>
      <c r="H376" s="25"/>
      <c r="I376" s="27"/>
      <c r="K376" s="35"/>
      <c r="L376" s="35"/>
      <c r="M376" s="35"/>
      <c r="N376" s="35"/>
      <c r="O376" s="35"/>
      <c r="S376" s="25"/>
    </row>
    <row r="377" spans="4:19">
      <c r="D377" s="22"/>
      <c r="H377" s="25"/>
      <c r="I377" s="27"/>
      <c r="K377" s="35"/>
      <c r="L377" s="35"/>
      <c r="M377" s="35"/>
      <c r="N377" s="35"/>
      <c r="O377" s="35"/>
      <c r="S377" s="25"/>
    </row>
    <row r="378" spans="4:19">
      <c r="D378" s="22"/>
      <c r="H378" s="25"/>
      <c r="I378" s="27"/>
      <c r="K378" s="35"/>
      <c r="L378" s="35"/>
      <c r="M378" s="35"/>
      <c r="N378" s="35"/>
      <c r="O378" s="35"/>
      <c r="S378" s="25"/>
    </row>
    <row r="379" spans="4:19">
      <c r="D379" s="22"/>
      <c r="H379" s="25"/>
      <c r="I379" s="27"/>
      <c r="K379" s="35"/>
      <c r="L379" s="35"/>
      <c r="M379" s="35"/>
      <c r="N379" s="35"/>
      <c r="O379" s="35"/>
      <c r="S379" s="25"/>
    </row>
    <row r="380" spans="4:19">
      <c r="D380" s="22"/>
      <c r="H380" s="25"/>
      <c r="I380" s="27"/>
      <c r="K380" s="35"/>
      <c r="L380" s="35"/>
      <c r="M380" s="35"/>
      <c r="N380" s="35"/>
      <c r="O380" s="35"/>
      <c r="S380" s="25"/>
    </row>
    <row r="381" spans="4:19">
      <c r="D381" s="22"/>
      <c r="H381" s="25"/>
      <c r="I381" s="27"/>
      <c r="K381" s="35"/>
      <c r="L381" s="35"/>
      <c r="M381" s="35"/>
      <c r="N381" s="35"/>
      <c r="O381" s="35"/>
      <c r="S381" s="25"/>
    </row>
    <row r="382" spans="4:19">
      <c r="D382" s="22"/>
      <c r="H382" s="25"/>
      <c r="I382" s="27"/>
      <c r="K382" s="35"/>
      <c r="L382" s="35"/>
      <c r="M382" s="35"/>
      <c r="N382" s="35"/>
      <c r="O382" s="35"/>
      <c r="S382" s="25"/>
    </row>
    <row r="383" spans="4:19">
      <c r="D383" s="22"/>
      <c r="H383" s="25"/>
      <c r="I383" s="27"/>
      <c r="K383" s="35"/>
      <c r="L383" s="35"/>
      <c r="M383" s="35"/>
      <c r="N383" s="35"/>
      <c r="O383" s="35"/>
      <c r="S383" s="25"/>
    </row>
    <row r="384" spans="4:19">
      <c r="D384" s="22"/>
      <c r="H384" s="25"/>
      <c r="I384" s="27"/>
      <c r="K384" s="35"/>
      <c r="L384" s="35"/>
      <c r="M384" s="35"/>
      <c r="N384" s="35"/>
      <c r="O384" s="35"/>
      <c r="S384" s="25"/>
    </row>
    <row r="385" spans="4:19">
      <c r="D385" s="22"/>
      <c r="H385" s="25"/>
      <c r="I385" s="27"/>
      <c r="K385" s="35"/>
      <c r="L385" s="35"/>
      <c r="M385" s="35"/>
      <c r="N385" s="35"/>
      <c r="O385" s="35"/>
      <c r="S385" s="25"/>
    </row>
    <row r="386" spans="4:19">
      <c r="D386" s="22"/>
      <c r="H386" s="25"/>
      <c r="I386" s="27"/>
      <c r="K386" s="35"/>
      <c r="L386" s="35"/>
      <c r="M386" s="35"/>
      <c r="N386" s="35"/>
      <c r="O386" s="35"/>
      <c r="S386" s="25"/>
    </row>
    <row r="387" spans="4:19">
      <c r="D387" s="22"/>
      <c r="H387" s="25"/>
      <c r="I387" s="27"/>
      <c r="K387" s="35"/>
      <c r="L387" s="35"/>
      <c r="M387" s="35"/>
      <c r="N387" s="35"/>
      <c r="O387" s="35"/>
      <c r="S387" s="25"/>
    </row>
    <row r="388" spans="4:19">
      <c r="D388" s="22"/>
      <c r="H388" s="25"/>
      <c r="I388" s="27"/>
      <c r="K388" s="35"/>
      <c r="L388" s="35"/>
      <c r="M388" s="35"/>
      <c r="N388" s="35"/>
      <c r="O388" s="35"/>
      <c r="S388" s="25"/>
    </row>
    <row r="389" spans="4:19">
      <c r="D389" s="22"/>
      <c r="H389" s="25"/>
      <c r="I389" s="27"/>
      <c r="K389" s="35"/>
      <c r="L389" s="35"/>
      <c r="M389" s="35"/>
      <c r="N389" s="35"/>
      <c r="O389" s="35"/>
      <c r="S389" s="25"/>
    </row>
    <row r="390" spans="4:19">
      <c r="D390" s="22"/>
      <c r="H390" s="25"/>
      <c r="I390" s="27"/>
      <c r="K390" s="35"/>
      <c r="L390" s="35"/>
      <c r="M390" s="35"/>
      <c r="N390" s="35"/>
      <c r="O390" s="35"/>
      <c r="S390" s="25"/>
    </row>
    <row r="391" spans="4:19">
      <c r="D391" s="22"/>
      <c r="H391" s="25"/>
      <c r="I391" s="27"/>
      <c r="K391" s="35"/>
      <c r="L391" s="35"/>
      <c r="M391" s="35"/>
      <c r="N391" s="35"/>
      <c r="O391" s="35"/>
      <c r="S391" s="25"/>
    </row>
    <row r="392" spans="4:19">
      <c r="D392" s="22"/>
      <c r="H392" s="25"/>
      <c r="I392" s="27"/>
      <c r="K392" s="35"/>
      <c r="L392" s="35"/>
      <c r="M392" s="35"/>
      <c r="N392" s="35"/>
      <c r="O392" s="35"/>
      <c r="S392" s="25"/>
    </row>
    <row r="393" spans="4:19">
      <c r="D393" s="22"/>
      <c r="H393" s="25"/>
      <c r="I393" s="27"/>
      <c r="K393" s="35"/>
      <c r="L393" s="35"/>
      <c r="M393" s="35"/>
      <c r="N393" s="35"/>
      <c r="O393" s="35"/>
      <c r="S393" s="25"/>
    </row>
    <row r="394" spans="4:19">
      <c r="D394" s="22"/>
      <c r="H394" s="25"/>
      <c r="I394" s="27"/>
      <c r="K394" s="35"/>
      <c r="L394" s="35"/>
      <c r="M394" s="35"/>
      <c r="N394" s="35"/>
      <c r="O394" s="35"/>
      <c r="S394" s="25"/>
    </row>
    <row r="395" spans="4:19">
      <c r="D395" s="22"/>
      <c r="H395" s="25"/>
      <c r="I395" s="27"/>
      <c r="K395" s="35"/>
      <c r="L395" s="35"/>
      <c r="M395" s="35"/>
      <c r="N395" s="35"/>
      <c r="O395" s="35"/>
      <c r="S395" s="25"/>
    </row>
    <row r="396" spans="4:19">
      <c r="D396" s="22"/>
      <c r="H396" s="25"/>
      <c r="I396" s="27"/>
      <c r="K396" s="35"/>
      <c r="L396" s="35"/>
      <c r="M396" s="35"/>
      <c r="N396" s="35"/>
      <c r="O396" s="35"/>
      <c r="S396" s="25"/>
    </row>
    <row r="397" spans="4:19">
      <c r="D397" s="22"/>
      <c r="H397" s="25"/>
      <c r="I397" s="27"/>
      <c r="K397" s="35"/>
      <c r="L397" s="35"/>
      <c r="M397" s="35"/>
      <c r="N397" s="35"/>
      <c r="O397" s="35"/>
      <c r="S397" s="25"/>
    </row>
    <row r="398" spans="4:19">
      <c r="D398" s="22"/>
      <c r="H398" s="25"/>
      <c r="I398" s="27"/>
      <c r="K398" s="35"/>
      <c r="L398" s="35"/>
      <c r="M398" s="35"/>
      <c r="N398" s="35"/>
      <c r="O398" s="35"/>
      <c r="S398" s="25"/>
    </row>
    <row r="399" spans="4:19">
      <c r="D399" s="22"/>
      <c r="H399" s="25"/>
      <c r="I399" s="27"/>
      <c r="K399" s="35"/>
      <c r="L399" s="35"/>
      <c r="M399" s="35"/>
      <c r="N399" s="35"/>
      <c r="O399" s="35"/>
      <c r="S399" s="25"/>
    </row>
    <row r="400" spans="4:19">
      <c r="D400" s="22"/>
      <c r="H400" s="25"/>
      <c r="I400" s="27"/>
      <c r="K400" s="35"/>
      <c r="L400" s="35"/>
      <c r="M400" s="35"/>
      <c r="N400" s="35"/>
      <c r="O400" s="35"/>
      <c r="S400" s="25"/>
    </row>
    <row r="401" spans="4:19">
      <c r="D401" s="22"/>
      <c r="H401" s="25"/>
      <c r="I401" s="27"/>
      <c r="K401" s="35"/>
      <c r="L401" s="35"/>
      <c r="M401" s="35"/>
      <c r="N401" s="35"/>
      <c r="O401" s="35"/>
      <c r="S401" s="25"/>
    </row>
    <row r="402" spans="4:19">
      <c r="D402" s="22"/>
      <c r="H402" s="25"/>
      <c r="I402" s="27"/>
      <c r="K402" s="35"/>
      <c r="L402" s="35"/>
      <c r="M402" s="35"/>
      <c r="N402" s="35"/>
      <c r="O402" s="35"/>
      <c r="S402" s="25"/>
    </row>
    <row r="403" spans="4:19">
      <c r="D403" s="22"/>
      <c r="H403" s="25"/>
      <c r="I403" s="27"/>
      <c r="K403" s="35"/>
      <c r="L403" s="35"/>
      <c r="M403" s="35"/>
      <c r="N403" s="35"/>
      <c r="O403" s="35"/>
      <c r="S403" s="25"/>
    </row>
    <row r="404" spans="4:19">
      <c r="D404" s="22"/>
      <c r="H404" s="25"/>
      <c r="I404" s="27"/>
      <c r="K404" s="35"/>
      <c r="L404" s="35"/>
      <c r="M404" s="35"/>
      <c r="N404" s="35"/>
      <c r="O404" s="35"/>
      <c r="S404" s="25"/>
    </row>
    <row r="405" spans="4:19">
      <c r="D405" s="22"/>
      <c r="H405" s="25"/>
      <c r="I405" s="27"/>
      <c r="K405" s="35"/>
      <c r="L405" s="35"/>
      <c r="M405" s="35"/>
      <c r="N405" s="35"/>
      <c r="O405" s="35"/>
      <c r="S405" s="25"/>
    </row>
    <row r="406" spans="4:19">
      <c r="D406" s="22"/>
      <c r="H406" s="25"/>
      <c r="I406" s="27"/>
      <c r="K406" s="35"/>
      <c r="L406" s="35"/>
      <c r="M406" s="35"/>
      <c r="N406" s="35"/>
      <c r="O406" s="35"/>
      <c r="S406" s="25"/>
    </row>
    <row r="407" spans="4:19">
      <c r="D407" s="22"/>
      <c r="H407" s="25"/>
      <c r="I407" s="27"/>
      <c r="K407" s="35"/>
      <c r="L407" s="35"/>
      <c r="M407" s="35"/>
      <c r="N407" s="35"/>
      <c r="O407" s="35"/>
      <c r="S407" s="25"/>
    </row>
    <row r="408" spans="4:19">
      <c r="D408" s="22"/>
      <c r="H408" s="25"/>
      <c r="I408" s="27"/>
      <c r="K408" s="35"/>
      <c r="L408" s="35"/>
      <c r="M408" s="35"/>
      <c r="N408" s="35"/>
      <c r="O408" s="35"/>
      <c r="S408" s="25"/>
    </row>
    <row r="409" spans="4:19">
      <c r="D409" s="22"/>
      <c r="H409" s="25"/>
      <c r="I409" s="27"/>
      <c r="K409" s="35"/>
      <c r="L409" s="35"/>
      <c r="M409" s="35"/>
      <c r="N409" s="35"/>
      <c r="O409" s="35"/>
      <c r="S409" s="25"/>
    </row>
    <row r="410" spans="4:19">
      <c r="D410" s="22"/>
      <c r="H410" s="25"/>
      <c r="I410" s="27"/>
      <c r="K410" s="35"/>
      <c r="L410" s="35"/>
      <c r="M410" s="35"/>
      <c r="N410" s="35"/>
      <c r="O410" s="35"/>
      <c r="S410" s="25"/>
    </row>
    <row r="411" spans="4:19">
      <c r="D411" s="22"/>
      <c r="H411" s="25"/>
      <c r="I411" s="27"/>
      <c r="K411" s="35"/>
      <c r="L411" s="35"/>
      <c r="M411" s="35"/>
      <c r="N411" s="35"/>
      <c r="O411" s="35"/>
      <c r="S411" s="25"/>
    </row>
    <row r="412" spans="4:19">
      <c r="D412" s="22"/>
      <c r="H412" s="25"/>
      <c r="I412" s="27"/>
      <c r="K412" s="35"/>
      <c r="L412" s="35"/>
      <c r="M412" s="35"/>
      <c r="N412" s="35"/>
      <c r="O412" s="35"/>
      <c r="S412" s="25"/>
    </row>
    <row r="413" spans="4:19">
      <c r="D413" s="22"/>
      <c r="H413" s="25"/>
      <c r="I413" s="27"/>
      <c r="K413" s="35"/>
      <c r="L413" s="35"/>
      <c r="M413" s="35"/>
      <c r="N413" s="35"/>
      <c r="O413" s="35"/>
      <c r="S413" s="25"/>
    </row>
    <row r="414" spans="4:19">
      <c r="D414" s="22"/>
      <c r="H414" s="25"/>
      <c r="I414" s="27"/>
      <c r="K414" s="35"/>
      <c r="L414" s="35"/>
      <c r="M414" s="35"/>
      <c r="N414" s="35"/>
      <c r="O414" s="35"/>
      <c r="S414" s="25"/>
    </row>
    <row r="415" spans="4:19">
      <c r="D415" s="22"/>
      <c r="H415" s="25"/>
      <c r="I415" s="27"/>
      <c r="K415" s="35"/>
      <c r="L415" s="35"/>
      <c r="M415" s="35"/>
      <c r="N415" s="35"/>
      <c r="O415" s="35"/>
      <c r="S415" s="25"/>
    </row>
    <row r="416" spans="4:19">
      <c r="D416" s="22"/>
      <c r="H416" s="25"/>
      <c r="I416" s="27"/>
      <c r="K416" s="35"/>
      <c r="L416" s="35"/>
      <c r="M416" s="35"/>
      <c r="N416" s="35"/>
      <c r="O416" s="35"/>
      <c r="S416" s="25"/>
    </row>
    <row r="417" spans="4:19">
      <c r="D417" s="22"/>
      <c r="H417" s="25"/>
      <c r="I417" s="27"/>
      <c r="K417" s="35"/>
      <c r="L417" s="35"/>
      <c r="M417" s="35"/>
      <c r="N417" s="35"/>
      <c r="O417" s="35"/>
      <c r="S417" s="25"/>
    </row>
    <row r="418" spans="4:19">
      <c r="D418" s="22"/>
      <c r="H418" s="25"/>
      <c r="I418" s="27"/>
      <c r="K418" s="35"/>
      <c r="L418" s="35"/>
      <c r="M418" s="35"/>
      <c r="N418" s="35"/>
      <c r="O418" s="35"/>
      <c r="S418" s="25"/>
    </row>
    <row r="419" spans="4:19">
      <c r="D419" s="22"/>
      <c r="H419" s="25"/>
      <c r="I419" s="27"/>
      <c r="K419" s="35"/>
      <c r="L419" s="35"/>
      <c r="M419" s="35"/>
      <c r="N419" s="35"/>
      <c r="O419" s="35"/>
      <c r="S419" s="25"/>
    </row>
    <row r="420" spans="4:19">
      <c r="D420" s="22"/>
      <c r="H420" s="25"/>
      <c r="I420" s="27"/>
      <c r="K420" s="35"/>
      <c r="L420" s="35"/>
      <c r="M420" s="35"/>
      <c r="N420" s="35"/>
      <c r="O420" s="35"/>
      <c r="S420" s="25"/>
    </row>
    <row r="421" spans="4:19">
      <c r="D421" s="22"/>
      <c r="H421" s="25"/>
      <c r="I421" s="27"/>
      <c r="K421" s="35"/>
      <c r="L421" s="35"/>
      <c r="M421" s="35"/>
      <c r="N421" s="35"/>
      <c r="O421" s="35"/>
      <c r="S421" s="25"/>
    </row>
    <row r="422" spans="4:19">
      <c r="D422" s="22"/>
      <c r="H422" s="25"/>
      <c r="I422" s="27"/>
      <c r="K422" s="35"/>
      <c r="L422" s="35"/>
      <c r="M422" s="35"/>
      <c r="N422" s="35"/>
      <c r="O422" s="35"/>
      <c r="S422" s="25"/>
    </row>
    <row r="423" spans="4:19">
      <c r="D423" s="22"/>
      <c r="H423" s="25"/>
      <c r="I423" s="27"/>
      <c r="K423" s="35"/>
      <c r="L423" s="35"/>
      <c r="M423" s="35"/>
      <c r="N423" s="35"/>
      <c r="O423" s="35"/>
      <c r="S423" s="25"/>
    </row>
    <row r="424" spans="4:19">
      <c r="D424" s="22"/>
      <c r="H424" s="25"/>
      <c r="I424" s="27"/>
      <c r="K424" s="35"/>
      <c r="L424" s="35"/>
      <c r="M424" s="35"/>
      <c r="N424" s="35"/>
      <c r="O424" s="35"/>
      <c r="S424" s="25"/>
    </row>
    <row r="425" spans="4:19">
      <c r="D425" s="22"/>
      <c r="H425" s="25"/>
      <c r="I425" s="27"/>
      <c r="K425" s="35"/>
      <c r="L425" s="35"/>
      <c r="M425" s="35"/>
      <c r="N425" s="35"/>
      <c r="O425" s="35"/>
      <c r="S425" s="25"/>
    </row>
    <row r="426" spans="4:19">
      <c r="D426" s="22"/>
      <c r="H426" s="25"/>
      <c r="I426" s="27"/>
      <c r="K426" s="35"/>
      <c r="L426" s="35"/>
      <c r="M426" s="35"/>
      <c r="N426" s="35"/>
      <c r="O426" s="35"/>
      <c r="S426" s="25"/>
    </row>
    <row r="427" spans="4:19">
      <c r="D427" s="22"/>
      <c r="H427" s="25"/>
      <c r="I427" s="27"/>
      <c r="K427" s="35"/>
      <c r="L427" s="35"/>
      <c r="M427" s="35"/>
      <c r="N427" s="35"/>
      <c r="O427" s="35"/>
      <c r="S427" s="25"/>
    </row>
    <row r="428" spans="4:19">
      <c r="D428" s="22"/>
      <c r="H428" s="25"/>
      <c r="I428" s="27"/>
      <c r="K428" s="35"/>
      <c r="L428" s="35"/>
      <c r="M428" s="35"/>
      <c r="N428" s="35"/>
      <c r="O428" s="35"/>
      <c r="S428" s="25"/>
    </row>
    <row r="429" spans="4:19">
      <c r="D429" s="22"/>
      <c r="H429" s="25"/>
      <c r="I429" s="27"/>
      <c r="K429" s="35"/>
      <c r="L429" s="35"/>
      <c r="M429" s="35"/>
      <c r="N429" s="35"/>
      <c r="O429" s="35"/>
      <c r="S429" s="25"/>
    </row>
    <row r="430" spans="4:19">
      <c r="D430" s="22"/>
      <c r="H430" s="25"/>
      <c r="I430" s="27"/>
      <c r="K430" s="35"/>
      <c r="L430" s="35"/>
      <c r="M430" s="35"/>
      <c r="N430" s="35"/>
      <c r="O430" s="35"/>
      <c r="S430" s="25"/>
    </row>
    <row r="431" spans="4:19">
      <c r="D431" s="22"/>
      <c r="H431" s="25"/>
      <c r="I431" s="27"/>
      <c r="K431" s="35"/>
      <c r="L431" s="35"/>
      <c r="M431" s="35"/>
      <c r="N431" s="35"/>
      <c r="O431" s="35"/>
      <c r="S431" s="25"/>
    </row>
    <row r="432" spans="4:19">
      <c r="D432" s="22"/>
      <c r="H432" s="25"/>
      <c r="I432" s="27"/>
      <c r="K432" s="35"/>
      <c r="L432" s="35"/>
      <c r="M432" s="35"/>
      <c r="N432" s="35"/>
      <c r="O432" s="35"/>
      <c r="S432" s="25"/>
    </row>
    <row r="433" spans="4:19">
      <c r="D433" s="22"/>
      <c r="H433" s="25"/>
      <c r="I433" s="27"/>
      <c r="K433" s="35"/>
      <c r="L433" s="35"/>
      <c r="M433" s="35"/>
      <c r="N433" s="35"/>
      <c r="O433" s="35"/>
      <c r="S433" s="25"/>
    </row>
    <row r="434" spans="4:19">
      <c r="D434" s="22"/>
      <c r="H434" s="25"/>
      <c r="I434" s="27"/>
      <c r="K434" s="35"/>
      <c r="L434" s="35"/>
      <c r="M434" s="35"/>
      <c r="N434" s="35"/>
      <c r="O434" s="35"/>
      <c r="S434" s="25"/>
    </row>
    <row r="435" spans="4:19">
      <c r="D435" s="22"/>
      <c r="H435" s="25"/>
      <c r="I435" s="27"/>
      <c r="K435" s="35"/>
      <c r="L435" s="35"/>
      <c r="M435" s="35"/>
      <c r="N435" s="35"/>
      <c r="O435" s="35"/>
      <c r="S435" s="25"/>
    </row>
    <row r="436" spans="4:19">
      <c r="D436" s="22"/>
      <c r="H436" s="25"/>
      <c r="I436" s="27"/>
      <c r="K436" s="35"/>
      <c r="L436" s="35"/>
      <c r="M436" s="35"/>
      <c r="N436" s="35"/>
      <c r="O436" s="35"/>
      <c r="S436" s="25"/>
    </row>
    <row r="437" spans="4:19">
      <c r="D437" s="22"/>
      <c r="H437" s="25"/>
      <c r="I437" s="27"/>
      <c r="K437" s="35"/>
      <c r="L437" s="35"/>
      <c r="M437" s="35"/>
      <c r="N437" s="35"/>
      <c r="O437" s="35"/>
      <c r="S437" s="25"/>
    </row>
    <row r="438" spans="4:19">
      <c r="D438" s="22"/>
      <c r="H438" s="25"/>
      <c r="I438" s="27"/>
      <c r="K438" s="35"/>
      <c r="L438" s="35"/>
      <c r="M438" s="35"/>
      <c r="N438" s="35"/>
      <c r="O438" s="35"/>
      <c r="S438" s="25"/>
    </row>
    <row r="439" spans="4:19">
      <c r="D439" s="22"/>
      <c r="H439" s="25"/>
      <c r="I439" s="27"/>
      <c r="K439" s="35"/>
      <c r="L439" s="35"/>
      <c r="M439" s="35"/>
      <c r="N439" s="35"/>
      <c r="O439" s="35"/>
      <c r="S439" s="25"/>
    </row>
    <row r="440" spans="4:19">
      <c r="D440" s="22"/>
      <c r="H440" s="25"/>
      <c r="I440" s="27"/>
      <c r="K440" s="35"/>
      <c r="L440" s="35"/>
      <c r="M440" s="35"/>
      <c r="N440" s="35"/>
      <c r="O440" s="35"/>
      <c r="S440" s="25"/>
    </row>
    <row r="441" spans="4:19">
      <c r="D441" s="22"/>
      <c r="H441" s="25"/>
      <c r="I441" s="27"/>
      <c r="K441" s="35"/>
      <c r="L441" s="35"/>
      <c r="M441" s="35"/>
      <c r="N441" s="35"/>
      <c r="O441" s="35"/>
      <c r="S441" s="25"/>
    </row>
    <row r="442" spans="4:19">
      <c r="D442" s="22"/>
      <c r="H442" s="25"/>
      <c r="I442" s="27"/>
      <c r="K442" s="35"/>
      <c r="L442" s="35"/>
      <c r="M442" s="35"/>
      <c r="N442" s="35"/>
      <c r="O442" s="35"/>
      <c r="S442" s="25"/>
    </row>
    <row r="443" spans="4:19">
      <c r="D443" s="22"/>
      <c r="H443" s="25"/>
      <c r="I443" s="27"/>
      <c r="K443" s="35"/>
      <c r="L443" s="35"/>
      <c r="M443" s="35"/>
      <c r="N443" s="35"/>
      <c r="O443" s="35"/>
      <c r="S443" s="25"/>
    </row>
    <row r="444" spans="4:19">
      <c r="D444" s="22"/>
      <c r="H444" s="25"/>
      <c r="I444" s="27"/>
      <c r="K444" s="35"/>
      <c r="L444" s="35"/>
      <c r="M444" s="35"/>
      <c r="N444" s="35"/>
      <c r="O444" s="35"/>
      <c r="S444" s="25"/>
    </row>
    <row r="445" spans="4:19">
      <c r="D445" s="22"/>
      <c r="H445" s="25"/>
      <c r="I445" s="27"/>
      <c r="K445" s="35"/>
      <c r="L445" s="35"/>
      <c r="M445" s="35"/>
      <c r="N445" s="35"/>
      <c r="O445" s="35"/>
      <c r="S445" s="25"/>
    </row>
    <row r="446" spans="4:19">
      <c r="D446" s="22"/>
      <c r="H446" s="25"/>
      <c r="I446" s="27"/>
      <c r="K446" s="35"/>
      <c r="L446" s="35"/>
      <c r="M446" s="35"/>
      <c r="N446" s="35"/>
      <c r="O446" s="35"/>
      <c r="S446" s="25"/>
    </row>
    <row r="447" spans="4:19">
      <c r="D447" s="22"/>
      <c r="H447" s="25"/>
      <c r="I447" s="27"/>
      <c r="K447" s="35"/>
      <c r="L447" s="35"/>
      <c r="M447" s="35"/>
      <c r="N447" s="35"/>
      <c r="O447" s="35"/>
      <c r="S447" s="25"/>
    </row>
    <row r="448" spans="4:19">
      <c r="D448" s="22"/>
      <c r="H448" s="25"/>
      <c r="I448" s="27"/>
      <c r="K448" s="35"/>
      <c r="L448" s="35"/>
      <c r="M448" s="35"/>
      <c r="N448" s="35"/>
      <c r="O448" s="35"/>
      <c r="S448" s="25"/>
    </row>
    <row r="449" spans="4:19">
      <c r="D449" s="22"/>
      <c r="H449" s="25"/>
      <c r="I449" s="27"/>
      <c r="K449" s="35"/>
      <c r="L449" s="35"/>
      <c r="M449" s="35"/>
      <c r="N449" s="35"/>
      <c r="O449" s="35"/>
      <c r="S449" s="25"/>
    </row>
    <row r="450" spans="4:19">
      <c r="D450" s="22"/>
      <c r="H450" s="25"/>
      <c r="I450" s="27"/>
      <c r="K450" s="35"/>
      <c r="L450" s="35"/>
      <c r="M450" s="35"/>
      <c r="N450" s="35"/>
      <c r="O450" s="35"/>
      <c r="S450" s="25"/>
    </row>
    <row r="451" spans="4:19">
      <c r="D451" s="22"/>
      <c r="H451" s="25"/>
      <c r="I451" s="27"/>
      <c r="K451" s="35"/>
      <c r="L451" s="35"/>
      <c r="M451" s="35"/>
      <c r="N451" s="35"/>
      <c r="O451" s="35"/>
      <c r="S451" s="25"/>
    </row>
    <row r="452" spans="4:19">
      <c r="D452" s="22"/>
      <c r="H452" s="25"/>
      <c r="I452" s="27"/>
      <c r="K452" s="35"/>
      <c r="L452" s="35"/>
      <c r="M452" s="35"/>
      <c r="N452" s="35"/>
      <c r="O452" s="35"/>
      <c r="S452" s="25"/>
    </row>
    <row r="453" spans="4:19">
      <c r="D453" s="22"/>
      <c r="H453" s="25"/>
      <c r="I453" s="27"/>
      <c r="K453" s="35"/>
      <c r="L453" s="35"/>
      <c r="M453" s="35"/>
      <c r="N453" s="35"/>
      <c r="O453" s="35"/>
      <c r="S453" s="25"/>
    </row>
    <row r="454" spans="4:19">
      <c r="D454" s="22"/>
      <c r="H454" s="25"/>
      <c r="I454" s="27"/>
      <c r="K454" s="35"/>
      <c r="L454" s="35"/>
      <c r="M454" s="35"/>
      <c r="N454" s="35"/>
      <c r="O454" s="35"/>
      <c r="S454" s="25"/>
    </row>
    <row r="455" spans="4:19">
      <c r="D455" s="22"/>
      <c r="H455" s="25"/>
      <c r="I455" s="27"/>
      <c r="K455" s="35"/>
      <c r="L455" s="35"/>
      <c r="M455" s="35"/>
      <c r="N455" s="35"/>
      <c r="O455" s="35"/>
      <c r="S455" s="25"/>
    </row>
    <row r="456" spans="4:19">
      <c r="D456" s="22"/>
      <c r="H456" s="25"/>
      <c r="I456" s="27"/>
      <c r="K456" s="35"/>
      <c r="L456" s="35"/>
      <c r="M456" s="35"/>
      <c r="N456" s="35"/>
      <c r="O456" s="35"/>
      <c r="S456" s="25"/>
    </row>
    <row r="457" spans="4:19">
      <c r="D457" s="22"/>
      <c r="H457" s="25"/>
      <c r="I457" s="27"/>
      <c r="K457" s="35"/>
      <c r="L457" s="35"/>
      <c r="M457" s="35"/>
      <c r="N457" s="35"/>
      <c r="O457" s="35"/>
      <c r="S457" s="25"/>
    </row>
    <row r="458" spans="4:19">
      <c r="D458" s="22"/>
      <c r="H458" s="25"/>
      <c r="I458" s="27"/>
      <c r="K458" s="35"/>
      <c r="L458" s="35"/>
      <c r="M458" s="35"/>
      <c r="N458" s="35"/>
      <c r="O458" s="35"/>
      <c r="S458" s="25"/>
    </row>
    <row r="459" spans="4:19">
      <c r="D459" s="22"/>
      <c r="H459" s="25"/>
      <c r="I459" s="27"/>
      <c r="K459" s="35"/>
      <c r="L459" s="35"/>
      <c r="M459" s="35"/>
      <c r="N459" s="35"/>
      <c r="O459" s="35"/>
      <c r="S459" s="25"/>
    </row>
    <row r="460" spans="4:19">
      <c r="D460" s="22"/>
      <c r="H460" s="25"/>
      <c r="I460" s="27"/>
      <c r="K460" s="35"/>
      <c r="L460" s="35"/>
      <c r="M460" s="35"/>
      <c r="N460" s="35"/>
      <c r="O460" s="35"/>
      <c r="S460" s="25"/>
    </row>
    <row r="461" spans="4:19">
      <c r="D461" s="22"/>
      <c r="H461" s="25"/>
      <c r="I461" s="27"/>
      <c r="K461" s="35"/>
      <c r="L461" s="35"/>
      <c r="M461" s="35"/>
      <c r="N461" s="35"/>
      <c r="O461" s="35"/>
      <c r="S461" s="25"/>
    </row>
    <row r="462" spans="4:19">
      <c r="D462" s="22"/>
      <c r="H462" s="25"/>
      <c r="I462" s="27"/>
      <c r="K462" s="35"/>
      <c r="L462" s="35"/>
      <c r="M462" s="35"/>
      <c r="N462" s="35"/>
      <c r="O462" s="35"/>
      <c r="S462" s="25"/>
    </row>
    <row r="463" spans="4:19">
      <c r="D463" s="22"/>
      <c r="H463" s="25"/>
      <c r="I463" s="27"/>
      <c r="K463" s="35"/>
      <c r="L463" s="35"/>
      <c r="M463" s="35"/>
      <c r="N463" s="35"/>
      <c r="O463" s="35"/>
      <c r="S463" s="25"/>
    </row>
    <row r="464" spans="4:19">
      <c r="D464" s="22"/>
      <c r="H464" s="25"/>
      <c r="I464" s="27"/>
      <c r="K464" s="35"/>
      <c r="L464" s="35"/>
      <c r="M464" s="35"/>
      <c r="N464" s="35"/>
      <c r="O464" s="35"/>
      <c r="S464" s="25"/>
    </row>
    <row r="465" spans="4:19">
      <c r="D465" s="22"/>
      <c r="H465" s="25"/>
      <c r="I465" s="27"/>
      <c r="K465" s="35"/>
      <c r="L465" s="35"/>
      <c r="M465" s="35"/>
      <c r="N465" s="35"/>
      <c r="O465" s="35"/>
      <c r="S465" s="25"/>
    </row>
    <row r="466" spans="4:19">
      <c r="D466" s="22"/>
      <c r="H466" s="25"/>
      <c r="I466" s="27"/>
      <c r="K466" s="35"/>
      <c r="L466" s="35"/>
      <c r="M466" s="35"/>
      <c r="N466" s="35"/>
      <c r="O466" s="35"/>
      <c r="S466" s="25"/>
    </row>
    <row r="467" spans="4:19">
      <c r="D467" s="22"/>
      <c r="H467" s="25"/>
      <c r="I467" s="27"/>
      <c r="K467" s="35"/>
      <c r="L467" s="35"/>
      <c r="M467" s="35"/>
      <c r="N467" s="35"/>
      <c r="O467" s="35"/>
      <c r="S467" s="25"/>
    </row>
    <row r="468" spans="4:19">
      <c r="D468" s="22"/>
      <c r="H468" s="25"/>
      <c r="I468" s="27"/>
      <c r="K468" s="35"/>
      <c r="L468" s="35"/>
      <c r="M468" s="35"/>
      <c r="N468" s="35"/>
      <c r="O468" s="35"/>
      <c r="S468" s="25"/>
    </row>
    <row r="469" spans="4:19">
      <c r="D469" s="22"/>
      <c r="H469" s="25"/>
      <c r="I469" s="27"/>
      <c r="K469" s="35"/>
      <c r="L469" s="35"/>
      <c r="M469" s="35"/>
      <c r="N469" s="35"/>
      <c r="O469" s="35"/>
      <c r="S469" s="25"/>
    </row>
    <row r="470" spans="4:19">
      <c r="D470" s="22"/>
      <c r="H470" s="25"/>
      <c r="I470" s="27"/>
      <c r="K470" s="35"/>
      <c r="L470" s="35"/>
      <c r="M470" s="35"/>
      <c r="N470" s="35"/>
      <c r="O470" s="35"/>
      <c r="S470" s="25"/>
    </row>
    <row r="471" spans="4:19">
      <c r="D471" s="22"/>
      <c r="H471" s="25"/>
      <c r="I471" s="27"/>
      <c r="K471" s="35"/>
      <c r="L471" s="35"/>
      <c r="M471" s="35"/>
      <c r="N471" s="35"/>
      <c r="O471" s="35"/>
      <c r="S471" s="25"/>
    </row>
    <row r="472" spans="4:19">
      <c r="D472" s="22"/>
      <c r="H472" s="25"/>
      <c r="I472" s="27"/>
      <c r="K472" s="35"/>
      <c r="L472" s="35"/>
      <c r="M472" s="35"/>
      <c r="N472" s="35"/>
      <c r="O472" s="35"/>
      <c r="S472" s="25"/>
    </row>
    <row r="473" spans="4:19">
      <c r="D473" s="22"/>
      <c r="H473" s="25"/>
      <c r="I473" s="27"/>
      <c r="K473" s="35"/>
      <c r="L473" s="35"/>
      <c r="M473" s="35"/>
      <c r="N473" s="35"/>
      <c r="O473" s="35"/>
      <c r="S473" s="25"/>
    </row>
    <row r="474" spans="4:19">
      <c r="D474" s="22"/>
      <c r="H474" s="25"/>
      <c r="I474" s="27"/>
      <c r="K474" s="35"/>
      <c r="L474" s="35"/>
      <c r="M474" s="35"/>
      <c r="N474" s="35"/>
      <c r="O474" s="35"/>
      <c r="S474" s="25"/>
    </row>
    <row r="475" spans="4:19">
      <c r="D475" s="22"/>
      <c r="H475" s="25"/>
      <c r="I475" s="27"/>
      <c r="K475" s="35"/>
      <c r="L475" s="35"/>
      <c r="M475" s="35"/>
      <c r="N475" s="35"/>
      <c r="O475" s="35"/>
      <c r="S475" s="25"/>
    </row>
    <row r="476" spans="4:19">
      <c r="D476" s="22"/>
      <c r="H476" s="25"/>
      <c r="I476" s="27"/>
      <c r="K476" s="35"/>
      <c r="L476" s="35"/>
      <c r="M476" s="35"/>
      <c r="N476" s="35"/>
      <c r="O476" s="35"/>
      <c r="S476" s="25"/>
    </row>
    <row r="477" spans="4:19">
      <c r="D477" s="22"/>
      <c r="H477" s="25"/>
      <c r="I477" s="27"/>
      <c r="K477" s="35"/>
      <c r="L477" s="35"/>
      <c r="M477" s="35"/>
      <c r="N477" s="35"/>
      <c r="O477" s="35"/>
      <c r="S477" s="25"/>
    </row>
    <row r="478" spans="4:19">
      <c r="D478" s="22"/>
      <c r="H478" s="25"/>
      <c r="I478" s="27"/>
      <c r="K478" s="35"/>
      <c r="L478" s="35"/>
      <c r="M478" s="35"/>
      <c r="N478" s="35"/>
      <c r="O478" s="35"/>
      <c r="S478" s="25"/>
    </row>
    <row r="479" spans="4:19">
      <c r="D479" s="22"/>
      <c r="H479" s="25"/>
      <c r="I479" s="27"/>
      <c r="K479" s="35"/>
      <c r="L479" s="35"/>
      <c r="M479" s="35"/>
      <c r="N479" s="35"/>
      <c r="O479" s="35"/>
      <c r="S479" s="25"/>
    </row>
    <row r="480" spans="4:19">
      <c r="D480" s="22"/>
      <c r="H480" s="25"/>
      <c r="I480" s="27"/>
      <c r="K480" s="35"/>
      <c r="L480" s="35"/>
      <c r="M480" s="35"/>
      <c r="N480" s="35"/>
      <c r="O480" s="35"/>
      <c r="S480" s="25"/>
    </row>
    <row r="481" spans="4:19">
      <c r="D481" s="22"/>
      <c r="H481" s="25"/>
      <c r="I481" s="27"/>
      <c r="K481" s="35"/>
      <c r="L481" s="35"/>
      <c r="M481" s="35"/>
      <c r="N481" s="35"/>
      <c r="O481" s="35"/>
      <c r="S481" s="25"/>
    </row>
    <row r="482" spans="4:19">
      <c r="D482" s="22"/>
      <c r="H482" s="25"/>
      <c r="I482" s="27"/>
      <c r="K482" s="35"/>
      <c r="L482" s="35"/>
      <c r="M482" s="35"/>
      <c r="N482" s="35"/>
      <c r="O482" s="35"/>
      <c r="S482" s="25"/>
    </row>
    <row r="483" spans="4:19">
      <c r="D483" s="22"/>
      <c r="H483" s="25"/>
      <c r="I483" s="27"/>
      <c r="K483" s="35"/>
      <c r="L483" s="35"/>
      <c r="M483" s="35"/>
      <c r="N483" s="35"/>
      <c r="O483" s="35"/>
      <c r="S483" s="25"/>
    </row>
    <row r="484" spans="4:19">
      <c r="D484" s="22"/>
      <c r="H484" s="25"/>
      <c r="I484" s="27"/>
      <c r="K484" s="35"/>
      <c r="L484" s="35"/>
      <c r="M484" s="35"/>
      <c r="N484" s="35"/>
      <c r="O484" s="35"/>
      <c r="S484" s="25"/>
    </row>
    <row r="485" spans="4:19">
      <c r="D485" s="22"/>
      <c r="H485" s="25"/>
      <c r="I485" s="27"/>
      <c r="K485" s="35"/>
      <c r="L485" s="35"/>
      <c r="M485" s="35"/>
      <c r="N485" s="35"/>
      <c r="O485" s="35"/>
      <c r="S485" s="25"/>
    </row>
    <row r="486" spans="4:19">
      <c r="D486" s="22"/>
      <c r="H486" s="25"/>
      <c r="I486" s="27"/>
      <c r="K486" s="35"/>
      <c r="L486" s="35"/>
      <c r="M486" s="35"/>
      <c r="N486" s="35"/>
      <c r="O486" s="35"/>
      <c r="S486" s="25"/>
    </row>
    <row r="487" spans="4:19">
      <c r="D487" s="22"/>
      <c r="H487" s="25"/>
      <c r="I487" s="27"/>
      <c r="K487" s="35"/>
      <c r="L487" s="35"/>
      <c r="M487" s="35"/>
      <c r="N487" s="35"/>
      <c r="O487" s="35"/>
      <c r="S487" s="25"/>
    </row>
    <row r="488" spans="4:19">
      <c r="D488" s="22"/>
      <c r="H488" s="25"/>
      <c r="I488" s="27"/>
      <c r="K488" s="35"/>
      <c r="L488" s="35"/>
      <c r="M488" s="35"/>
      <c r="N488" s="35"/>
      <c r="O488" s="35"/>
      <c r="S488" s="25"/>
    </row>
    <row r="489" spans="4:19">
      <c r="D489" s="22"/>
      <c r="H489" s="25"/>
      <c r="I489" s="27"/>
      <c r="K489" s="35"/>
      <c r="L489" s="35"/>
      <c r="M489" s="35"/>
      <c r="N489" s="35"/>
      <c r="O489" s="35"/>
      <c r="S489" s="25"/>
    </row>
    <row r="490" spans="4:19">
      <c r="D490" s="22"/>
      <c r="H490" s="25"/>
      <c r="I490" s="27"/>
      <c r="K490" s="35"/>
      <c r="L490" s="35"/>
      <c r="M490" s="35"/>
      <c r="N490" s="35"/>
      <c r="O490" s="35"/>
      <c r="S490" s="25"/>
    </row>
    <row r="491" spans="4:19">
      <c r="D491" s="22"/>
      <c r="H491" s="25"/>
      <c r="I491" s="27"/>
      <c r="K491" s="35"/>
      <c r="L491" s="35"/>
      <c r="M491" s="35"/>
      <c r="N491" s="35"/>
      <c r="O491" s="35"/>
      <c r="S491" s="25"/>
    </row>
    <row r="492" spans="4:19">
      <c r="D492" s="22"/>
      <c r="H492" s="25"/>
      <c r="I492" s="27"/>
      <c r="K492" s="35"/>
      <c r="L492" s="35"/>
      <c r="M492" s="35"/>
      <c r="N492" s="35"/>
      <c r="O492" s="35"/>
      <c r="S492" s="25"/>
    </row>
    <row r="493" spans="4:19">
      <c r="D493" s="22"/>
      <c r="H493" s="25"/>
      <c r="I493" s="27"/>
      <c r="K493" s="35"/>
      <c r="L493" s="35"/>
      <c r="M493" s="35"/>
      <c r="N493" s="35"/>
      <c r="O493" s="35"/>
      <c r="S493" s="25"/>
    </row>
    <row r="494" spans="4:19">
      <c r="D494" s="22"/>
      <c r="H494" s="25"/>
      <c r="I494" s="27"/>
      <c r="K494" s="35"/>
      <c r="L494" s="35"/>
      <c r="M494" s="35"/>
      <c r="N494" s="35"/>
      <c r="O494" s="35"/>
      <c r="S494" s="25"/>
    </row>
    <row r="495" spans="4:19">
      <c r="D495" s="22"/>
      <c r="H495" s="25"/>
      <c r="I495" s="27"/>
      <c r="K495" s="35"/>
      <c r="L495" s="35"/>
      <c r="M495" s="35"/>
      <c r="N495" s="35"/>
      <c r="O495" s="35"/>
      <c r="S495" s="25"/>
    </row>
    <row r="496" spans="4:19">
      <c r="D496" s="22"/>
      <c r="H496" s="25"/>
      <c r="I496" s="27"/>
      <c r="K496" s="35"/>
      <c r="L496" s="35"/>
      <c r="M496" s="35"/>
      <c r="N496" s="35"/>
      <c r="O496" s="35"/>
      <c r="S496" s="25"/>
    </row>
    <row r="497" spans="4:19">
      <c r="D497" s="22"/>
      <c r="H497" s="25"/>
      <c r="I497" s="27"/>
      <c r="K497" s="35"/>
      <c r="L497" s="35"/>
      <c r="M497" s="35"/>
      <c r="N497" s="35"/>
      <c r="O497" s="35"/>
      <c r="S497" s="25"/>
    </row>
    <row r="498" spans="4:19">
      <c r="D498" s="22"/>
      <c r="H498" s="25"/>
      <c r="I498" s="27"/>
      <c r="K498" s="35"/>
      <c r="L498" s="35"/>
      <c r="M498" s="35"/>
      <c r="N498" s="35"/>
      <c r="O498" s="35"/>
      <c r="S498" s="25"/>
    </row>
    <row r="499" spans="4:19">
      <c r="D499" s="22"/>
      <c r="H499" s="25"/>
      <c r="I499" s="27"/>
      <c r="K499" s="35"/>
      <c r="L499" s="35"/>
      <c r="M499" s="35"/>
      <c r="N499" s="35"/>
      <c r="O499" s="35"/>
      <c r="S499" s="25"/>
    </row>
    <row r="500" spans="4:19">
      <c r="D500" s="22"/>
      <c r="H500" s="25"/>
      <c r="I500" s="27"/>
      <c r="K500" s="35"/>
      <c r="L500" s="35"/>
      <c r="M500" s="35"/>
      <c r="N500" s="35"/>
      <c r="O500" s="35"/>
      <c r="S500" s="25"/>
    </row>
    <row r="501" spans="4:19">
      <c r="D501" s="22"/>
      <c r="H501" s="25"/>
      <c r="I501" s="27"/>
      <c r="K501" s="35"/>
      <c r="L501" s="35"/>
      <c r="M501" s="35"/>
      <c r="N501" s="35"/>
      <c r="O501" s="35"/>
    </row>
    <row r="502" spans="4:19">
      <c r="D502" s="22"/>
      <c r="H502" s="25"/>
      <c r="I502" s="27"/>
      <c r="K502" s="35"/>
      <c r="L502" s="35"/>
      <c r="M502" s="35"/>
      <c r="N502" s="35"/>
      <c r="O502" s="35"/>
    </row>
    <row r="503" spans="4:19">
      <c r="D503" s="22"/>
      <c r="H503" s="25"/>
      <c r="I503" s="27"/>
      <c r="K503" s="35"/>
      <c r="L503" s="35"/>
      <c r="M503" s="35"/>
      <c r="N503" s="35"/>
      <c r="O503" s="35"/>
    </row>
    <row r="504" spans="4:19">
      <c r="D504" s="22"/>
      <c r="H504" s="25"/>
      <c r="I504" s="27"/>
      <c r="K504" s="35"/>
      <c r="L504" s="35"/>
      <c r="M504" s="35"/>
      <c r="N504" s="35"/>
      <c r="O504" s="35"/>
    </row>
    <row r="505" spans="4:19">
      <c r="D505" s="22"/>
      <c r="H505" s="25"/>
      <c r="I505" s="27"/>
      <c r="K505" s="35"/>
      <c r="L505" s="35"/>
      <c r="M505" s="35"/>
      <c r="N505" s="35"/>
      <c r="O505" s="35"/>
    </row>
    <row r="506" spans="4:19">
      <c r="D506" s="22"/>
      <c r="H506" s="25"/>
      <c r="I506" s="27"/>
      <c r="K506" s="35"/>
      <c r="L506" s="35"/>
      <c r="M506" s="35"/>
      <c r="N506" s="35"/>
      <c r="O506" s="35"/>
    </row>
    <row r="507" spans="4:19">
      <c r="D507" s="22"/>
      <c r="H507" s="25"/>
      <c r="I507" s="27"/>
      <c r="K507" s="35"/>
      <c r="L507" s="35"/>
      <c r="M507" s="35"/>
      <c r="N507" s="35"/>
      <c r="O507" s="35"/>
    </row>
    <row r="508" spans="4:19">
      <c r="D508" s="22"/>
      <c r="H508" s="25"/>
      <c r="I508" s="27"/>
      <c r="K508" s="35"/>
      <c r="L508" s="35"/>
      <c r="M508" s="35"/>
      <c r="N508" s="35"/>
      <c r="O508" s="35"/>
    </row>
    <row r="509" spans="4:19">
      <c r="D509" s="22"/>
      <c r="H509" s="25"/>
      <c r="I509" s="27"/>
      <c r="K509" s="35"/>
      <c r="L509" s="35"/>
      <c r="M509" s="35"/>
      <c r="N509" s="35"/>
      <c r="O509" s="35"/>
    </row>
    <row r="510" spans="4:19">
      <c r="D510" s="22"/>
      <c r="H510" s="25"/>
      <c r="I510" s="27"/>
      <c r="K510" s="35"/>
      <c r="L510" s="35"/>
      <c r="M510" s="35"/>
      <c r="N510" s="35"/>
      <c r="O510" s="35"/>
    </row>
    <row r="511" spans="4:19">
      <c r="D511" s="22"/>
      <c r="H511" s="25"/>
      <c r="I511" s="27"/>
      <c r="K511" s="35"/>
      <c r="L511" s="35"/>
      <c r="M511" s="35"/>
      <c r="N511" s="35"/>
      <c r="O511" s="35"/>
    </row>
    <row r="512" spans="4:19">
      <c r="D512" s="22"/>
      <c r="H512" s="25"/>
      <c r="I512" s="27"/>
      <c r="K512" s="35"/>
      <c r="L512" s="35"/>
      <c r="M512" s="35"/>
      <c r="N512" s="35"/>
      <c r="O512" s="35"/>
    </row>
    <row r="513" spans="4:15">
      <c r="D513" s="22"/>
      <c r="H513" s="25"/>
      <c r="I513" s="27"/>
      <c r="K513" s="35"/>
      <c r="L513" s="35"/>
      <c r="M513" s="35"/>
      <c r="N513" s="35"/>
      <c r="O513" s="35"/>
    </row>
    <row r="514" spans="4:15">
      <c r="D514" s="22"/>
      <c r="H514" s="25"/>
      <c r="I514" s="27"/>
      <c r="K514" s="35"/>
      <c r="L514" s="35"/>
      <c r="M514" s="35"/>
      <c r="N514" s="35"/>
      <c r="O514" s="35"/>
    </row>
    <row r="515" spans="4:15">
      <c r="D515" s="22"/>
      <c r="H515" s="25"/>
      <c r="I515" s="27"/>
      <c r="K515" s="35"/>
      <c r="L515" s="35"/>
      <c r="M515" s="35"/>
      <c r="N515" s="35"/>
      <c r="O515" s="35"/>
    </row>
    <row r="516" spans="4:15">
      <c r="D516" s="22"/>
      <c r="H516" s="25"/>
      <c r="I516" s="27"/>
      <c r="K516" s="35"/>
      <c r="L516" s="35"/>
      <c r="M516" s="35"/>
      <c r="N516" s="35"/>
      <c r="O516" s="35"/>
    </row>
    <row r="517" spans="4:15">
      <c r="D517" s="22"/>
      <c r="H517" s="25"/>
      <c r="I517" s="27"/>
      <c r="K517" s="35"/>
      <c r="L517" s="35"/>
      <c r="M517" s="35"/>
      <c r="N517" s="35"/>
      <c r="O517" s="35"/>
    </row>
    <row r="518" spans="4:15">
      <c r="D518" s="22"/>
      <c r="H518" s="25"/>
      <c r="I518" s="27"/>
      <c r="K518" s="35"/>
      <c r="L518" s="35"/>
      <c r="M518" s="35"/>
      <c r="N518" s="35"/>
      <c r="O518" s="35"/>
    </row>
    <row r="519" spans="4:15">
      <c r="D519" s="22"/>
      <c r="H519" s="25"/>
      <c r="I519" s="27"/>
      <c r="K519" s="35"/>
      <c r="L519" s="35"/>
      <c r="M519" s="35"/>
      <c r="N519" s="35"/>
      <c r="O519" s="35"/>
    </row>
    <row r="520" spans="4:15">
      <c r="D520" s="22"/>
      <c r="H520" s="25"/>
      <c r="I520" s="27"/>
      <c r="K520" s="35"/>
      <c r="L520" s="35"/>
      <c r="M520" s="35"/>
      <c r="N520" s="35"/>
      <c r="O520" s="35"/>
    </row>
    <row r="521" spans="4:15">
      <c r="D521" s="22"/>
      <c r="H521" s="25"/>
      <c r="I521" s="27"/>
      <c r="K521" s="35"/>
      <c r="L521" s="35"/>
      <c r="M521" s="35"/>
      <c r="N521" s="35"/>
      <c r="O521" s="35"/>
    </row>
    <row r="522" spans="4:15">
      <c r="D522" s="22"/>
      <c r="H522" s="25"/>
      <c r="I522" s="27"/>
      <c r="K522" s="35"/>
      <c r="L522" s="35"/>
      <c r="M522" s="35"/>
      <c r="N522" s="35"/>
      <c r="O522" s="35"/>
    </row>
    <row r="523" spans="4:15">
      <c r="D523" s="22"/>
      <c r="H523" s="25"/>
      <c r="I523" s="27"/>
      <c r="K523" s="35"/>
      <c r="L523" s="35"/>
      <c r="M523" s="35"/>
      <c r="N523" s="35"/>
      <c r="O523" s="35"/>
    </row>
    <row r="524" spans="4:15">
      <c r="D524" s="22"/>
      <c r="H524" s="25"/>
      <c r="I524" s="27"/>
      <c r="K524" s="35"/>
      <c r="L524" s="35"/>
      <c r="M524" s="35"/>
      <c r="N524" s="35"/>
      <c r="O524" s="35"/>
    </row>
    <row r="525" spans="4:15">
      <c r="D525" s="22"/>
      <c r="H525" s="25"/>
      <c r="I525" s="27"/>
      <c r="K525" s="35"/>
      <c r="L525" s="35"/>
      <c r="M525" s="35"/>
      <c r="N525" s="35"/>
      <c r="O525" s="35"/>
    </row>
    <row r="526" spans="4:15">
      <c r="D526" s="22"/>
      <c r="H526" s="25"/>
      <c r="I526" s="27"/>
      <c r="K526" s="35"/>
      <c r="L526" s="35"/>
      <c r="M526" s="35"/>
      <c r="N526" s="35"/>
      <c r="O526" s="35"/>
    </row>
    <row r="527" spans="4:15">
      <c r="D527" s="22"/>
      <c r="H527" s="25"/>
      <c r="I527" s="27"/>
      <c r="K527" s="35"/>
      <c r="L527" s="35"/>
      <c r="M527" s="35"/>
      <c r="N527" s="35"/>
      <c r="O527" s="35"/>
    </row>
    <row r="528" spans="4:15">
      <c r="D528" s="22"/>
      <c r="H528" s="25"/>
      <c r="I528" s="27"/>
      <c r="K528" s="35"/>
      <c r="L528" s="35"/>
      <c r="M528" s="35"/>
      <c r="N528" s="35"/>
      <c r="O528" s="35"/>
    </row>
    <row r="529" spans="4:15">
      <c r="D529" s="22"/>
      <c r="H529" s="25"/>
      <c r="I529" s="27"/>
      <c r="K529" s="35"/>
      <c r="L529" s="35"/>
      <c r="M529" s="35"/>
      <c r="N529" s="35"/>
      <c r="O529" s="35"/>
    </row>
    <row r="530" spans="4:15">
      <c r="D530" s="22"/>
      <c r="H530" s="25"/>
      <c r="I530" s="27"/>
      <c r="K530" s="35"/>
      <c r="L530" s="35"/>
      <c r="M530" s="35"/>
      <c r="N530" s="35"/>
      <c r="O530" s="35"/>
    </row>
    <row r="531" spans="4:15">
      <c r="D531" s="22"/>
      <c r="H531" s="25"/>
      <c r="I531" s="27"/>
      <c r="K531" s="35"/>
      <c r="L531" s="35"/>
      <c r="M531" s="35"/>
      <c r="N531" s="35"/>
      <c r="O531" s="35"/>
    </row>
    <row r="532" spans="4:15">
      <c r="D532" s="22"/>
      <c r="H532" s="25"/>
      <c r="I532" s="27"/>
      <c r="K532" s="35"/>
      <c r="L532" s="35"/>
      <c r="M532" s="35"/>
      <c r="N532" s="35"/>
      <c r="O532" s="35"/>
    </row>
    <row r="533" spans="4:15">
      <c r="D533" s="22"/>
      <c r="H533" s="25"/>
      <c r="I533" s="27"/>
      <c r="K533" s="35"/>
      <c r="L533" s="35"/>
      <c r="M533" s="35"/>
      <c r="N533" s="35"/>
      <c r="O533" s="35"/>
    </row>
    <row r="534" spans="4:15">
      <c r="D534" s="22"/>
      <c r="H534" s="25"/>
      <c r="I534" s="27"/>
      <c r="K534" s="35"/>
      <c r="L534" s="35"/>
      <c r="M534" s="35"/>
      <c r="N534" s="35"/>
      <c r="O534" s="35"/>
    </row>
    <row r="535" spans="4:15">
      <c r="D535" s="22"/>
      <c r="H535" s="25"/>
      <c r="I535" s="27"/>
      <c r="K535" s="35"/>
      <c r="L535" s="35"/>
      <c r="M535" s="35"/>
      <c r="N535" s="35"/>
      <c r="O535" s="35"/>
    </row>
    <row r="536" spans="4:15">
      <c r="D536" s="22"/>
      <c r="H536" s="25"/>
      <c r="I536" s="27"/>
      <c r="K536" s="35"/>
      <c r="L536" s="35"/>
      <c r="M536" s="35"/>
      <c r="N536" s="35"/>
      <c r="O536" s="35"/>
    </row>
    <row r="537" spans="4:15">
      <c r="D537" s="22"/>
      <c r="H537" s="25"/>
      <c r="I537" s="27"/>
      <c r="K537" s="35"/>
      <c r="L537" s="35"/>
      <c r="M537" s="35"/>
      <c r="N537" s="35"/>
      <c r="O537" s="35"/>
    </row>
    <row r="538" spans="4:15">
      <c r="D538" s="22"/>
      <c r="H538" s="25"/>
      <c r="I538" s="27"/>
      <c r="K538" s="35"/>
      <c r="L538" s="35"/>
      <c r="M538" s="35"/>
      <c r="N538" s="35"/>
      <c r="O538" s="35"/>
    </row>
    <row r="539" spans="4:15">
      <c r="D539" s="22"/>
      <c r="H539" s="25"/>
      <c r="I539" s="27"/>
      <c r="K539" s="35"/>
      <c r="L539" s="35"/>
      <c r="M539" s="35"/>
      <c r="N539" s="35"/>
      <c r="O539" s="35"/>
    </row>
    <row r="540" spans="4:15">
      <c r="D540" s="22"/>
      <c r="H540" s="25"/>
      <c r="I540" s="27"/>
      <c r="K540" s="35"/>
      <c r="L540" s="35"/>
      <c r="M540" s="35"/>
      <c r="N540" s="35"/>
      <c r="O540" s="35"/>
    </row>
    <row r="541" spans="4:15">
      <c r="D541" s="22"/>
      <c r="H541" s="25"/>
      <c r="I541" s="27"/>
      <c r="K541" s="35"/>
      <c r="L541" s="35"/>
      <c r="M541" s="35"/>
      <c r="N541" s="35"/>
      <c r="O541" s="35"/>
    </row>
    <row r="542" spans="4:15">
      <c r="D542" s="22"/>
      <c r="H542" s="25"/>
      <c r="I542" s="27"/>
      <c r="K542" s="35"/>
      <c r="L542" s="35"/>
      <c r="M542" s="35"/>
      <c r="N542" s="35"/>
      <c r="O542" s="35"/>
    </row>
    <row r="543" spans="4:15">
      <c r="D543" s="22"/>
      <c r="H543" s="25"/>
      <c r="I543" s="27"/>
      <c r="K543" s="35"/>
      <c r="L543" s="35"/>
      <c r="M543" s="35"/>
      <c r="N543" s="35"/>
      <c r="O543" s="35"/>
    </row>
    <row r="544" spans="4:15">
      <c r="D544" s="22"/>
      <c r="H544" s="25"/>
      <c r="I544" s="27"/>
      <c r="K544" s="35"/>
      <c r="L544" s="35"/>
      <c r="M544" s="35"/>
      <c r="N544" s="35"/>
      <c r="O544" s="35"/>
    </row>
    <row r="545" spans="4:15">
      <c r="D545" s="22"/>
      <c r="H545" s="25"/>
      <c r="I545" s="27"/>
      <c r="K545" s="35"/>
      <c r="L545" s="35"/>
      <c r="M545" s="35"/>
      <c r="N545" s="35"/>
      <c r="O545" s="35"/>
    </row>
    <row r="546" spans="4:15">
      <c r="D546" s="22"/>
      <c r="H546" s="25"/>
      <c r="I546" s="27"/>
      <c r="K546" s="35"/>
      <c r="L546" s="35"/>
      <c r="M546" s="35"/>
      <c r="N546" s="35"/>
      <c r="O546" s="35"/>
    </row>
    <row r="547" spans="4:15">
      <c r="D547" s="22"/>
      <c r="H547" s="25"/>
      <c r="I547" s="27"/>
      <c r="K547" s="35"/>
      <c r="L547" s="35"/>
      <c r="M547" s="35"/>
      <c r="N547" s="35"/>
      <c r="O547" s="35"/>
    </row>
    <row r="548" spans="4:15">
      <c r="D548" s="22"/>
      <c r="H548" s="25"/>
      <c r="I548" s="27"/>
      <c r="K548" s="35"/>
      <c r="L548" s="35"/>
      <c r="M548" s="35"/>
      <c r="N548" s="35"/>
      <c r="O548" s="35"/>
    </row>
    <row r="549" spans="4:15">
      <c r="D549" s="22"/>
      <c r="H549" s="25"/>
      <c r="I549" s="27"/>
      <c r="K549" s="35"/>
      <c r="L549" s="35"/>
      <c r="M549" s="35"/>
      <c r="N549" s="35"/>
      <c r="O549" s="35"/>
    </row>
    <row r="550" spans="4:15">
      <c r="D550" s="22"/>
      <c r="H550" s="25"/>
      <c r="I550" s="27"/>
      <c r="K550" s="35"/>
      <c r="L550" s="35"/>
      <c r="M550" s="35"/>
      <c r="N550" s="35"/>
      <c r="O550" s="35"/>
    </row>
    <row r="551" spans="4:15">
      <c r="D551" s="22"/>
      <c r="H551" s="25"/>
      <c r="I551" s="27"/>
      <c r="K551" s="35"/>
      <c r="L551" s="35"/>
      <c r="M551" s="35"/>
      <c r="N551" s="35"/>
      <c r="O551" s="35"/>
    </row>
    <row r="552" spans="4:15">
      <c r="D552" s="22"/>
      <c r="H552" s="25"/>
      <c r="I552" s="27"/>
      <c r="K552" s="35"/>
      <c r="L552" s="35"/>
      <c r="M552" s="35"/>
      <c r="N552" s="35"/>
      <c r="O552" s="35"/>
    </row>
  </sheetData>
  <mergeCells count="2">
    <mergeCell ref="A1:O1"/>
    <mergeCell ref="A2:O2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A9C15-F8CE-4AAC-B1C7-93026A33DAFF}">
  <sheetPr codeName="Sheet11"/>
  <dimension ref="A1:I1020"/>
  <sheetViews>
    <sheetView showGridLines="0" workbookViewId="0">
      <selection activeCell="D580" sqref="D580"/>
    </sheetView>
  </sheetViews>
  <sheetFormatPr defaultRowHeight="13.8"/>
  <cols>
    <col min="1" max="1" width="18.8984375" style="18" bestFit="1" customWidth="1"/>
    <col min="2" max="2" width="11.296875" style="18" bestFit="1" customWidth="1"/>
    <col min="3" max="3" width="45.8984375" style="18" bestFit="1" customWidth="1"/>
    <col min="4" max="4" width="12.296875" style="18" bestFit="1" customWidth="1"/>
    <col min="5" max="6" width="52.69921875" style="18" customWidth="1"/>
    <col min="7" max="7" width="55.69921875" style="18" customWidth="1"/>
    <col min="8" max="8" width="15.59765625" style="18" bestFit="1" customWidth="1"/>
    <col min="9" max="9" width="14.796875" style="18" bestFit="1" customWidth="1"/>
    <col min="10" max="16384" width="8.796875" style="18"/>
  </cols>
  <sheetData>
    <row r="1" spans="1:9" ht="15.6">
      <c r="A1" s="64" t="s">
        <v>531</v>
      </c>
      <c r="B1" s="64"/>
      <c r="C1" s="64"/>
      <c r="D1" s="64"/>
      <c r="E1" s="64"/>
      <c r="F1" s="64"/>
      <c r="G1" s="64"/>
      <c r="H1" s="64"/>
      <c r="I1" s="64"/>
    </row>
    <row r="2" spans="1:9">
      <c r="A2" s="65" t="s">
        <v>532</v>
      </c>
      <c r="B2" s="65"/>
      <c r="C2" s="65"/>
      <c r="D2" s="65"/>
      <c r="E2" s="65"/>
      <c r="F2" s="65"/>
      <c r="G2" s="65"/>
      <c r="H2" s="65"/>
      <c r="I2" s="65"/>
    </row>
    <row r="3" spans="1:9">
      <c r="A3" s="19" t="s">
        <v>524</v>
      </c>
      <c r="B3" s="19" t="s">
        <v>476</v>
      </c>
      <c r="C3" s="19" t="s">
        <v>477</v>
      </c>
      <c r="D3" s="28" t="s">
        <v>533</v>
      </c>
      <c r="E3" s="19" t="s">
        <v>534</v>
      </c>
      <c r="F3" s="19" t="s">
        <v>535</v>
      </c>
      <c r="G3" s="19" t="s">
        <v>536</v>
      </c>
      <c r="H3" s="19" t="s">
        <v>537</v>
      </c>
      <c r="I3" s="24" t="s">
        <v>528</v>
      </c>
    </row>
    <row r="4" spans="1:9" hidden="1">
      <c r="A4" s="37" t="s">
        <v>625</v>
      </c>
      <c r="B4" s="37" t="s">
        <v>483</v>
      </c>
      <c r="C4" s="37" t="s">
        <v>484</v>
      </c>
      <c r="D4" s="41">
        <v>10</v>
      </c>
      <c r="E4" s="43" t="s">
        <v>629</v>
      </c>
      <c r="F4" s="43" t="s">
        <v>630</v>
      </c>
      <c r="G4" s="43" t="s">
        <v>628</v>
      </c>
      <c r="H4" s="37" t="s">
        <v>21</v>
      </c>
      <c r="I4" s="39">
        <v>46227.500069444446</v>
      </c>
    </row>
    <row r="5" spans="1:9" hidden="1">
      <c r="A5" s="37" t="s">
        <v>625</v>
      </c>
      <c r="B5" s="37" t="s">
        <v>488</v>
      </c>
      <c r="C5" s="37" t="s">
        <v>489</v>
      </c>
      <c r="D5" s="41">
        <v>10</v>
      </c>
      <c r="E5" s="43" t="s">
        <v>629</v>
      </c>
      <c r="F5" s="43" t="s">
        <v>630</v>
      </c>
      <c r="G5" s="43" t="s">
        <v>628</v>
      </c>
      <c r="H5" s="37" t="s">
        <v>21</v>
      </c>
      <c r="I5" s="39">
        <v>46227.500069444446</v>
      </c>
    </row>
    <row r="6" spans="1:9" hidden="1">
      <c r="A6" s="37" t="s">
        <v>625</v>
      </c>
      <c r="B6" s="37" t="s">
        <v>491</v>
      </c>
      <c r="C6" s="37" t="s">
        <v>492</v>
      </c>
      <c r="D6" s="41">
        <v>10</v>
      </c>
      <c r="E6" s="43" t="s">
        <v>629</v>
      </c>
      <c r="F6" s="43" t="s">
        <v>630</v>
      </c>
      <c r="G6" s="43" t="s">
        <v>628</v>
      </c>
      <c r="H6" s="37" t="s">
        <v>21</v>
      </c>
      <c r="I6" s="39">
        <v>46227.500069444446</v>
      </c>
    </row>
    <row r="7" spans="1:9" hidden="1">
      <c r="A7" s="37" t="s">
        <v>625</v>
      </c>
      <c r="B7" s="37" t="s">
        <v>496</v>
      </c>
      <c r="C7" s="37" t="s">
        <v>497</v>
      </c>
      <c r="D7" s="41">
        <v>10</v>
      </c>
      <c r="E7" s="43" t="s">
        <v>629</v>
      </c>
      <c r="F7" s="43" t="s">
        <v>630</v>
      </c>
      <c r="G7" s="43" t="s">
        <v>628</v>
      </c>
      <c r="H7" s="37" t="s">
        <v>21</v>
      </c>
      <c r="I7" s="39">
        <v>46227.500069444446</v>
      </c>
    </row>
    <row r="8" spans="1:9" hidden="1">
      <c r="A8" s="37" t="s">
        <v>625</v>
      </c>
      <c r="B8" s="37" t="s">
        <v>500</v>
      </c>
      <c r="C8" s="37" t="s">
        <v>501</v>
      </c>
      <c r="D8" s="41">
        <v>9</v>
      </c>
      <c r="E8" s="43" t="s">
        <v>629</v>
      </c>
      <c r="F8" s="43" t="s">
        <v>630</v>
      </c>
      <c r="G8" s="43" t="s">
        <v>628</v>
      </c>
      <c r="H8" s="37" t="s">
        <v>21</v>
      </c>
      <c r="I8" s="39">
        <v>46227.500069444446</v>
      </c>
    </row>
    <row r="9" spans="1:9" hidden="1">
      <c r="A9" s="37" t="s">
        <v>625</v>
      </c>
      <c r="B9" s="37" t="s">
        <v>504</v>
      </c>
      <c r="C9" s="37" t="s">
        <v>505</v>
      </c>
      <c r="D9" s="41">
        <v>8</v>
      </c>
      <c r="E9" s="43" t="s">
        <v>629</v>
      </c>
      <c r="F9" s="43" t="s">
        <v>630</v>
      </c>
      <c r="G9" s="43" t="s">
        <v>628</v>
      </c>
      <c r="H9" s="37" t="s">
        <v>21</v>
      </c>
      <c r="I9" s="39">
        <v>46227.500069444446</v>
      </c>
    </row>
    <row r="10" spans="1:9" hidden="1">
      <c r="A10" s="37" t="s">
        <v>625</v>
      </c>
      <c r="B10" s="37" t="s">
        <v>509</v>
      </c>
      <c r="C10" s="37" t="s">
        <v>510</v>
      </c>
      <c r="D10" s="41">
        <v>10</v>
      </c>
      <c r="E10" s="43" t="s">
        <v>629</v>
      </c>
      <c r="F10" s="43" t="s">
        <v>630</v>
      </c>
      <c r="G10" s="43" t="s">
        <v>628</v>
      </c>
      <c r="H10" s="37" t="s">
        <v>21</v>
      </c>
      <c r="I10" s="39">
        <v>46227.500069444446</v>
      </c>
    </row>
    <row r="11" spans="1:9" hidden="1">
      <c r="A11" s="37" t="s">
        <v>625</v>
      </c>
      <c r="B11" s="37" t="s">
        <v>513</v>
      </c>
      <c r="C11" s="37" t="s">
        <v>514</v>
      </c>
      <c r="D11" s="41">
        <v>9.5</v>
      </c>
      <c r="E11" s="43" t="s">
        <v>629</v>
      </c>
      <c r="F11" s="43" t="s">
        <v>630</v>
      </c>
      <c r="G11" s="43" t="s">
        <v>628</v>
      </c>
      <c r="H11" s="37" t="s">
        <v>21</v>
      </c>
      <c r="I11" s="39">
        <v>46227.500069444446</v>
      </c>
    </row>
    <row r="12" spans="1:9" hidden="1">
      <c r="A12" s="37" t="s">
        <v>625</v>
      </c>
      <c r="B12" s="37" t="s">
        <v>517</v>
      </c>
      <c r="C12" s="37" t="s">
        <v>518</v>
      </c>
      <c r="D12" s="41">
        <v>10</v>
      </c>
      <c r="E12" s="43" t="s">
        <v>629</v>
      </c>
      <c r="F12" s="43" t="s">
        <v>630</v>
      </c>
      <c r="G12" s="43" t="s">
        <v>628</v>
      </c>
      <c r="H12" s="37" t="s">
        <v>21</v>
      </c>
      <c r="I12" s="39">
        <v>46227.500069444446</v>
      </c>
    </row>
    <row r="13" spans="1:9" hidden="1">
      <c r="A13" s="37" t="s">
        <v>625</v>
      </c>
      <c r="B13" s="37" t="s">
        <v>520</v>
      </c>
      <c r="C13" s="37" t="s">
        <v>521</v>
      </c>
      <c r="D13" s="41">
        <v>10</v>
      </c>
      <c r="E13" s="43" t="s">
        <v>629</v>
      </c>
      <c r="F13" s="43" t="s">
        <v>630</v>
      </c>
      <c r="G13" s="43" t="s">
        <v>628</v>
      </c>
      <c r="H13" s="37" t="s">
        <v>21</v>
      </c>
      <c r="I13" s="39">
        <v>46227.500069444446</v>
      </c>
    </row>
    <row r="14" spans="1:9" hidden="1">
      <c r="A14" s="37" t="s">
        <v>631</v>
      </c>
      <c r="B14" s="37" t="s">
        <v>483</v>
      </c>
      <c r="C14" s="37" t="s">
        <v>484</v>
      </c>
      <c r="D14" s="41">
        <v>10</v>
      </c>
      <c r="E14" s="43" t="s">
        <v>629</v>
      </c>
      <c r="F14" s="43" t="s">
        <v>630</v>
      </c>
      <c r="G14" s="43" t="s">
        <v>633</v>
      </c>
      <c r="H14" s="37" t="s">
        <v>21</v>
      </c>
      <c r="I14" s="39">
        <v>46227.500081018516</v>
      </c>
    </row>
    <row r="15" spans="1:9" hidden="1">
      <c r="A15" s="37" t="s">
        <v>631</v>
      </c>
      <c r="B15" s="37" t="s">
        <v>488</v>
      </c>
      <c r="C15" s="37" t="s">
        <v>489</v>
      </c>
      <c r="D15" s="41">
        <v>10</v>
      </c>
      <c r="E15" s="43" t="s">
        <v>629</v>
      </c>
      <c r="F15" s="43" t="s">
        <v>630</v>
      </c>
      <c r="G15" s="43" t="s">
        <v>633</v>
      </c>
      <c r="H15" s="37" t="s">
        <v>21</v>
      </c>
      <c r="I15" s="39">
        <v>46227.500081018516</v>
      </c>
    </row>
    <row r="16" spans="1:9" hidden="1">
      <c r="A16" s="37" t="s">
        <v>631</v>
      </c>
      <c r="B16" s="37" t="s">
        <v>491</v>
      </c>
      <c r="C16" s="37" t="s">
        <v>492</v>
      </c>
      <c r="D16" s="41">
        <v>10</v>
      </c>
      <c r="E16" s="43" t="s">
        <v>629</v>
      </c>
      <c r="F16" s="43" t="s">
        <v>630</v>
      </c>
      <c r="G16" s="43" t="s">
        <v>633</v>
      </c>
      <c r="H16" s="37" t="s">
        <v>21</v>
      </c>
      <c r="I16" s="39">
        <v>46227.500081018516</v>
      </c>
    </row>
    <row r="17" spans="1:9" hidden="1">
      <c r="A17" s="37" t="s">
        <v>631</v>
      </c>
      <c r="B17" s="37" t="s">
        <v>496</v>
      </c>
      <c r="C17" s="37" t="s">
        <v>497</v>
      </c>
      <c r="D17" s="41">
        <v>9.5</v>
      </c>
      <c r="E17" s="43" t="s">
        <v>629</v>
      </c>
      <c r="F17" s="43" t="s">
        <v>630</v>
      </c>
      <c r="G17" s="43" t="s">
        <v>633</v>
      </c>
      <c r="H17" s="37" t="s">
        <v>21</v>
      </c>
      <c r="I17" s="39">
        <v>46227.500081018516</v>
      </c>
    </row>
    <row r="18" spans="1:9" hidden="1">
      <c r="A18" s="37" t="s">
        <v>631</v>
      </c>
      <c r="B18" s="37" t="s">
        <v>500</v>
      </c>
      <c r="C18" s="37" t="s">
        <v>501</v>
      </c>
      <c r="D18" s="41">
        <v>4</v>
      </c>
      <c r="E18" s="43" t="s">
        <v>629</v>
      </c>
      <c r="F18" s="43" t="s">
        <v>630</v>
      </c>
      <c r="G18" s="43" t="s">
        <v>633</v>
      </c>
      <c r="H18" s="37" t="s">
        <v>21</v>
      </c>
      <c r="I18" s="39">
        <v>46227.500081018516</v>
      </c>
    </row>
    <row r="19" spans="1:9" hidden="1">
      <c r="A19" s="37" t="s">
        <v>631</v>
      </c>
      <c r="B19" s="37" t="s">
        <v>504</v>
      </c>
      <c r="C19" s="37" t="s">
        <v>505</v>
      </c>
      <c r="D19" s="41">
        <v>7.5</v>
      </c>
      <c r="E19" s="43" t="s">
        <v>629</v>
      </c>
      <c r="F19" s="43" t="s">
        <v>630</v>
      </c>
      <c r="G19" s="43" t="s">
        <v>633</v>
      </c>
      <c r="H19" s="37" t="s">
        <v>21</v>
      </c>
      <c r="I19" s="39">
        <v>46227.500081018516</v>
      </c>
    </row>
    <row r="20" spans="1:9" hidden="1">
      <c r="A20" s="37" t="s">
        <v>631</v>
      </c>
      <c r="B20" s="37" t="s">
        <v>509</v>
      </c>
      <c r="C20" s="37" t="s">
        <v>510</v>
      </c>
      <c r="D20" s="41">
        <v>10</v>
      </c>
      <c r="E20" s="43" t="s">
        <v>629</v>
      </c>
      <c r="F20" s="43" t="s">
        <v>630</v>
      </c>
      <c r="G20" s="43" t="s">
        <v>633</v>
      </c>
      <c r="H20" s="37" t="s">
        <v>21</v>
      </c>
      <c r="I20" s="39">
        <v>46227.500081018516</v>
      </c>
    </row>
    <row r="21" spans="1:9" hidden="1">
      <c r="A21" s="37" t="s">
        <v>631</v>
      </c>
      <c r="B21" s="37" t="s">
        <v>513</v>
      </c>
      <c r="C21" s="37" t="s">
        <v>514</v>
      </c>
      <c r="D21" s="41">
        <v>10</v>
      </c>
      <c r="E21" s="43" t="s">
        <v>629</v>
      </c>
      <c r="F21" s="43" t="s">
        <v>630</v>
      </c>
      <c r="G21" s="43" t="s">
        <v>633</v>
      </c>
      <c r="H21" s="37" t="s">
        <v>21</v>
      </c>
      <c r="I21" s="39">
        <v>46227.500081018516</v>
      </c>
    </row>
    <row r="22" spans="1:9" hidden="1">
      <c r="A22" s="37" t="s">
        <v>631</v>
      </c>
      <c r="B22" s="37" t="s">
        <v>517</v>
      </c>
      <c r="C22" s="37" t="s">
        <v>518</v>
      </c>
      <c r="D22" s="41">
        <v>9.5</v>
      </c>
      <c r="E22" s="43" t="s">
        <v>629</v>
      </c>
      <c r="F22" s="43" t="s">
        <v>630</v>
      </c>
      <c r="G22" s="43" t="s">
        <v>633</v>
      </c>
      <c r="H22" s="37" t="s">
        <v>21</v>
      </c>
      <c r="I22" s="39">
        <v>46227.500081018516</v>
      </c>
    </row>
    <row r="23" spans="1:9" hidden="1">
      <c r="A23" s="37" t="s">
        <v>631</v>
      </c>
      <c r="B23" s="37" t="s">
        <v>520</v>
      </c>
      <c r="C23" s="37" t="s">
        <v>521</v>
      </c>
      <c r="D23" s="41">
        <v>9.5</v>
      </c>
      <c r="E23" s="43" t="s">
        <v>629</v>
      </c>
      <c r="F23" s="43" t="s">
        <v>630</v>
      </c>
      <c r="G23" s="43" t="s">
        <v>633</v>
      </c>
      <c r="H23" s="37" t="s">
        <v>21</v>
      </c>
      <c r="I23" s="39">
        <v>46227.500081018516</v>
      </c>
    </row>
    <row r="24" spans="1:9" hidden="1">
      <c r="A24" s="37" t="s">
        <v>634</v>
      </c>
      <c r="B24" s="37" t="s">
        <v>483</v>
      </c>
      <c r="C24" s="37" t="s">
        <v>484</v>
      </c>
      <c r="D24" s="41">
        <v>9</v>
      </c>
      <c r="E24" s="43" t="s">
        <v>629</v>
      </c>
      <c r="F24" s="43" t="s">
        <v>630</v>
      </c>
      <c r="G24" s="43" t="s">
        <v>636</v>
      </c>
      <c r="H24" s="37" t="s">
        <v>21</v>
      </c>
      <c r="I24" s="39">
        <v>46227.500092592592</v>
      </c>
    </row>
    <row r="25" spans="1:9" hidden="1">
      <c r="A25" s="37" t="s">
        <v>634</v>
      </c>
      <c r="B25" s="37" t="s">
        <v>488</v>
      </c>
      <c r="C25" s="37" t="s">
        <v>489</v>
      </c>
      <c r="D25" s="41">
        <v>10</v>
      </c>
      <c r="E25" s="43" t="s">
        <v>629</v>
      </c>
      <c r="F25" s="43" t="s">
        <v>630</v>
      </c>
      <c r="G25" s="43" t="s">
        <v>636</v>
      </c>
      <c r="H25" s="37" t="s">
        <v>21</v>
      </c>
      <c r="I25" s="39">
        <v>46227.500092592592</v>
      </c>
    </row>
    <row r="26" spans="1:9" hidden="1">
      <c r="A26" s="37" t="s">
        <v>634</v>
      </c>
      <c r="B26" s="37" t="s">
        <v>491</v>
      </c>
      <c r="C26" s="37" t="s">
        <v>492</v>
      </c>
      <c r="D26" s="41">
        <v>10</v>
      </c>
      <c r="E26" s="43" t="s">
        <v>629</v>
      </c>
      <c r="F26" s="43" t="s">
        <v>630</v>
      </c>
      <c r="G26" s="43" t="s">
        <v>636</v>
      </c>
      <c r="H26" s="37" t="s">
        <v>21</v>
      </c>
      <c r="I26" s="39">
        <v>46227.500092592592</v>
      </c>
    </row>
    <row r="27" spans="1:9" hidden="1">
      <c r="A27" s="37" t="s">
        <v>634</v>
      </c>
      <c r="B27" s="37" t="s">
        <v>496</v>
      </c>
      <c r="C27" s="37" t="s">
        <v>497</v>
      </c>
      <c r="D27" s="41">
        <v>10</v>
      </c>
      <c r="E27" s="43" t="s">
        <v>629</v>
      </c>
      <c r="F27" s="43" t="s">
        <v>630</v>
      </c>
      <c r="G27" s="43" t="s">
        <v>636</v>
      </c>
      <c r="H27" s="37" t="s">
        <v>21</v>
      </c>
      <c r="I27" s="39">
        <v>46227.500092592592</v>
      </c>
    </row>
    <row r="28" spans="1:9" hidden="1">
      <c r="A28" s="37" t="s">
        <v>634</v>
      </c>
      <c r="B28" s="37" t="s">
        <v>500</v>
      </c>
      <c r="C28" s="37" t="s">
        <v>501</v>
      </c>
      <c r="D28" s="41">
        <v>6</v>
      </c>
      <c r="E28" s="43" t="s">
        <v>629</v>
      </c>
      <c r="F28" s="43" t="s">
        <v>630</v>
      </c>
      <c r="G28" s="43" t="s">
        <v>636</v>
      </c>
      <c r="H28" s="37" t="s">
        <v>21</v>
      </c>
      <c r="I28" s="39">
        <v>46227.500092592592</v>
      </c>
    </row>
    <row r="29" spans="1:9" hidden="1">
      <c r="A29" s="37" t="s">
        <v>634</v>
      </c>
      <c r="B29" s="37" t="s">
        <v>504</v>
      </c>
      <c r="C29" s="37" t="s">
        <v>505</v>
      </c>
      <c r="D29" s="41">
        <v>9</v>
      </c>
      <c r="E29" s="43" t="s">
        <v>629</v>
      </c>
      <c r="F29" s="43" t="s">
        <v>630</v>
      </c>
      <c r="G29" s="43" t="s">
        <v>636</v>
      </c>
      <c r="H29" s="37" t="s">
        <v>21</v>
      </c>
      <c r="I29" s="39">
        <v>46227.500092592592</v>
      </c>
    </row>
    <row r="30" spans="1:9" hidden="1">
      <c r="A30" s="37" t="s">
        <v>634</v>
      </c>
      <c r="B30" s="37" t="s">
        <v>509</v>
      </c>
      <c r="C30" s="37" t="s">
        <v>510</v>
      </c>
      <c r="D30" s="41">
        <v>10</v>
      </c>
      <c r="E30" s="43" t="s">
        <v>629</v>
      </c>
      <c r="F30" s="43" t="s">
        <v>630</v>
      </c>
      <c r="G30" s="43" t="s">
        <v>636</v>
      </c>
      <c r="H30" s="37" t="s">
        <v>21</v>
      </c>
      <c r="I30" s="39">
        <v>46227.500092592592</v>
      </c>
    </row>
    <row r="31" spans="1:9" hidden="1">
      <c r="A31" s="37" t="s">
        <v>634</v>
      </c>
      <c r="B31" s="37" t="s">
        <v>513</v>
      </c>
      <c r="C31" s="37" t="s">
        <v>514</v>
      </c>
      <c r="D31" s="41">
        <v>7</v>
      </c>
      <c r="E31" s="43" t="s">
        <v>629</v>
      </c>
      <c r="F31" s="43" t="s">
        <v>630</v>
      </c>
      <c r="G31" s="43" t="s">
        <v>636</v>
      </c>
      <c r="H31" s="37" t="s">
        <v>21</v>
      </c>
      <c r="I31" s="39">
        <v>46227.500092592592</v>
      </c>
    </row>
    <row r="32" spans="1:9" hidden="1">
      <c r="A32" s="37" t="s">
        <v>634</v>
      </c>
      <c r="B32" s="37" t="s">
        <v>517</v>
      </c>
      <c r="C32" s="37" t="s">
        <v>518</v>
      </c>
      <c r="D32" s="41">
        <v>8</v>
      </c>
      <c r="E32" s="43" t="s">
        <v>629</v>
      </c>
      <c r="F32" s="43" t="s">
        <v>630</v>
      </c>
      <c r="G32" s="43" t="s">
        <v>636</v>
      </c>
      <c r="H32" s="37" t="s">
        <v>21</v>
      </c>
      <c r="I32" s="39">
        <v>46227.500092592592</v>
      </c>
    </row>
    <row r="33" spans="1:9" hidden="1">
      <c r="A33" s="37" t="s">
        <v>634</v>
      </c>
      <c r="B33" s="37" t="s">
        <v>520</v>
      </c>
      <c r="C33" s="37" t="s">
        <v>521</v>
      </c>
      <c r="D33" s="41">
        <v>8</v>
      </c>
      <c r="E33" s="43" t="s">
        <v>629</v>
      </c>
      <c r="F33" s="43" t="s">
        <v>630</v>
      </c>
      <c r="G33" s="43" t="s">
        <v>636</v>
      </c>
      <c r="H33" s="37" t="s">
        <v>21</v>
      </c>
      <c r="I33" s="39">
        <v>46227.500092592592</v>
      </c>
    </row>
    <row r="34" spans="1:9" hidden="1">
      <c r="A34" s="37" t="s">
        <v>637</v>
      </c>
      <c r="B34" s="37" t="s">
        <v>483</v>
      </c>
      <c r="C34" s="37" t="s">
        <v>484</v>
      </c>
      <c r="D34" s="41">
        <v>10</v>
      </c>
      <c r="E34" s="43" t="s">
        <v>629</v>
      </c>
      <c r="F34" s="43" t="s">
        <v>630</v>
      </c>
      <c r="G34" s="43" t="s">
        <v>619</v>
      </c>
      <c r="H34" s="37" t="s">
        <v>21</v>
      </c>
      <c r="I34" s="39">
        <v>46227.500104166669</v>
      </c>
    </row>
    <row r="35" spans="1:9" hidden="1">
      <c r="A35" s="37" t="s">
        <v>637</v>
      </c>
      <c r="B35" s="37" t="s">
        <v>488</v>
      </c>
      <c r="C35" s="37" t="s">
        <v>489</v>
      </c>
      <c r="D35" s="41">
        <v>10</v>
      </c>
      <c r="E35" s="43" t="s">
        <v>629</v>
      </c>
      <c r="F35" s="43" t="s">
        <v>630</v>
      </c>
      <c r="G35" s="43" t="s">
        <v>619</v>
      </c>
      <c r="H35" s="37" t="s">
        <v>21</v>
      </c>
      <c r="I35" s="39">
        <v>46227.500104166669</v>
      </c>
    </row>
    <row r="36" spans="1:9" hidden="1">
      <c r="A36" s="37" t="s">
        <v>637</v>
      </c>
      <c r="B36" s="37" t="s">
        <v>491</v>
      </c>
      <c r="C36" s="37" t="s">
        <v>492</v>
      </c>
      <c r="D36" s="41">
        <v>8</v>
      </c>
      <c r="E36" s="43" t="s">
        <v>629</v>
      </c>
      <c r="F36" s="43" t="s">
        <v>630</v>
      </c>
      <c r="G36" s="43" t="s">
        <v>619</v>
      </c>
      <c r="H36" s="37" t="s">
        <v>21</v>
      </c>
      <c r="I36" s="39">
        <v>46227.500104166669</v>
      </c>
    </row>
    <row r="37" spans="1:9" hidden="1">
      <c r="A37" s="37" t="s">
        <v>637</v>
      </c>
      <c r="B37" s="37" t="s">
        <v>496</v>
      </c>
      <c r="C37" s="37" t="s">
        <v>497</v>
      </c>
      <c r="D37" s="41">
        <v>9</v>
      </c>
      <c r="E37" s="43" t="s">
        <v>629</v>
      </c>
      <c r="F37" s="43" t="s">
        <v>630</v>
      </c>
      <c r="G37" s="43" t="s">
        <v>619</v>
      </c>
      <c r="H37" s="37" t="s">
        <v>21</v>
      </c>
      <c r="I37" s="39">
        <v>46227.500104166669</v>
      </c>
    </row>
    <row r="38" spans="1:9" hidden="1">
      <c r="A38" s="37" t="s">
        <v>637</v>
      </c>
      <c r="B38" s="37" t="s">
        <v>500</v>
      </c>
      <c r="C38" s="37" t="s">
        <v>501</v>
      </c>
      <c r="D38" s="41">
        <v>5</v>
      </c>
      <c r="E38" s="43" t="s">
        <v>629</v>
      </c>
      <c r="F38" s="43" t="s">
        <v>630</v>
      </c>
      <c r="G38" s="43" t="s">
        <v>619</v>
      </c>
      <c r="H38" s="37" t="s">
        <v>21</v>
      </c>
      <c r="I38" s="39">
        <v>46227.500104166669</v>
      </c>
    </row>
    <row r="39" spans="1:9" hidden="1">
      <c r="A39" s="37" t="s">
        <v>637</v>
      </c>
      <c r="B39" s="37" t="s">
        <v>504</v>
      </c>
      <c r="C39" s="37" t="s">
        <v>505</v>
      </c>
      <c r="D39" s="41">
        <v>6</v>
      </c>
      <c r="E39" s="43" t="s">
        <v>629</v>
      </c>
      <c r="F39" s="43" t="s">
        <v>630</v>
      </c>
      <c r="G39" s="43" t="s">
        <v>619</v>
      </c>
      <c r="H39" s="37" t="s">
        <v>21</v>
      </c>
      <c r="I39" s="39">
        <v>46227.500104166669</v>
      </c>
    </row>
    <row r="40" spans="1:9" hidden="1">
      <c r="A40" s="37" t="s">
        <v>637</v>
      </c>
      <c r="B40" s="37" t="s">
        <v>509</v>
      </c>
      <c r="C40" s="37" t="s">
        <v>510</v>
      </c>
      <c r="D40" s="41">
        <v>7</v>
      </c>
      <c r="E40" s="43" t="s">
        <v>629</v>
      </c>
      <c r="F40" s="43" t="s">
        <v>630</v>
      </c>
      <c r="G40" s="43" t="s">
        <v>619</v>
      </c>
      <c r="H40" s="37" t="s">
        <v>21</v>
      </c>
      <c r="I40" s="39">
        <v>46227.500104166669</v>
      </c>
    </row>
    <row r="41" spans="1:9" hidden="1">
      <c r="A41" s="37" t="s">
        <v>637</v>
      </c>
      <c r="B41" s="37" t="s">
        <v>513</v>
      </c>
      <c r="C41" s="37" t="s">
        <v>514</v>
      </c>
      <c r="D41" s="41">
        <v>9</v>
      </c>
      <c r="E41" s="43" t="s">
        <v>629</v>
      </c>
      <c r="F41" s="43" t="s">
        <v>630</v>
      </c>
      <c r="G41" s="43" t="s">
        <v>619</v>
      </c>
      <c r="H41" s="37" t="s">
        <v>21</v>
      </c>
      <c r="I41" s="39">
        <v>46227.500104166669</v>
      </c>
    </row>
    <row r="42" spans="1:9" hidden="1">
      <c r="A42" s="37" t="s">
        <v>637</v>
      </c>
      <c r="B42" s="37" t="s">
        <v>517</v>
      </c>
      <c r="C42" s="37" t="s">
        <v>518</v>
      </c>
      <c r="D42" s="41">
        <v>8.5</v>
      </c>
      <c r="E42" s="43" t="s">
        <v>629</v>
      </c>
      <c r="F42" s="43" t="s">
        <v>630</v>
      </c>
      <c r="G42" s="43" t="s">
        <v>619</v>
      </c>
      <c r="H42" s="37" t="s">
        <v>21</v>
      </c>
      <c r="I42" s="39">
        <v>46227.500104166669</v>
      </c>
    </row>
    <row r="43" spans="1:9" hidden="1">
      <c r="A43" s="37" t="s">
        <v>637</v>
      </c>
      <c r="B43" s="37" t="s">
        <v>520</v>
      </c>
      <c r="C43" s="37" t="s">
        <v>521</v>
      </c>
      <c r="D43" s="41">
        <v>10</v>
      </c>
      <c r="E43" s="43" t="s">
        <v>629</v>
      </c>
      <c r="F43" s="43" t="s">
        <v>630</v>
      </c>
      <c r="G43" s="43" t="s">
        <v>619</v>
      </c>
      <c r="H43" s="37" t="s">
        <v>21</v>
      </c>
      <c r="I43" s="39">
        <v>46227.500104166669</v>
      </c>
    </row>
    <row r="44" spans="1:9" hidden="1">
      <c r="A44" s="37" t="s">
        <v>639</v>
      </c>
      <c r="B44" s="37" t="s">
        <v>483</v>
      </c>
      <c r="C44" s="37" t="s">
        <v>484</v>
      </c>
      <c r="D44" s="41">
        <v>10</v>
      </c>
      <c r="E44" s="43" t="s">
        <v>629</v>
      </c>
      <c r="F44" s="43" t="s">
        <v>630</v>
      </c>
      <c r="G44" s="43" t="s">
        <v>642</v>
      </c>
      <c r="H44" s="37" t="s">
        <v>21</v>
      </c>
      <c r="I44" s="39">
        <v>46227.500115740739</v>
      </c>
    </row>
    <row r="45" spans="1:9" hidden="1">
      <c r="A45" s="37" t="s">
        <v>639</v>
      </c>
      <c r="B45" s="37" t="s">
        <v>488</v>
      </c>
      <c r="C45" s="37" t="s">
        <v>489</v>
      </c>
      <c r="D45" s="41">
        <v>10</v>
      </c>
      <c r="E45" s="43" t="s">
        <v>629</v>
      </c>
      <c r="F45" s="43" t="s">
        <v>630</v>
      </c>
      <c r="G45" s="43" t="s">
        <v>642</v>
      </c>
      <c r="H45" s="37" t="s">
        <v>21</v>
      </c>
      <c r="I45" s="39">
        <v>46227.500115740739</v>
      </c>
    </row>
    <row r="46" spans="1:9" hidden="1">
      <c r="A46" s="37" t="s">
        <v>639</v>
      </c>
      <c r="B46" s="37" t="s">
        <v>491</v>
      </c>
      <c r="C46" s="37" t="s">
        <v>492</v>
      </c>
      <c r="D46" s="41">
        <v>8</v>
      </c>
      <c r="E46" s="43" t="s">
        <v>629</v>
      </c>
      <c r="F46" s="43" t="s">
        <v>630</v>
      </c>
      <c r="G46" s="43" t="s">
        <v>642</v>
      </c>
      <c r="H46" s="37" t="s">
        <v>21</v>
      </c>
      <c r="I46" s="39">
        <v>46227.500115740739</v>
      </c>
    </row>
    <row r="47" spans="1:9" hidden="1">
      <c r="A47" s="37" t="s">
        <v>639</v>
      </c>
      <c r="B47" s="37" t="s">
        <v>496</v>
      </c>
      <c r="C47" s="37" t="s">
        <v>497</v>
      </c>
      <c r="D47" s="41">
        <v>7</v>
      </c>
      <c r="E47" s="43" t="s">
        <v>629</v>
      </c>
      <c r="F47" s="43" t="s">
        <v>630</v>
      </c>
      <c r="G47" s="43" t="s">
        <v>642</v>
      </c>
      <c r="H47" s="37" t="s">
        <v>21</v>
      </c>
      <c r="I47" s="39">
        <v>46227.500115740739</v>
      </c>
    </row>
    <row r="48" spans="1:9" hidden="1">
      <c r="A48" s="37" t="s">
        <v>639</v>
      </c>
      <c r="B48" s="37" t="s">
        <v>500</v>
      </c>
      <c r="C48" s="37" t="s">
        <v>501</v>
      </c>
      <c r="D48" s="41">
        <v>6</v>
      </c>
      <c r="E48" s="43" t="s">
        <v>629</v>
      </c>
      <c r="F48" s="43" t="s">
        <v>630</v>
      </c>
      <c r="G48" s="43" t="s">
        <v>642</v>
      </c>
      <c r="H48" s="37" t="s">
        <v>21</v>
      </c>
      <c r="I48" s="39">
        <v>46227.500115740739</v>
      </c>
    </row>
    <row r="49" spans="1:9" hidden="1">
      <c r="A49" s="37" t="s">
        <v>639</v>
      </c>
      <c r="B49" s="37" t="s">
        <v>504</v>
      </c>
      <c r="C49" s="37" t="s">
        <v>505</v>
      </c>
      <c r="D49" s="41">
        <v>7</v>
      </c>
      <c r="E49" s="43" t="s">
        <v>629</v>
      </c>
      <c r="F49" s="43" t="s">
        <v>630</v>
      </c>
      <c r="G49" s="43" t="s">
        <v>642</v>
      </c>
      <c r="H49" s="37" t="s">
        <v>21</v>
      </c>
      <c r="I49" s="39">
        <v>46227.500115740739</v>
      </c>
    </row>
    <row r="50" spans="1:9" hidden="1">
      <c r="A50" s="37" t="s">
        <v>639</v>
      </c>
      <c r="B50" s="37" t="s">
        <v>509</v>
      </c>
      <c r="C50" s="37" t="s">
        <v>510</v>
      </c>
      <c r="D50" s="41">
        <v>8</v>
      </c>
      <c r="E50" s="43" t="s">
        <v>629</v>
      </c>
      <c r="F50" s="43" t="s">
        <v>630</v>
      </c>
      <c r="G50" s="43" t="s">
        <v>642</v>
      </c>
      <c r="H50" s="37" t="s">
        <v>21</v>
      </c>
      <c r="I50" s="39">
        <v>46227.500115740739</v>
      </c>
    </row>
    <row r="51" spans="1:9" hidden="1">
      <c r="A51" s="37" t="s">
        <v>639</v>
      </c>
      <c r="B51" s="37" t="s">
        <v>513</v>
      </c>
      <c r="C51" s="37" t="s">
        <v>514</v>
      </c>
      <c r="D51" s="41">
        <v>8</v>
      </c>
      <c r="E51" s="43" t="s">
        <v>629</v>
      </c>
      <c r="F51" s="43" t="s">
        <v>630</v>
      </c>
      <c r="G51" s="43" t="s">
        <v>642</v>
      </c>
      <c r="H51" s="37" t="s">
        <v>21</v>
      </c>
      <c r="I51" s="39">
        <v>46227.500115740739</v>
      </c>
    </row>
    <row r="52" spans="1:9" hidden="1">
      <c r="A52" s="37" t="s">
        <v>639</v>
      </c>
      <c r="B52" s="37" t="s">
        <v>517</v>
      </c>
      <c r="C52" s="37" t="s">
        <v>518</v>
      </c>
      <c r="D52" s="41">
        <v>6</v>
      </c>
      <c r="E52" s="43" t="s">
        <v>629</v>
      </c>
      <c r="F52" s="43" t="s">
        <v>630</v>
      </c>
      <c r="G52" s="43" t="s">
        <v>642</v>
      </c>
      <c r="H52" s="37" t="s">
        <v>21</v>
      </c>
      <c r="I52" s="39">
        <v>46227.500115740739</v>
      </c>
    </row>
    <row r="53" spans="1:9" hidden="1">
      <c r="A53" s="37" t="s">
        <v>639</v>
      </c>
      <c r="B53" s="37" t="s">
        <v>520</v>
      </c>
      <c r="C53" s="37" t="s">
        <v>521</v>
      </c>
      <c r="D53" s="41">
        <v>7</v>
      </c>
      <c r="E53" s="43" t="s">
        <v>629</v>
      </c>
      <c r="F53" s="43" t="s">
        <v>630</v>
      </c>
      <c r="G53" s="43" t="s">
        <v>642</v>
      </c>
      <c r="H53" s="37" t="s">
        <v>21</v>
      </c>
      <c r="I53" s="39">
        <v>46227.500115740739</v>
      </c>
    </row>
    <row r="54" spans="1:9" hidden="1">
      <c r="A54" s="37" t="s">
        <v>643</v>
      </c>
      <c r="B54" s="37" t="s">
        <v>483</v>
      </c>
      <c r="C54" s="37" t="s">
        <v>484</v>
      </c>
      <c r="D54" s="41">
        <v>10</v>
      </c>
      <c r="E54" s="43" t="s">
        <v>629</v>
      </c>
      <c r="F54" s="43" t="s">
        <v>630</v>
      </c>
      <c r="G54" s="43" t="s">
        <v>645</v>
      </c>
      <c r="H54" s="37" t="s">
        <v>21</v>
      </c>
      <c r="I54" s="39">
        <v>46227.500127314815</v>
      </c>
    </row>
    <row r="55" spans="1:9" hidden="1">
      <c r="A55" s="37" t="s">
        <v>643</v>
      </c>
      <c r="B55" s="37" t="s">
        <v>488</v>
      </c>
      <c r="C55" s="37" t="s">
        <v>489</v>
      </c>
      <c r="D55" s="41">
        <v>10</v>
      </c>
      <c r="E55" s="43" t="s">
        <v>629</v>
      </c>
      <c r="F55" s="43" t="s">
        <v>630</v>
      </c>
      <c r="G55" s="43" t="s">
        <v>645</v>
      </c>
      <c r="H55" s="37" t="s">
        <v>21</v>
      </c>
      <c r="I55" s="39">
        <v>46227.500127314815</v>
      </c>
    </row>
    <row r="56" spans="1:9" hidden="1">
      <c r="A56" s="37" t="s">
        <v>643</v>
      </c>
      <c r="B56" s="37" t="s">
        <v>491</v>
      </c>
      <c r="C56" s="37" t="s">
        <v>492</v>
      </c>
      <c r="D56" s="41">
        <v>6</v>
      </c>
      <c r="E56" s="43" t="s">
        <v>629</v>
      </c>
      <c r="F56" s="43" t="s">
        <v>630</v>
      </c>
      <c r="G56" s="43" t="s">
        <v>645</v>
      </c>
      <c r="H56" s="37" t="s">
        <v>21</v>
      </c>
      <c r="I56" s="39">
        <v>46227.500127314815</v>
      </c>
    </row>
    <row r="57" spans="1:9" hidden="1">
      <c r="A57" s="37" t="s">
        <v>643</v>
      </c>
      <c r="B57" s="37" t="s">
        <v>496</v>
      </c>
      <c r="C57" s="37" t="s">
        <v>497</v>
      </c>
      <c r="D57" s="41">
        <v>8</v>
      </c>
      <c r="E57" s="43" t="s">
        <v>629</v>
      </c>
      <c r="F57" s="43" t="s">
        <v>630</v>
      </c>
      <c r="G57" s="43" t="s">
        <v>645</v>
      </c>
      <c r="H57" s="37" t="s">
        <v>21</v>
      </c>
      <c r="I57" s="39">
        <v>46227.500127314815</v>
      </c>
    </row>
    <row r="58" spans="1:9" hidden="1">
      <c r="A58" s="37" t="s">
        <v>643</v>
      </c>
      <c r="B58" s="37" t="s">
        <v>500</v>
      </c>
      <c r="C58" s="37" t="s">
        <v>501</v>
      </c>
      <c r="D58" s="41">
        <v>5</v>
      </c>
      <c r="E58" s="43" t="s">
        <v>629</v>
      </c>
      <c r="F58" s="43" t="s">
        <v>630</v>
      </c>
      <c r="G58" s="43" t="s">
        <v>645</v>
      </c>
      <c r="H58" s="37" t="s">
        <v>21</v>
      </c>
      <c r="I58" s="39">
        <v>46227.500127314815</v>
      </c>
    </row>
    <row r="59" spans="1:9" hidden="1">
      <c r="A59" s="37" t="s">
        <v>643</v>
      </c>
      <c r="B59" s="37" t="s">
        <v>504</v>
      </c>
      <c r="C59" s="37" t="s">
        <v>505</v>
      </c>
      <c r="D59" s="41">
        <v>5</v>
      </c>
      <c r="E59" s="43" t="s">
        <v>629</v>
      </c>
      <c r="F59" s="43" t="s">
        <v>630</v>
      </c>
      <c r="G59" s="43" t="s">
        <v>645</v>
      </c>
      <c r="H59" s="37" t="s">
        <v>21</v>
      </c>
      <c r="I59" s="39">
        <v>46227.500127314815</v>
      </c>
    </row>
    <row r="60" spans="1:9" hidden="1">
      <c r="A60" s="37" t="s">
        <v>643</v>
      </c>
      <c r="B60" s="37" t="s">
        <v>509</v>
      </c>
      <c r="C60" s="37" t="s">
        <v>510</v>
      </c>
      <c r="D60" s="41">
        <v>6</v>
      </c>
      <c r="E60" s="43" t="s">
        <v>629</v>
      </c>
      <c r="F60" s="43" t="s">
        <v>630</v>
      </c>
      <c r="G60" s="43" t="s">
        <v>645</v>
      </c>
      <c r="H60" s="37" t="s">
        <v>21</v>
      </c>
      <c r="I60" s="39">
        <v>46227.500127314815</v>
      </c>
    </row>
    <row r="61" spans="1:9" hidden="1">
      <c r="A61" s="37" t="s">
        <v>643</v>
      </c>
      <c r="B61" s="37" t="s">
        <v>513</v>
      </c>
      <c r="C61" s="37" t="s">
        <v>514</v>
      </c>
      <c r="D61" s="41">
        <v>5</v>
      </c>
      <c r="E61" s="43" t="s">
        <v>629</v>
      </c>
      <c r="F61" s="43" t="s">
        <v>630</v>
      </c>
      <c r="G61" s="43" t="s">
        <v>645</v>
      </c>
      <c r="H61" s="37" t="s">
        <v>21</v>
      </c>
      <c r="I61" s="39">
        <v>46227.500127314815</v>
      </c>
    </row>
    <row r="62" spans="1:9" hidden="1">
      <c r="A62" s="37" t="s">
        <v>643</v>
      </c>
      <c r="B62" s="37" t="s">
        <v>517</v>
      </c>
      <c r="C62" s="37" t="s">
        <v>518</v>
      </c>
      <c r="D62" s="41">
        <v>6</v>
      </c>
      <c r="E62" s="43" t="s">
        <v>629</v>
      </c>
      <c r="F62" s="43" t="s">
        <v>630</v>
      </c>
      <c r="G62" s="43" t="s">
        <v>645</v>
      </c>
      <c r="H62" s="37" t="s">
        <v>21</v>
      </c>
      <c r="I62" s="39">
        <v>46227.500127314815</v>
      </c>
    </row>
    <row r="63" spans="1:9" hidden="1">
      <c r="A63" s="37" t="s">
        <v>643</v>
      </c>
      <c r="B63" s="37" t="s">
        <v>520</v>
      </c>
      <c r="C63" s="37" t="s">
        <v>521</v>
      </c>
      <c r="D63" s="41">
        <v>10</v>
      </c>
      <c r="E63" s="43" t="s">
        <v>629</v>
      </c>
      <c r="F63" s="43" t="s">
        <v>630</v>
      </c>
      <c r="G63" s="43" t="s">
        <v>645</v>
      </c>
      <c r="H63" s="37" t="s">
        <v>21</v>
      </c>
      <c r="I63" s="39">
        <v>46227.500127314815</v>
      </c>
    </row>
    <row r="64" spans="1:9" ht="41.4" hidden="1">
      <c r="A64" s="37" t="s">
        <v>653</v>
      </c>
      <c r="B64" s="37" t="s">
        <v>483</v>
      </c>
      <c r="C64" s="37" t="s">
        <v>484</v>
      </c>
      <c r="D64" s="41">
        <v>10</v>
      </c>
      <c r="E64" s="43" t="s">
        <v>659</v>
      </c>
      <c r="F64" s="43" t="s">
        <v>660</v>
      </c>
      <c r="G64" s="43" t="s">
        <v>39</v>
      </c>
      <c r="H64" s="37" t="s">
        <v>49</v>
      </c>
      <c r="I64" s="39">
        <v>46227.500185185185</v>
      </c>
    </row>
    <row r="65" spans="1:9" ht="41.4" hidden="1">
      <c r="A65" s="37" t="s">
        <v>653</v>
      </c>
      <c r="B65" s="37" t="s">
        <v>488</v>
      </c>
      <c r="C65" s="37" t="s">
        <v>489</v>
      </c>
      <c r="D65" s="41">
        <v>10</v>
      </c>
      <c r="E65" s="43" t="s">
        <v>659</v>
      </c>
      <c r="F65" s="43" t="s">
        <v>660</v>
      </c>
      <c r="G65" s="43" t="s">
        <v>39</v>
      </c>
      <c r="H65" s="37" t="s">
        <v>49</v>
      </c>
      <c r="I65" s="39">
        <v>46227.500185185185</v>
      </c>
    </row>
    <row r="66" spans="1:9" ht="41.4" hidden="1">
      <c r="A66" s="37" t="s">
        <v>653</v>
      </c>
      <c r="B66" s="37" t="s">
        <v>491</v>
      </c>
      <c r="C66" s="37" t="s">
        <v>492</v>
      </c>
      <c r="D66" s="41">
        <v>10</v>
      </c>
      <c r="E66" s="43" t="s">
        <v>659</v>
      </c>
      <c r="F66" s="43" t="s">
        <v>660</v>
      </c>
      <c r="G66" s="43" t="s">
        <v>39</v>
      </c>
      <c r="H66" s="37" t="s">
        <v>49</v>
      </c>
      <c r="I66" s="39">
        <v>46227.500185185185</v>
      </c>
    </row>
    <row r="67" spans="1:9" ht="41.4" hidden="1">
      <c r="A67" s="37" t="s">
        <v>653</v>
      </c>
      <c r="B67" s="37" t="s">
        <v>496</v>
      </c>
      <c r="C67" s="37" t="s">
        <v>497</v>
      </c>
      <c r="D67" s="41">
        <v>10</v>
      </c>
      <c r="E67" s="43" t="s">
        <v>659</v>
      </c>
      <c r="F67" s="43" t="s">
        <v>660</v>
      </c>
      <c r="G67" s="43" t="s">
        <v>39</v>
      </c>
      <c r="H67" s="37" t="s">
        <v>49</v>
      </c>
      <c r="I67" s="39">
        <v>46227.500185185185</v>
      </c>
    </row>
    <row r="68" spans="1:9" ht="41.4" hidden="1">
      <c r="A68" s="37" t="s">
        <v>653</v>
      </c>
      <c r="B68" s="37" t="s">
        <v>500</v>
      </c>
      <c r="C68" s="37" t="s">
        <v>501</v>
      </c>
      <c r="D68" s="41">
        <v>9</v>
      </c>
      <c r="E68" s="43" t="s">
        <v>659</v>
      </c>
      <c r="F68" s="43" t="s">
        <v>660</v>
      </c>
      <c r="G68" s="43" t="s">
        <v>39</v>
      </c>
      <c r="H68" s="37" t="s">
        <v>49</v>
      </c>
      <c r="I68" s="39">
        <v>46227.500185185185</v>
      </c>
    </row>
    <row r="69" spans="1:9" ht="41.4" hidden="1">
      <c r="A69" s="37" t="s">
        <v>653</v>
      </c>
      <c r="B69" s="37" t="s">
        <v>504</v>
      </c>
      <c r="C69" s="37" t="s">
        <v>505</v>
      </c>
      <c r="D69" s="41">
        <v>8</v>
      </c>
      <c r="E69" s="43" t="s">
        <v>659</v>
      </c>
      <c r="F69" s="43" t="s">
        <v>660</v>
      </c>
      <c r="G69" s="43" t="s">
        <v>39</v>
      </c>
      <c r="H69" s="37" t="s">
        <v>49</v>
      </c>
      <c r="I69" s="39">
        <v>46227.500185185185</v>
      </c>
    </row>
    <row r="70" spans="1:9" ht="41.4" hidden="1">
      <c r="A70" s="37" t="s">
        <v>653</v>
      </c>
      <c r="B70" s="37" t="s">
        <v>509</v>
      </c>
      <c r="C70" s="37" t="s">
        <v>510</v>
      </c>
      <c r="D70" s="41">
        <v>10</v>
      </c>
      <c r="E70" s="43" t="s">
        <v>659</v>
      </c>
      <c r="F70" s="43" t="s">
        <v>660</v>
      </c>
      <c r="G70" s="43" t="s">
        <v>39</v>
      </c>
      <c r="H70" s="37" t="s">
        <v>49</v>
      </c>
      <c r="I70" s="39">
        <v>46227.500185185185</v>
      </c>
    </row>
    <row r="71" spans="1:9" ht="41.4" hidden="1">
      <c r="A71" s="37" t="s">
        <v>653</v>
      </c>
      <c r="B71" s="37" t="s">
        <v>513</v>
      </c>
      <c r="C71" s="37" t="s">
        <v>514</v>
      </c>
      <c r="D71" s="41">
        <v>8</v>
      </c>
      <c r="E71" s="43" t="s">
        <v>659</v>
      </c>
      <c r="F71" s="43" t="s">
        <v>660</v>
      </c>
      <c r="G71" s="43" t="s">
        <v>39</v>
      </c>
      <c r="H71" s="37" t="s">
        <v>49</v>
      </c>
      <c r="I71" s="39">
        <v>46227.500185185185</v>
      </c>
    </row>
    <row r="72" spans="1:9" ht="41.4" hidden="1">
      <c r="A72" s="37" t="s">
        <v>653</v>
      </c>
      <c r="B72" s="37" t="s">
        <v>517</v>
      </c>
      <c r="C72" s="37" t="s">
        <v>518</v>
      </c>
      <c r="D72" s="41">
        <v>10</v>
      </c>
      <c r="E72" s="43" t="s">
        <v>659</v>
      </c>
      <c r="F72" s="43" t="s">
        <v>660</v>
      </c>
      <c r="G72" s="43" t="s">
        <v>39</v>
      </c>
      <c r="H72" s="37" t="s">
        <v>49</v>
      </c>
      <c r="I72" s="39">
        <v>46227.500185185185</v>
      </c>
    </row>
    <row r="73" spans="1:9" ht="41.4" hidden="1">
      <c r="A73" s="37" t="s">
        <v>653</v>
      </c>
      <c r="B73" s="37" t="s">
        <v>520</v>
      </c>
      <c r="C73" s="37" t="s">
        <v>521</v>
      </c>
      <c r="D73" s="41">
        <v>10</v>
      </c>
      <c r="E73" s="43" t="s">
        <v>659</v>
      </c>
      <c r="F73" s="43" t="s">
        <v>660</v>
      </c>
      <c r="G73" s="43" t="s">
        <v>39</v>
      </c>
      <c r="H73" s="37" t="s">
        <v>49</v>
      </c>
      <c r="I73" s="39">
        <v>46227.500185185185</v>
      </c>
    </row>
    <row r="74" spans="1:9" ht="41.4" hidden="1">
      <c r="A74" s="37" t="s">
        <v>661</v>
      </c>
      <c r="B74" s="37" t="s">
        <v>483</v>
      </c>
      <c r="C74" s="37" t="s">
        <v>484</v>
      </c>
      <c r="D74" s="41">
        <v>9</v>
      </c>
      <c r="E74" s="43" t="s">
        <v>659</v>
      </c>
      <c r="F74" s="43" t="s">
        <v>660</v>
      </c>
      <c r="G74" s="43" t="s">
        <v>39</v>
      </c>
      <c r="H74" s="37" t="s">
        <v>49</v>
      </c>
      <c r="I74" s="39">
        <v>46227.500196759262</v>
      </c>
    </row>
    <row r="75" spans="1:9" ht="41.4" hidden="1">
      <c r="A75" s="37" t="s">
        <v>661</v>
      </c>
      <c r="B75" s="37" t="s">
        <v>488</v>
      </c>
      <c r="C75" s="37" t="s">
        <v>489</v>
      </c>
      <c r="D75" s="41">
        <v>9.5</v>
      </c>
      <c r="E75" s="43" t="s">
        <v>659</v>
      </c>
      <c r="F75" s="43" t="s">
        <v>660</v>
      </c>
      <c r="G75" s="43" t="s">
        <v>39</v>
      </c>
      <c r="H75" s="37" t="s">
        <v>49</v>
      </c>
      <c r="I75" s="39">
        <v>46227.500196759262</v>
      </c>
    </row>
    <row r="76" spans="1:9" ht="41.4" hidden="1">
      <c r="A76" s="37" t="s">
        <v>661</v>
      </c>
      <c r="B76" s="37" t="s">
        <v>491</v>
      </c>
      <c r="C76" s="37" t="s">
        <v>492</v>
      </c>
      <c r="D76" s="41">
        <v>10</v>
      </c>
      <c r="E76" s="43" t="s">
        <v>659</v>
      </c>
      <c r="F76" s="43" t="s">
        <v>660</v>
      </c>
      <c r="G76" s="43" t="s">
        <v>39</v>
      </c>
      <c r="H76" s="37" t="s">
        <v>49</v>
      </c>
      <c r="I76" s="39">
        <v>46227.500196759262</v>
      </c>
    </row>
    <row r="77" spans="1:9" ht="41.4" hidden="1">
      <c r="A77" s="37" t="s">
        <v>661</v>
      </c>
      <c r="B77" s="37" t="s">
        <v>496</v>
      </c>
      <c r="C77" s="37" t="s">
        <v>497</v>
      </c>
      <c r="D77" s="41">
        <v>9.5</v>
      </c>
      <c r="E77" s="43" t="s">
        <v>659</v>
      </c>
      <c r="F77" s="43" t="s">
        <v>660</v>
      </c>
      <c r="G77" s="43" t="s">
        <v>39</v>
      </c>
      <c r="H77" s="37" t="s">
        <v>49</v>
      </c>
      <c r="I77" s="39">
        <v>46227.500196759262</v>
      </c>
    </row>
    <row r="78" spans="1:9" ht="41.4" hidden="1">
      <c r="A78" s="37" t="s">
        <v>661</v>
      </c>
      <c r="B78" s="37" t="s">
        <v>500</v>
      </c>
      <c r="C78" s="37" t="s">
        <v>501</v>
      </c>
      <c r="D78" s="41">
        <v>8</v>
      </c>
      <c r="E78" s="43" t="s">
        <v>659</v>
      </c>
      <c r="F78" s="43" t="s">
        <v>660</v>
      </c>
      <c r="G78" s="43" t="s">
        <v>39</v>
      </c>
      <c r="H78" s="37" t="s">
        <v>49</v>
      </c>
      <c r="I78" s="39">
        <v>46227.500196759262</v>
      </c>
    </row>
    <row r="79" spans="1:9" ht="41.4" hidden="1">
      <c r="A79" s="37" t="s">
        <v>661</v>
      </c>
      <c r="B79" s="37" t="s">
        <v>504</v>
      </c>
      <c r="C79" s="37" t="s">
        <v>505</v>
      </c>
      <c r="D79" s="41">
        <v>9</v>
      </c>
      <c r="E79" s="43" t="s">
        <v>659</v>
      </c>
      <c r="F79" s="43" t="s">
        <v>660</v>
      </c>
      <c r="G79" s="43" t="s">
        <v>39</v>
      </c>
      <c r="H79" s="37" t="s">
        <v>49</v>
      </c>
      <c r="I79" s="39">
        <v>46227.500196759262</v>
      </c>
    </row>
    <row r="80" spans="1:9" ht="41.4" hidden="1">
      <c r="A80" s="37" t="s">
        <v>661</v>
      </c>
      <c r="B80" s="37" t="s">
        <v>509</v>
      </c>
      <c r="C80" s="37" t="s">
        <v>510</v>
      </c>
      <c r="D80" s="41">
        <v>10</v>
      </c>
      <c r="E80" s="43" t="s">
        <v>659</v>
      </c>
      <c r="F80" s="43" t="s">
        <v>660</v>
      </c>
      <c r="G80" s="43" t="s">
        <v>39</v>
      </c>
      <c r="H80" s="37" t="s">
        <v>49</v>
      </c>
      <c r="I80" s="39">
        <v>46227.500196759262</v>
      </c>
    </row>
    <row r="81" spans="1:9" ht="41.4" hidden="1">
      <c r="A81" s="37" t="s">
        <v>661</v>
      </c>
      <c r="B81" s="37" t="s">
        <v>513</v>
      </c>
      <c r="C81" s="37" t="s">
        <v>514</v>
      </c>
      <c r="D81" s="41">
        <v>9</v>
      </c>
      <c r="E81" s="43" t="s">
        <v>659</v>
      </c>
      <c r="F81" s="43" t="s">
        <v>660</v>
      </c>
      <c r="G81" s="43" t="s">
        <v>39</v>
      </c>
      <c r="H81" s="37" t="s">
        <v>49</v>
      </c>
      <c r="I81" s="39">
        <v>46227.500196759262</v>
      </c>
    </row>
    <row r="82" spans="1:9" ht="41.4" hidden="1">
      <c r="A82" s="37" t="s">
        <v>661</v>
      </c>
      <c r="B82" s="37" t="s">
        <v>517</v>
      </c>
      <c r="C82" s="37" t="s">
        <v>518</v>
      </c>
      <c r="D82" s="41">
        <v>8.5</v>
      </c>
      <c r="E82" s="43" t="s">
        <v>659</v>
      </c>
      <c r="F82" s="43" t="s">
        <v>660</v>
      </c>
      <c r="G82" s="43" t="s">
        <v>39</v>
      </c>
      <c r="H82" s="37" t="s">
        <v>49</v>
      </c>
      <c r="I82" s="39">
        <v>46227.500196759262</v>
      </c>
    </row>
    <row r="83" spans="1:9" ht="41.4" hidden="1">
      <c r="A83" s="37" t="s">
        <v>661</v>
      </c>
      <c r="B83" s="37" t="s">
        <v>520</v>
      </c>
      <c r="C83" s="37" t="s">
        <v>521</v>
      </c>
      <c r="D83" s="41">
        <v>7</v>
      </c>
      <c r="E83" s="43" t="s">
        <v>659</v>
      </c>
      <c r="F83" s="43" t="s">
        <v>660</v>
      </c>
      <c r="G83" s="43" t="s">
        <v>39</v>
      </c>
      <c r="H83" s="37" t="s">
        <v>49</v>
      </c>
      <c r="I83" s="39">
        <v>46227.500196759262</v>
      </c>
    </row>
    <row r="84" spans="1:9" ht="41.4" hidden="1">
      <c r="A84" s="37" t="s">
        <v>663</v>
      </c>
      <c r="B84" s="37" t="s">
        <v>483</v>
      </c>
      <c r="C84" s="37" t="s">
        <v>484</v>
      </c>
      <c r="D84" s="41">
        <v>8</v>
      </c>
      <c r="E84" s="43" t="s">
        <v>659</v>
      </c>
      <c r="F84" s="43" t="s">
        <v>660</v>
      </c>
      <c r="G84" s="43" t="s">
        <v>99</v>
      </c>
      <c r="H84" s="37" t="s">
        <v>49</v>
      </c>
      <c r="I84" s="39">
        <v>46227.500208333331</v>
      </c>
    </row>
    <row r="85" spans="1:9" ht="41.4" hidden="1">
      <c r="A85" s="37" t="s">
        <v>663</v>
      </c>
      <c r="B85" s="37" t="s">
        <v>488</v>
      </c>
      <c r="C85" s="37" t="s">
        <v>489</v>
      </c>
      <c r="D85" s="41">
        <v>8</v>
      </c>
      <c r="E85" s="43" t="s">
        <v>659</v>
      </c>
      <c r="F85" s="43" t="s">
        <v>660</v>
      </c>
      <c r="G85" s="43" t="s">
        <v>99</v>
      </c>
      <c r="H85" s="37" t="s">
        <v>49</v>
      </c>
      <c r="I85" s="39">
        <v>46227.500208333331</v>
      </c>
    </row>
    <row r="86" spans="1:9" ht="41.4" hidden="1">
      <c r="A86" s="37" t="s">
        <v>663</v>
      </c>
      <c r="B86" s="37" t="s">
        <v>491</v>
      </c>
      <c r="C86" s="37" t="s">
        <v>492</v>
      </c>
      <c r="D86" s="41">
        <v>8.5</v>
      </c>
      <c r="E86" s="43" t="s">
        <v>659</v>
      </c>
      <c r="F86" s="43" t="s">
        <v>660</v>
      </c>
      <c r="G86" s="43" t="s">
        <v>99</v>
      </c>
      <c r="H86" s="37" t="s">
        <v>49</v>
      </c>
      <c r="I86" s="39">
        <v>46227.500208333331</v>
      </c>
    </row>
    <row r="87" spans="1:9" ht="41.4" hidden="1">
      <c r="A87" s="37" t="s">
        <v>663</v>
      </c>
      <c r="B87" s="37" t="s">
        <v>496</v>
      </c>
      <c r="C87" s="37" t="s">
        <v>497</v>
      </c>
      <c r="D87" s="41">
        <v>9.5</v>
      </c>
      <c r="E87" s="43" t="s">
        <v>659</v>
      </c>
      <c r="F87" s="43" t="s">
        <v>660</v>
      </c>
      <c r="G87" s="43" t="s">
        <v>99</v>
      </c>
      <c r="H87" s="37" t="s">
        <v>49</v>
      </c>
      <c r="I87" s="39">
        <v>46227.500208333331</v>
      </c>
    </row>
    <row r="88" spans="1:9" ht="41.4" hidden="1">
      <c r="A88" s="37" t="s">
        <v>663</v>
      </c>
      <c r="B88" s="37" t="s">
        <v>500</v>
      </c>
      <c r="C88" s="37" t="s">
        <v>501</v>
      </c>
      <c r="D88" s="41">
        <v>9</v>
      </c>
      <c r="E88" s="43" t="s">
        <v>659</v>
      </c>
      <c r="F88" s="43" t="s">
        <v>660</v>
      </c>
      <c r="G88" s="43" t="s">
        <v>99</v>
      </c>
      <c r="H88" s="37" t="s">
        <v>49</v>
      </c>
      <c r="I88" s="39">
        <v>46227.500208333331</v>
      </c>
    </row>
    <row r="89" spans="1:9" ht="41.4" hidden="1">
      <c r="A89" s="37" t="s">
        <v>663</v>
      </c>
      <c r="B89" s="37" t="s">
        <v>504</v>
      </c>
      <c r="C89" s="37" t="s">
        <v>505</v>
      </c>
      <c r="D89" s="41">
        <v>9</v>
      </c>
      <c r="E89" s="43" t="s">
        <v>659</v>
      </c>
      <c r="F89" s="43" t="s">
        <v>660</v>
      </c>
      <c r="G89" s="43" t="s">
        <v>99</v>
      </c>
      <c r="H89" s="37" t="s">
        <v>49</v>
      </c>
      <c r="I89" s="39">
        <v>46227.500208333331</v>
      </c>
    </row>
    <row r="90" spans="1:9" ht="41.4" hidden="1">
      <c r="A90" s="37" t="s">
        <v>663</v>
      </c>
      <c r="B90" s="37" t="s">
        <v>509</v>
      </c>
      <c r="C90" s="37" t="s">
        <v>510</v>
      </c>
      <c r="D90" s="41">
        <v>9.5</v>
      </c>
      <c r="E90" s="43" t="s">
        <v>659</v>
      </c>
      <c r="F90" s="43" t="s">
        <v>660</v>
      </c>
      <c r="G90" s="43" t="s">
        <v>99</v>
      </c>
      <c r="H90" s="37" t="s">
        <v>49</v>
      </c>
      <c r="I90" s="39">
        <v>46227.500208333331</v>
      </c>
    </row>
    <row r="91" spans="1:9" ht="41.4" hidden="1">
      <c r="A91" s="37" t="s">
        <v>663</v>
      </c>
      <c r="B91" s="37" t="s">
        <v>513</v>
      </c>
      <c r="C91" s="37" t="s">
        <v>514</v>
      </c>
      <c r="D91" s="41">
        <v>9</v>
      </c>
      <c r="E91" s="43" t="s">
        <v>659</v>
      </c>
      <c r="F91" s="43" t="s">
        <v>660</v>
      </c>
      <c r="G91" s="43" t="s">
        <v>99</v>
      </c>
      <c r="H91" s="37" t="s">
        <v>49</v>
      </c>
      <c r="I91" s="39">
        <v>46227.500208333331</v>
      </c>
    </row>
    <row r="92" spans="1:9" ht="41.4" hidden="1">
      <c r="A92" s="37" t="s">
        <v>663</v>
      </c>
      <c r="B92" s="37" t="s">
        <v>517</v>
      </c>
      <c r="C92" s="37" t="s">
        <v>518</v>
      </c>
      <c r="D92" s="41">
        <v>9</v>
      </c>
      <c r="E92" s="43" t="s">
        <v>659</v>
      </c>
      <c r="F92" s="43" t="s">
        <v>660</v>
      </c>
      <c r="G92" s="43" t="s">
        <v>99</v>
      </c>
      <c r="H92" s="37" t="s">
        <v>49</v>
      </c>
      <c r="I92" s="39">
        <v>46227.500208333331</v>
      </c>
    </row>
    <row r="93" spans="1:9" ht="41.4" hidden="1">
      <c r="A93" s="37" t="s">
        <v>663</v>
      </c>
      <c r="B93" s="37" t="s">
        <v>520</v>
      </c>
      <c r="C93" s="37" t="s">
        <v>521</v>
      </c>
      <c r="D93" s="41">
        <v>8</v>
      </c>
      <c r="E93" s="43" t="s">
        <v>659</v>
      </c>
      <c r="F93" s="43" t="s">
        <v>660</v>
      </c>
      <c r="G93" s="43" t="s">
        <v>99</v>
      </c>
      <c r="H93" s="37" t="s">
        <v>49</v>
      </c>
      <c r="I93" s="39">
        <v>46227.500208333331</v>
      </c>
    </row>
    <row r="94" spans="1:9" ht="27.6" hidden="1">
      <c r="A94" s="37" t="s">
        <v>679</v>
      </c>
      <c r="B94" s="37" t="s">
        <v>483</v>
      </c>
      <c r="C94" s="37" t="s">
        <v>484</v>
      </c>
      <c r="D94" s="41">
        <v>9</v>
      </c>
      <c r="E94" s="43" t="s">
        <v>682</v>
      </c>
      <c r="F94" s="43" t="s">
        <v>753</v>
      </c>
      <c r="G94" s="43" t="s">
        <v>171</v>
      </c>
      <c r="H94" s="37" t="s">
        <v>49</v>
      </c>
      <c r="I94" s="39">
        <v>46227.791666666664</v>
      </c>
    </row>
    <row r="95" spans="1:9" ht="27.6" hidden="1">
      <c r="A95" s="37" t="s">
        <v>679</v>
      </c>
      <c r="B95" s="37" t="s">
        <v>488</v>
      </c>
      <c r="C95" s="37" t="s">
        <v>489</v>
      </c>
      <c r="D95" s="41">
        <v>9.5</v>
      </c>
      <c r="E95" s="43" t="s">
        <v>682</v>
      </c>
      <c r="F95" s="43" t="s">
        <v>753</v>
      </c>
      <c r="G95" s="43" t="s">
        <v>171</v>
      </c>
      <c r="H95" s="37" t="s">
        <v>49</v>
      </c>
      <c r="I95" s="39">
        <v>46227.791666666664</v>
      </c>
    </row>
    <row r="96" spans="1:9" ht="27.6" hidden="1">
      <c r="A96" s="37" t="s">
        <v>679</v>
      </c>
      <c r="B96" s="37" t="s">
        <v>491</v>
      </c>
      <c r="C96" s="37" t="s">
        <v>492</v>
      </c>
      <c r="D96" s="41">
        <v>10</v>
      </c>
      <c r="E96" s="43" t="s">
        <v>683</v>
      </c>
      <c r="F96" s="43" t="s">
        <v>753</v>
      </c>
      <c r="G96" s="43" t="s">
        <v>171</v>
      </c>
      <c r="H96" s="37" t="s">
        <v>49</v>
      </c>
      <c r="I96" s="39">
        <v>46227.791666666664</v>
      </c>
    </row>
    <row r="97" spans="1:9" ht="27.6" hidden="1">
      <c r="A97" s="37" t="s">
        <v>679</v>
      </c>
      <c r="B97" s="37" t="s">
        <v>496</v>
      </c>
      <c r="C97" s="37" t="s">
        <v>497</v>
      </c>
      <c r="D97" s="41">
        <v>9</v>
      </c>
      <c r="E97" s="43" t="s">
        <v>683</v>
      </c>
      <c r="F97" s="43" t="s">
        <v>753</v>
      </c>
      <c r="G97" s="43" t="s">
        <v>171</v>
      </c>
      <c r="H97" s="37" t="s">
        <v>49</v>
      </c>
      <c r="I97" s="39">
        <v>46227.791666666664</v>
      </c>
    </row>
    <row r="98" spans="1:9" ht="27.6" hidden="1">
      <c r="A98" s="37" t="s">
        <v>679</v>
      </c>
      <c r="B98" s="37" t="s">
        <v>500</v>
      </c>
      <c r="C98" s="37" t="s">
        <v>501</v>
      </c>
      <c r="D98" s="41">
        <v>10</v>
      </c>
      <c r="E98" s="43" t="s">
        <v>683</v>
      </c>
      <c r="F98" s="43" t="s">
        <v>753</v>
      </c>
      <c r="G98" s="43" t="s">
        <v>171</v>
      </c>
      <c r="H98" s="37" t="s">
        <v>49</v>
      </c>
      <c r="I98" s="39">
        <v>46227.791666666664</v>
      </c>
    </row>
    <row r="99" spans="1:9" ht="27.6" hidden="1">
      <c r="A99" s="37" t="s">
        <v>679</v>
      </c>
      <c r="B99" s="37" t="s">
        <v>504</v>
      </c>
      <c r="C99" s="37" t="s">
        <v>505</v>
      </c>
      <c r="D99" s="41">
        <v>9</v>
      </c>
      <c r="E99" s="43" t="s">
        <v>684</v>
      </c>
      <c r="F99" s="43" t="s">
        <v>753</v>
      </c>
      <c r="G99" s="43" t="s">
        <v>171</v>
      </c>
      <c r="H99" s="37" t="s">
        <v>49</v>
      </c>
      <c r="I99" s="39">
        <v>46227.791666666664</v>
      </c>
    </row>
    <row r="100" spans="1:9" ht="27.6" hidden="1">
      <c r="A100" s="37" t="s">
        <v>679</v>
      </c>
      <c r="B100" s="37" t="s">
        <v>509</v>
      </c>
      <c r="C100" s="37" t="s">
        <v>510</v>
      </c>
      <c r="D100" s="41">
        <v>10</v>
      </c>
      <c r="E100" s="43" t="s">
        <v>683</v>
      </c>
      <c r="F100" s="43" t="s">
        <v>753</v>
      </c>
      <c r="G100" s="43" t="s">
        <v>171</v>
      </c>
      <c r="H100" s="37" t="s">
        <v>49</v>
      </c>
      <c r="I100" s="39">
        <v>46227.791666666664</v>
      </c>
    </row>
    <row r="101" spans="1:9" ht="27.6" hidden="1">
      <c r="A101" s="37" t="s">
        <v>679</v>
      </c>
      <c r="B101" s="37" t="s">
        <v>513</v>
      </c>
      <c r="C101" s="37" t="s">
        <v>514</v>
      </c>
      <c r="D101" s="41">
        <v>8</v>
      </c>
      <c r="E101" s="43" t="s">
        <v>684</v>
      </c>
      <c r="F101" s="43" t="s">
        <v>753</v>
      </c>
      <c r="G101" s="43" t="s">
        <v>171</v>
      </c>
      <c r="H101" s="37" t="s">
        <v>49</v>
      </c>
      <c r="I101" s="39">
        <v>46227.791666666664</v>
      </c>
    </row>
    <row r="102" spans="1:9" ht="27.6" hidden="1">
      <c r="A102" s="37" t="s">
        <v>679</v>
      </c>
      <c r="B102" s="37" t="s">
        <v>517</v>
      </c>
      <c r="C102" s="37" t="s">
        <v>518</v>
      </c>
      <c r="D102" s="41">
        <v>10</v>
      </c>
      <c r="E102" s="43" t="s">
        <v>683</v>
      </c>
      <c r="F102" s="43" t="s">
        <v>753</v>
      </c>
      <c r="G102" s="43" t="s">
        <v>171</v>
      </c>
      <c r="H102" s="37" t="s">
        <v>49</v>
      </c>
      <c r="I102" s="39">
        <v>46227.791666666664</v>
      </c>
    </row>
    <row r="103" spans="1:9" ht="27.6" hidden="1">
      <c r="A103" s="37" t="s">
        <v>679</v>
      </c>
      <c r="B103" s="37" t="s">
        <v>520</v>
      </c>
      <c r="C103" s="37" t="s">
        <v>521</v>
      </c>
      <c r="D103" s="41">
        <v>9</v>
      </c>
      <c r="E103" s="43" t="s">
        <v>683</v>
      </c>
      <c r="F103" s="43" t="s">
        <v>753</v>
      </c>
      <c r="G103" s="43" t="s">
        <v>171</v>
      </c>
      <c r="H103" s="37" t="s">
        <v>49</v>
      </c>
      <c r="I103" s="39">
        <v>46227.791666666664</v>
      </c>
    </row>
    <row r="104" spans="1:9" ht="27.6" hidden="1">
      <c r="A104" s="37" t="s">
        <v>685</v>
      </c>
      <c r="B104" s="37" t="s">
        <v>483</v>
      </c>
      <c r="C104" s="37" t="s">
        <v>484</v>
      </c>
      <c r="D104" s="41">
        <v>9</v>
      </c>
      <c r="E104" s="43" t="s">
        <v>682</v>
      </c>
      <c r="F104" s="43" t="s">
        <v>753</v>
      </c>
      <c r="G104" s="43" t="s">
        <v>171</v>
      </c>
      <c r="H104" s="37" t="s">
        <v>49</v>
      </c>
      <c r="I104" s="39">
        <v>46227.791678240741</v>
      </c>
    </row>
    <row r="105" spans="1:9" ht="27.6" hidden="1">
      <c r="A105" s="37" t="s">
        <v>685</v>
      </c>
      <c r="B105" s="37" t="s">
        <v>488</v>
      </c>
      <c r="C105" s="37" t="s">
        <v>489</v>
      </c>
      <c r="D105" s="41">
        <v>9</v>
      </c>
      <c r="E105" s="43" t="s">
        <v>682</v>
      </c>
      <c r="F105" s="43" t="s">
        <v>753</v>
      </c>
      <c r="G105" s="43" t="s">
        <v>171</v>
      </c>
      <c r="H105" s="37" t="s">
        <v>49</v>
      </c>
      <c r="I105" s="39">
        <v>46227.791678240741</v>
      </c>
    </row>
    <row r="106" spans="1:9" ht="27.6" hidden="1">
      <c r="A106" s="37" t="s">
        <v>685</v>
      </c>
      <c r="B106" s="37" t="s">
        <v>491</v>
      </c>
      <c r="C106" s="37" t="s">
        <v>492</v>
      </c>
      <c r="D106" s="41">
        <v>8</v>
      </c>
      <c r="E106" s="43" t="s">
        <v>683</v>
      </c>
      <c r="F106" s="43" t="s">
        <v>753</v>
      </c>
      <c r="G106" s="43" t="s">
        <v>171</v>
      </c>
      <c r="H106" s="37" t="s">
        <v>49</v>
      </c>
      <c r="I106" s="39">
        <v>46227.791678240741</v>
      </c>
    </row>
    <row r="107" spans="1:9" ht="27.6" hidden="1">
      <c r="A107" s="37" t="s">
        <v>685</v>
      </c>
      <c r="B107" s="37" t="s">
        <v>496</v>
      </c>
      <c r="C107" s="37" t="s">
        <v>497</v>
      </c>
      <c r="D107" s="41">
        <v>8</v>
      </c>
      <c r="E107" s="43" t="s">
        <v>683</v>
      </c>
      <c r="F107" s="43" t="s">
        <v>753</v>
      </c>
      <c r="G107" s="43" t="s">
        <v>171</v>
      </c>
      <c r="H107" s="37" t="s">
        <v>49</v>
      </c>
      <c r="I107" s="39">
        <v>46227.791678240741</v>
      </c>
    </row>
    <row r="108" spans="1:9" ht="27.6" hidden="1">
      <c r="A108" s="37" t="s">
        <v>685</v>
      </c>
      <c r="B108" s="37" t="s">
        <v>500</v>
      </c>
      <c r="C108" s="37" t="s">
        <v>501</v>
      </c>
      <c r="D108" s="41">
        <v>8</v>
      </c>
      <c r="E108" s="43" t="s">
        <v>683</v>
      </c>
      <c r="F108" s="43" t="s">
        <v>753</v>
      </c>
      <c r="G108" s="43" t="s">
        <v>171</v>
      </c>
      <c r="H108" s="37" t="s">
        <v>49</v>
      </c>
      <c r="I108" s="39">
        <v>46227.791678240741</v>
      </c>
    </row>
    <row r="109" spans="1:9" ht="27.6" hidden="1">
      <c r="A109" s="37" t="s">
        <v>685</v>
      </c>
      <c r="B109" s="37" t="s">
        <v>504</v>
      </c>
      <c r="C109" s="37" t="s">
        <v>505</v>
      </c>
      <c r="D109" s="41">
        <v>8</v>
      </c>
      <c r="E109" s="43" t="s">
        <v>684</v>
      </c>
      <c r="F109" s="43" t="s">
        <v>753</v>
      </c>
      <c r="G109" s="43" t="s">
        <v>171</v>
      </c>
      <c r="H109" s="37" t="s">
        <v>49</v>
      </c>
      <c r="I109" s="39">
        <v>46227.791678240741</v>
      </c>
    </row>
    <row r="110" spans="1:9" ht="27.6" hidden="1">
      <c r="A110" s="37" t="s">
        <v>685</v>
      </c>
      <c r="B110" s="37" t="s">
        <v>509</v>
      </c>
      <c r="C110" s="37" t="s">
        <v>510</v>
      </c>
      <c r="D110" s="41">
        <v>7</v>
      </c>
      <c r="E110" s="43" t="s">
        <v>683</v>
      </c>
      <c r="F110" s="43" t="s">
        <v>753</v>
      </c>
      <c r="G110" s="43" t="s">
        <v>171</v>
      </c>
      <c r="H110" s="37" t="s">
        <v>49</v>
      </c>
      <c r="I110" s="39">
        <v>46227.791678240741</v>
      </c>
    </row>
    <row r="111" spans="1:9" ht="27.6" hidden="1">
      <c r="A111" s="37" t="s">
        <v>685</v>
      </c>
      <c r="B111" s="37" t="s">
        <v>513</v>
      </c>
      <c r="C111" s="37" t="s">
        <v>514</v>
      </c>
      <c r="D111" s="41">
        <v>8</v>
      </c>
      <c r="E111" s="43" t="s">
        <v>684</v>
      </c>
      <c r="F111" s="43" t="s">
        <v>753</v>
      </c>
      <c r="G111" s="43" t="s">
        <v>171</v>
      </c>
      <c r="H111" s="37" t="s">
        <v>49</v>
      </c>
      <c r="I111" s="39">
        <v>46227.791678240741</v>
      </c>
    </row>
    <row r="112" spans="1:9" ht="27.6" hidden="1">
      <c r="A112" s="37" t="s">
        <v>685</v>
      </c>
      <c r="B112" s="37" t="s">
        <v>517</v>
      </c>
      <c r="C112" s="37" t="s">
        <v>518</v>
      </c>
      <c r="D112" s="41">
        <v>8</v>
      </c>
      <c r="E112" s="43" t="s">
        <v>683</v>
      </c>
      <c r="F112" s="43" t="s">
        <v>753</v>
      </c>
      <c r="G112" s="43" t="s">
        <v>171</v>
      </c>
      <c r="H112" s="37" t="s">
        <v>49</v>
      </c>
      <c r="I112" s="39">
        <v>46227.791678240741</v>
      </c>
    </row>
    <row r="113" spans="1:9" ht="27.6" hidden="1">
      <c r="A113" s="37" t="s">
        <v>685</v>
      </c>
      <c r="B113" s="37" t="s">
        <v>520</v>
      </c>
      <c r="C113" s="37" t="s">
        <v>521</v>
      </c>
      <c r="D113" s="41">
        <v>8.5</v>
      </c>
      <c r="E113" s="43" t="s">
        <v>683</v>
      </c>
      <c r="F113" s="43" t="s">
        <v>753</v>
      </c>
      <c r="G113" s="43" t="s">
        <v>171</v>
      </c>
      <c r="H113" s="37" t="s">
        <v>49</v>
      </c>
      <c r="I113" s="39">
        <v>46227.791678240741</v>
      </c>
    </row>
    <row r="114" spans="1:9" ht="27.6" hidden="1">
      <c r="A114" s="37" t="s">
        <v>686</v>
      </c>
      <c r="B114" s="37" t="s">
        <v>483</v>
      </c>
      <c r="C114" s="37" t="s">
        <v>484</v>
      </c>
      <c r="D114" s="41">
        <v>10</v>
      </c>
      <c r="E114" s="43" t="s">
        <v>682</v>
      </c>
      <c r="F114" s="43" t="s">
        <v>753</v>
      </c>
      <c r="G114" s="43" t="s">
        <v>171</v>
      </c>
      <c r="H114" s="37" t="s">
        <v>49</v>
      </c>
      <c r="I114" s="39">
        <v>46227.791689814818</v>
      </c>
    </row>
    <row r="115" spans="1:9" ht="27.6" hidden="1">
      <c r="A115" s="37" t="s">
        <v>686</v>
      </c>
      <c r="B115" s="37" t="s">
        <v>488</v>
      </c>
      <c r="C115" s="37" t="s">
        <v>489</v>
      </c>
      <c r="D115" s="41">
        <v>10</v>
      </c>
      <c r="E115" s="43" t="s">
        <v>682</v>
      </c>
      <c r="F115" s="43" t="s">
        <v>753</v>
      </c>
      <c r="G115" s="43" t="s">
        <v>171</v>
      </c>
      <c r="H115" s="37" t="s">
        <v>49</v>
      </c>
      <c r="I115" s="39">
        <v>46227.791689814818</v>
      </c>
    </row>
    <row r="116" spans="1:9" ht="27.6" hidden="1">
      <c r="A116" s="37" t="s">
        <v>686</v>
      </c>
      <c r="B116" s="37" t="s">
        <v>491</v>
      </c>
      <c r="C116" s="37" t="s">
        <v>492</v>
      </c>
      <c r="D116" s="41">
        <v>9</v>
      </c>
      <c r="E116" s="43" t="s">
        <v>683</v>
      </c>
      <c r="F116" s="43" t="s">
        <v>753</v>
      </c>
      <c r="G116" s="43" t="s">
        <v>171</v>
      </c>
      <c r="H116" s="37" t="s">
        <v>49</v>
      </c>
      <c r="I116" s="39">
        <v>46227.791689814818</v>
      </c>
    </row>
    <row r="117" spans="1:9" ht="27.6" hidden="1">
      <c r="A117" s="37" t="s">
        <v>686</v>
      </c>
      <c r="B117" s="37" t="s">
        <v>496</v>
      </c>
      <c r="C117" s="37" t="s">
        <v>497</v>
      </c>
      <c r="D117" s="41">
        <v>9</v>
      </c>
      <c r="E117" s="43" t="s">
        <v>683</v>
      </c>
      <c r="F117" s="43" t="s">
        <v>753</v>
      </c>
      <c r="G117" s="43" t="s">
        <v>171</v>
      </c>
      <c r="H117" s="37" t="s">
        <v>49</v>
      </c>
      <c r="I117" s="39">
        <v>46227.791689814818</v>
      </c>
    </row>
    <row r="118" spans="1:9" ht="27.6" hidden="1">
      <c r="A118" s="37" t="s">
        <v>686</v>
      </c>
      <c r="B118" s="37" t="s">
        <v>500</v>
      </c>
      <c r="C118" s="37" t="s">
        <v>501</v>
      </c>
      <c r="D118" s="41">
        <v>9</v>
      </c>
      <c r="E118" s="43" t="s">
        <v>683</v>
      </c>
      <c r="F118" s="43" t="s">
        <v>753</v>
      </c>
      <c r="G118" s="43" t="s">
        <v>171</v>
      </c>
      <c r="H118" s="37" t="s">
        <v>49</v>
      </c>
      <c r="I118" s="39">
        <v>46227.791689814818</v>
      </c>
    </row>
    <row r="119" spans="1:9" ht="27.6" hidden="1">
      <c r="A119" s="37" t="s">
        <v>686</v>
      </c>
      <c r="B119" s="37" t="s">
        <v>504</v>
      </c>
      <c r="C119" s="37" t="s">
        <v>505</v>
      </c>
      <c r="D119" s="41">
        <v>8</v>
      </c>
      <c r="E119" s="43" t="s">
        <v>684</v>
      </c>
      <c r="F119" s="43" t="s">
        <v>753</v>
      </c>
      <c r="G119" s="43" t="s">
        <v>171</v>
      </c>
      <c r="H119" s="37" t="s">
        <v>49</v>
      </c>
      <c r="I119" s="39">
        <v>46227.791689814818</v>
      </c>
    </row>
    <row r="120" spans="1:9" ht="27.6" hidden="1">
      <c r="A120" s="37" t="s">
        <v>686</v>
      </c>
      <c r="B120" s="37" t="s">
        <v>509</v>
      </c>
      <c r="C120" s="37" t="s">
        <v>510</v>
      </c>
      <c r="D120" s="41">
        <v>8</v>
      </c>
      <c r="E120" s="43" t="s">
        <v>683</v>
      </c>
      <c r="F120" s="43" t="s">
        <v>753</v>
      </c>
      <c r="G120" s="43" t="s">
        <v>171</v>
      </c>
      <c r="H120" s="37" t="s">
        <v>49</v>
      </c>
      <c r="I120" s="39">
        <v>46227.791689814818</v>
      </c>
    </row>
    <row r="121" spans="1:9" ht="27.6" hidden="1">
      <c r="A121" s="37" t="s">
        <v>686</v>
      </c>
      <c r="B121" s="37" t="s">
        <v>513</v>
      </c>
      <c r="C121" s="37" t="s">
        <v>514</v>
      </c>
      <c r="D121" s="41">
        <v>7</v>
      </c>
      <c r="E121" s="43" t="s">
        <v>684</v>
      </c>
      <c r="F121" s="43" t="s">
        <v>753</v>
      </c>
      <c r="G121" s="43" t="s">
        <v>171</v>
      </c>
      <c r="H121" s="37" t="s">
        <v>49</v>
      </c>
      <c r="I121" s="39">
        <v>46227.791689814818</v>
      </c>
    </row>
    <row r="122" spans="1:9" ht="27.6" hidden="1">
      <c r="A122" s="37" t="s">
        <v>686</v>
      </c>
      <c r="B122" s="37" t="s">
        <v>517</v>
      </c>
      <c r="C122" s="37" t="s">
        <v>518</v>
      </c>
      <c r="D122" s="41">
        <v>9.5</v>
      </c>
      <c r="E122" s="43" t="s">
        <v>683</v>
      </c>
      <c r="F122" s="43" t="s">
        <v>753</v>
      </c>
      <c r="G122" s="43" t="s">
        <v>171</v>
      </c>
      <c r="H122" s="37" t="s">
        <v>49</v>
      </c>
      <c r="I122" s="39">
        <v>46227.791689814818</v>
      </c>
    </row>
    <row r="123" spans="1:9" ht="27.6" hidden="1">
      <c r="A123" s="37" t="s">
        <v>686</v>
      </c>
      <c r="B123" s="37" t="s">
        <v>520</v>
      </c>
      <c r="C123" s="37" t="s">
        <v>521</v>
      </c>
      <c r="D123" s="41">
        <v>9</v>
      </c>
      <c r="E123" s="43" t="s">
        <v>683</v>
      </c>
      <c r="F123" s="43" t="s">
        <v>753</v>
      </c>
      <c r="G123" s="43" t="s">
        <v>171</v>
      </c>
      <c r="H123" s="37" t="s">
        <v>49</v>
      </c>
      <c r="I123" s="39">
        <v>46227.791689814818</v>
      </c>
    </row>
    <row r="124" spans="1:9" ht="27.6" hidden="1">
      <c r="A124" s="37" t="s">
        <v>687</v>
      </c>
      <c r="B124" s="37" t="s">
        <v>483</v>
      </c>
      <c r="C124" s="37" t="s">
        <v>484</v>
      </c>
      <c r="D124" s="41">
        <v>9</v>
      </c>
      <c r="E124" s="43" t="s">
        <v>682</v>
      </c>
      <c r="F124" s="43" t="s">
        <v>753</v>
      </c>
      <c r="G124" s="43" t="s">
        <v>171</v>
      </c>
      <c r="H124" s="37" t="s">
        <v>49</v>
      </c>
      <c r="I124" s="39">
        <v>46227.791701388887</v>
      </c>
    </row>
    <row r="125" spans="1:9" ht="27.6" hidden="1">
      <c r="A125" s="37" t="s">
        <v>687</v>
      </c>
      <c r="B125" s="37" t="s">
        <v>488</v>
      </c>
      <c r="C125" s="37" t="s">
        <v>489</v>
      </c>
      <c r="D125" s="41">
        <v>9</v>
      </c>
      <c r="E125" s="43" t="s">
        <v>682</v>
      </c>
      <c r="F125" s="43" t="s">
        <v>753</v>
      </c>
      <c r="G125" s="43" t="s">
        <v>171</v>
      </c>
      <c r="H125" s="37" t="s">
        <v>49</v>
      </c>
      <c r="I125" s="39">
        <v>46227.791701388887</v>
      </c>
    </row>
    <row r="126" spans="1:9" ht="27.6" hidden="1">
      <c r="A126" s="37" t="s">
        <v>687</v>
      </c>
      <c r="B126" s="37" t="s">
        <v>491</v>
      </c>
      <c r="C126" s="37" t="s">
        <v>492</v>
      </c>
      <c r="D126" s="41">
        <v>8.5</v>
      </c>
      <c r="E126" s="43" t="s">
        <v>683</v>
      </c>
      <c r="F126" s="43" t="s">
        <v>753</v>
      </c>
      <c r="G126" s="43" t="s">
        <v>171</v>
      </c>
      <c r="H126" s="37" t="s">
        <v>49</v>
      </c>
      <c r="I126" s="39">
        <v>46227.791701388887</v>
      </c>
    </row>
    <row r="127" spans="1:9" ht="27.6" hidden="1">
      <c r="A127" s="37" t="s">
        <v>687</v>
      </c>
      <c r="B127" s="37" t="s">
        <v>496</v>
      </c>
      <c r="C127" s="37" t="s">
        <v>497</v>
      </c>
      <c r="D127" s="41">
        <v>9</v>
      </c>
      <c r="E127" s="43" t="s">
        <v>683</v>
      </c>
      <c r="F127" s="43" t="s">
        <v>753</v>
      </c>
      <c r="G127" s="43" t="s">
        <v>171</v>
      </c>
      <c r="H127" s="37" t="s">
        <v>49</v>
      </c>
      <c r="I127" s="39">
        <v>46227.791701388887</v>
      </c>
    </row>
    <row r="128" spans="1:9" ht="27.6" hidden="1">
      <c r="A128" s="37" t="s">
        <v>687</v>
      </c>
      <c r="B128" s="37" t="s">
        <v>500</v>
      </c>
      <c r="C128" s="37" t="s">
        <v>501</v>
      </c>
      <c r="D128" s="41">
        <v>8.5</v>
      </c>
      <c r="E128" s="43" t="s">
        <v>683</v>
      </c>
      <c r="F128" s="43" t="s">
        <v>753</v>
      </c>
      <c r="G128" s="43" t="s">
        <v>171</v>
      </c>
      <c r="H128" s="37" t="s">
        <v>49</v>
      </c>
      <c r="I128" s="39">
        <v>46227.791701388887</v>
      </c>
    </row>
    <row r="129" spans="1:9" ht="27.6" hidden="1">
      <c r="A129" s="37" t="s">
        <v>687</v>
      </c>
      <c r="B129" s="37" t="s">
        <v>504</v>
      </c>
      <c r="C129" s="37" t="s">
        <v>505</v>
      </c>
      <c r="D129" s="41">
        <v>9</v>
      </c>
      <c r="E129" s="43" t="s">
        <v>684</v>
      </c>
      <c r="F129" s="43" t="s">
        <v>753</v>
      </c>
      <c r="G129" s="43" t="s">
        <v>171</v>
      </c>
      <c r="H129" s="37" t="s">
        <v>49</v>
      </c>
      <c r="I129" s="39">
        <v>46227.791701388887</v>
      </c>
    </row>
    <row r="130" spans="1:9" ht="27.6" hidden="1">
      <c r="A130" s="37" t="s">
        <v>687</v>
      </c>
      <c r="B130" s="37" t="s">
        <v>509</v>
      </c>
      <c r="C130" s="37" t="s">
        <v>510</v>
      </c>
      <c r="D130" s="41">
        <v>8</v>
      </c>
      <c r="E130" s="43" t="s">
        <v>683</v>
      </c>
      <c r="F130" s="43" t="s">
        <v>753</v>
      </c>
      <c r="G130" s="43" t="s">
        <v>171</v>
      </c>
      <c r="H130" s="37" t="s">
        <v>49</v>
      </c>
      <c r="I130" s="39">
        <v>46227.791701388887</v>
      </c>
    </row>
    <row r="131" spans="1:9" ht="27.6" hidden="1">
      <c r="A131" s="37" t="s">
        <v>687</v>
      </c>
      <c r="B131" s="37" t="s">
        <v>513</v>
      </c>
      <c r="C131" s="37" t="s">
        <v>514</v>
      </c>
      <c r="D131" s="41">
        <v>9</v>
      </c>
      <c r="E131" s="43" t="s">
        <v>684</v>
      </c>
      <c r="F131" s="43" t="s">
        <v>753</v>
      </c>
      <c r="G131" s="43" t="s">
        <v>171</v>
      </c>
      <c r="H131" s="37" t="s">
        <v>49</v>
      </c>
      <c r="I131" s="39">
        <v>46227.791701388887</v>
      </c>
    </row>
    <row r="132" spans="1:9" ht="27.6" hidden="1">
      <c r="A132" s="37" t="s">
        <v>687</v>
      </c>
      <c r="B132" s="37" t="s">
        <v>517</v>
      </c>
      <c r="C132" s="37" t="s">
        <v>518</v>
      </c>
      <c r="D132" s="41">
        <v>8.5</v>
      </c>
      <c r="E132" s="43" t="s">
        <v>683</v>
      </c>
      <c r="F132" s="43" t="s">
        <v>753</v>
      </c>
      <c r="G132" s="43" t="s">
        <v>171</v>
      </c>
      <c r="H132" s="37" t="s">
        <v>49</v>
      </c>
      <c r="I132" s="39">
        <v>46227.791701388887</v>
      </c>
    </row>
    <row r="133" spans="1:9" ht="27.6" hidden="1">
      <c r="A133" s="37" t="s">
        <v>687</v>
      </c>
      <c r="B133" s="37" t="s">
        <v>520</v>
      </c>
      <c r="C133" s="37" t="s">
        <v>521</v>
      </c>
      <c r="D133" s="41">
        <v>7.5</v>
      </c>
      <c r="E133" s="43" t="s">
        <v>683</v>
      </c>
      <c r="F133" s="43" t="s">
        <v>753</v>
      </c>
      <c r="G133" s="43" t="s">
        <v>171</v>
      </c>
      <c r="H133" s="37" t="s">
        <v>49</v>
      </c>
      <c r="I133" s="39">
        <v>46227.791701388887</v>
      </c>
    </row>
    <row r="134" spans="1:9" ht="27.6" hidden="1">
      <c r="A134" s="37" t="s">
        <v>688</v>
      </c>
      <c r="B134" s="37" t="s">
        <v>483</v>
      </c>
      <c r="C134" s="37" t="s">
        <v>484</v>
      </c>
      <c r="D134" s="41">
        <v>9</v>
      </c>
      <c r="E134" s="43" t="s">
        <v>682</v>
      </c>
      <c r="F134" s="43" t="s">
        <v>753</v>
      </c>
      <c r="G134" s="43" t="s">
        <v>171</v>
      </c>
      <c r="H134" s="37" t="s">
        <v>49</v>
      </c>
      <c r="I134" s="39">
        <v>46227.791712962964</v>
      </c>
    </row>
    <row r="135" spans="1:9" ht="27.6" hidden="1">
      <c r="A135" s="37" t="s">
        <v>688</v>
      </c>
      <c r="B135" s="37" t="s">
        <v>488</v>
      </c>
      <c r="C135" s="37" t="s">
        <v>489</v>
      </c>
      <c r="D135" s="41">
        <v>9.5</v>
      </c>
      <c r="E135" s="43" t="s">
        <v>682</v>
      </c>
      <c r="F135" s="43" t="s">
        <v>753</v>
      </c>
      <c r="G135" s="43" t="s">
        <v>171</v>
      </c>
      <c r="H135" s="37" t="s">
        <v>49</v>
      </c>
      <c r="I135" s="39">
        <v>46227.791712962964</v>
      </c>
    </row>
    <row r="136" spans="1:9" ht="27.6" hidden="1">
      <c r="A136" s="37" t="s">
        <v>688</v>
      </c>
      <c r="B136" s="37" t="s">
        <v>491</v>
      </c>
      <c r="C136" s="37" t="s">
        <v>492</v>
      </c>
      <c r="D136" s="41">
        <v>9.5</v>
      </c>
      <c r="E136" s="43" t="s">
        <v>683</v>
      </c>
      <c r="F136" s="43" t="s">
        <v>753</v>
      </c>
      <c r="G136" s="43" t="s">
        <v>171</v>
      </c>
      <c r="H136" s="37" t="s">
        <v>49</v>
      </c>
      <c r="I136" s="39">
        <v>46227.791712962964</v>
      </c>
    </row>
    <row r="137" spans="1:9" ht="27.6" hidden="1">
      <c r="A137" s="37" t="s">
        <v>688</v>
      </c>
      <c r="B137" s="37" t="s">
        <v>496</v>
      </c>
      <c r="C137" s="37" t="s">
        <v>497</v>
      </c>
      <c r="D137" s="41">
        <v>9</v>
      </c>
      <c r="E137" s="43" t="s">
        <v>683</v>
      </c>
      <c r="F137" s="43" t="s">
        <v>753</v>
      </c>
      <c r="G137" s="43" t="s">
        <v>171</v>
      </c>
      <c r="H137" s="37" t="s">
        <v>49</v>
      </c>
      <c r="I137" s="39">
        <v>46227.791712962964</v>
      </c>
    </row>
    <row r="138" spans="1:9" ht="27.6" hidden="1">
      <c r="A138" s="37" t="s">
        <v>688</v>
      </c>
      <c r="B138" s="37" t="s">
        <v>500</v>
      </c>
      <c r="C138" s="37" t="s">
        <v>501</v>
      </c>
      <c r="D138" s="41">
        <v>9</v>
      </c>
      <c r="E138" s="43" t="s">
        <v>683</v>
      </c>
      <c r="F138" s="43" t="s">
        <v>753</v>
      </c>
      <c r="G138" s="43" t="s">
        <v>171</v>
      </c>
      <c r="H138" s="37" t="s">
        <v>49</v>
      </c>
      <c r="I138" s="39">
        <v>46227.791712962964</v>
      </c>
    </row>
    <row r="139" spans="1:9" ht="27.6" hidden="1">
      <c r="A139" s="37" t="s">
        <v>688</v>
      </c>
      <c r="B139" s="37" t="s">
        <v>504</v>
      </c>
      <c r="C139" s="37" t="s">
        <v>505</v>
      </c>
      <c r="D139" s="41">
        <v>9</v>
      </c>
      <c r="E139" s="43" t="s">
        <v>684</v>
      </c>
      <c r="F139" s="43" t="s">
        <v>753</v>
      </c>
      <c r="G139" s="43" t="s">
        <v>171</v>
      </c>
      <c r="H139" s="37" t="s">
        <v>49</v>
      </c>
      <c r="I139" s="39">
        <v>46227.791712962964</v>
      </c>
    </row>
    <row r="140" spans="1:9" ht="27.6" hidden="1">
      <c r="A140" s="37" t="s">
        <v>688</v>
      </c>
      <c r="B140" s="37" t="s">
        <v>509</v>
      </c>
      <c r="C140" s="37" t="s">
        <v>510</v>
      </c>
      <c r="D140" s="41">
        <v>9</v>
      </c>
      <c r="E140" s="43" t="s">
        <v>683</v>
      </c>
      <c r="F140" s="43" t="s">
        <v>753</v>
      </c>
      <c r="G140" s="43" t="s">
        <v>171</v>
      </c>
      <c r="H140" s="37" t="s">
        <v>49</v>
      </c>
      <c r="I140" s="39">
        <v>46227.791712962964</v>
      </c>
    </row>
    <row r="141" spans="1:9" ht="27.6" hidden="1">
      <c r="A141" s="37" t="s">
        <v>688</v>
      </c>
      <c r="B141" s="37" t="s">
        <v>513</v>
      </c>
      <c r="C141" s="37" t="s">
        <v>514</v>
      </c>
      <c r="D141" s="41">
        <v>9</v>
      </c>
      <c r="E141" s="43" t="s">
        <v>684</v>
      </c>
      <c r="F141" s="43" t="s">
        <v>753</v>
      </c>
      <c r="G141" s="43" t="s">
        <v>171</v>
      </c>
      <c r="H141" s="37" t="s">
        <v>49</v>
      </c>
      <c r="I141" s="39">
        <v>46227.791712962964</v>
      </c>
    </row>
    <row r="142" spans="1:9" ht="27.6" hidden="1">
      <c r="A142" s="37" t="s">
        <v>688</v>
      </c>
      <c r="B142" s="37" t="s">
        <v>517</v>
      </c>
      <c r="C142" s="37" t="s">
        <v>518</v>
      </c>
      <c r="D142" s="41">
        <v>9</v>
      </c>
      <c r="E142" s="43" t="s">
        <v>683</v>
      </c>
      <c r="F142" s="43" t="s">
        <v>753</v>
      </c>
      <c r="G142" s="43" t="s">
        <v>171</v>
      </c>
      <c r="H142" s="37" t="s">
        <v>49</v>
      </c>
      <c r="I142" s="39">
        <v>46227.791712962964</v>
      </c>
    </row>
    <row r="143" spans="1:9" ht="27.6" hidden="1">
      <c r="A143" s="37" t="s">
        <v>688</v>
      </c>
      <c r="B143" s="37" t="s">
        <v>520</v>
      </c>
      <c r="C143" s="37" t="s">
        <v>521</v>
      </c>
      <c r="D143" s="41">
        <v>8.5</v>
      </c>
      <c r="E143" s="43" t="s">
        <v>683</v>
      </c>
      <c r="F143" s="43" t="s">
        <v>753</v>
      </c>
      <c r="G143" s="43" t="s">
        <v>171</v>
      </c>
      <c r="H143" s="37" t="s">
        <v>49</v>
      </c>
      <c r="I143" s="39">
        <v>46227.791712962964</v>
      </c>
    </row>
    <row r="144" spans="1:9" ht="27.6" hidden="1">
      <c r="A144" s="37" t="s">
        <v>689</v>
      </c>
      <c r="B144" s="37" t="s">
        <v>483</v>
      </c>
      <c r="C144" s="37" t="s">
        <v>484</v>
      </c>
      <c r="D144" s="41">
        <v>9</v>
      </c>
      <c r="E144" s="43" t="s">
        <v>682</v>
      </c>
      <c r="F144" s="43" t="s">
        <v>753</v>
      </c>
      <c r="G144" s="43" t="s">
        <v>171</v>
      </c>
      <c r="H144" s="37" t="s">
        <v>49</v>
      </c>
      <c r="I144" s="39">
        <v>46227.791724537034</v>
      </c>
    </row>
    <row r="145" spans="1:9" ht="27.6" hidden="1">
      <c r="A145" s="37" t="s">
        <v>689</v>
      </c>
      <c r="B145" s="37" t="s">
        <v>488</v>
      </c>
      <c r="C145" s="37" t="s">
        <v>489</v>
      </c>
      <c r="D145" s="41">
        <v>9.5</v>
      </c>
      <c r="E145" s="43" t="s">
        <v>682</v>
      </c>
      <c r="F145" s="43" t="s">
        <v>753</v>
      </c>
      <c r="G145" s="43" t="s">
        <v>171</v>
      </c>
      <c r="H145" s="37" t="s">
        <v>49</v>
      </c>
      <c r="I145" s="39">
        <v>46227.791724537034</v>
      </c>
    </row>
    <row r="146" spans="1:9" ht="27.6" hidden="1">
      <c r="A146" s="37" t="s">
        <v>689</v>
      </c>
      <c r="B146" s="37" t="s">
        <v>491</v>
      </c>
      <c r="C146" s="37" t="s">
        <v>492</v>
      </c>
      <c r="D146" s="41">
        <v>9</v>
      </c>
      <c r="E146" s="43" t="s">
        <v>683</v>
      </c>
      <c r="F146" s="43" t="s">
        <v>753</v>
      </c>
      <c r="G146" s="43" t="s">
        <v>171</v>
      </c>
      <c r="H146" s="37" t="s">
        <v>49</v>
      </c>
      <c r="I146" s="39">
        <v>46227.791724537034</v>
      </c>
    </row>
    <row r="147" spans="1:9" ht="27.6" hidden="1">
      <c r="A147" s="37" t="s">
        <v>689</v>
      </c>
      <c r="B147" s="37" t="s">
        <v>496</v>
      </c>
      <c r="C147" s="37" t="s">
        <v>497</v>
      </c>
      <c r="D147" s="41">
        <v>9</v>
      </c>
      <c r="E147" s="43" t="s">
        <v>683</v>
      </c>
      <c r="F147" s="43" t="s">
        <v>753</v>
      </c>
      <c r="G147" s="43" t="s">
        <v>171</v>
      </c>
      <c r="H147" s="37" t="s">
        <v>49</v>
      </c>
      <c r="I147" s="39">
        <v>46227.791724537034</v>
      </c>
    </row>
    <row r="148" spans="1:9" ht="27.6" hidden="1">
      <c r="A148" s="37" t="s">
        <v>689</v>
      </c>
      <c r="B148" s="37" t="s">
        <v>500</v>
      </c>
      <c r="C148" s="37" t="s">
        <v>501</v>
      </c>
      <c r="D148" s="41">
        <v>8.5</v>
      </c>
      <c r="E148" s="43" t="s">
        <v>683</v>
      </c>
      <c r="F148" s="43" t="s">
        <v>753</v>
      </c>
      <c r="G148" s="43" t="s">
        <v>171</v>
      </c>
      <c r="H148" s="37" t="s">
        <v>49</v>
      </c>
      <c r="I148" s="39">
        <v>46227.791724537034</v>
      </c>
    </row>
    <row r="149" spans="1:9" ht="27.6" hidden="1">
      <c r="A149" s="37" t="s">
        <v>689</v>
      </c>
      <c r="B149" s="37" t="s">
        <v>504</v>
      </c>
      <c r="C149" s="37" t="s">
        <v>505</v>
      </c>
      <c r="D149" s="41">
        <v>8.5</v>
      </c>
      <c r="E149" s="43" t="s">
        <v>684</v>
      </c>
      <c r="F149" s="43" t="s">
        <v>753</v>
      </c>
      <c r="G149" s="43" t="s">
        <v>171</v>
      </c>
      <c r="H149" s="37" t="s">
        <v>49</v>
      </c>
      <c r="I149" s="39">
        <v>46227.791724537034</v>
      </c>
    </row>
    <row r="150" spans="1:9" ht="27.6" hidden="1">
      <c r="A150" s="37" t="s">
        <v>689</v>
      </c>
      <c r="B150" s="37" t="s">
        <v>509</v>
      </c>
      <c r="C150" s="37" t="s">
        <v>510</v>
      </c>
      <c r="D150" s="41">
        <v>7</v>
      </c>
      <c r="E150" s="43" t="s">
        <v>683</v>
      </c>
      <c r="F150" s="43" t="s">
        <v>753</v>
      </c>
      <c r="G150" s="43" t="s">
        <v>171</v>
      </c>
      <c r="H150" s="37" t="s">
        <v>49</v>
      </c>
      <c r="I150" s="39">
        <v>46227.791724537034</v>
      </c>
    </row>
    <row r="151" spans="1:9" ht="27.6" hidden="1">
      <c r="A151" s="37" t="s">
        <v>689</v>
      </c>
      <c r="B151" s="37" t="s">
        <v>513</v>
      </c>
      <c r="C151" s="37" t="s">
        <v>514</v>
      </c>
      <c r="D151" s="41">
        <v>8.5</v>
      </c>
      <c r="E151" s="43" t="s">
        <v>684</v>
      </c>
      <c r="F151" s="43" t="s">
        <v>753</v>
      </c>
      <c r="G151" s="43" t="s">
        <v>171</v>
      </c>
      <c r="H151" s="37" t="s">
        <v>49</v>
      </c>
      <c r="I151" s="39">
        <v>46227.791724537034</v>
      </c>
    </row>
    <row r="152" spans="1:9" ht="27.6" hidden="1">
      <c r="A152" s="37" t="s">
        <v>689</v>
      </c>
      <c r="B152" s="37" t="s">
        <v>517</v>
      </c>
      <c r="C152" s="37" t="s">
        <v>518</v>
      </c>
      <c r="D152" s="41">
        <v>8.5</v>
      </c>
      <c r="E152" s="43" t="s">
        <v>683</v>
      </c>
      <c r="F152" s="43" t="s">
        <v>753</v>
      </c>
      <c r="G152" s="43" t="s">
        <v>171</v>
      </c>
      <c r="H152" s="37" t="s">
        <v>49</v>
      </c>
      <c r="I152" s="39">
        <v>46227.791724537034</v>
      </c>
    </row>
    <row r="153" spans="1:9" ht="27.6" hidden="1">
      <c r="A153" s="37" t="s">
        <v>689</v>
      </c>
      <c r="B153" s="37" t="s">
        <v>520</v>
      </c>
      <c r="C153" s="37" t="s">
        <v>521</v>
      </c>
      <c r="D153" s="41">
        <v>8</v>
      </c>
      <c r="E153" s="43" t="s">
        <v>683</v>
      </c>
      <c r="F153" s="43" t="s">
        <v>753</v>
      </c>
      <c r="G153" s="43" t="s">
        <v>171</v>
      </c>
      <c r="H153" s="37" t="s">
        <v>49</v>
      </c>
      <c r="I153" s="39">
        <v>46227.791724537034</v>
      </c>
    </row>
    <row r="154" spans="1:9" ht="27.6" hidden="1">
      <c r="A154" s="37" t="s">
        <v>690</v>
      </c>
      <c r="B154" s="37" t="s">
        <v>483</v>
      </c>
      <c r="C154" s="37" t="s">
        <v>484</v>
      </c>
      <c r="D154" s="41">
        <v>9</v>
      </c>
      <c r="E154" s="43" t="s">
        <v>682</v>
      </c>
      <c r="F154" s="43" t="s">
        <v>753</v>
      </c>
      <c r="G154" s="43" t="s">
        <v>171</v>
      </c>
      <c r="H154" s="37" t="s">
        <v>49</v>
      </c>
      <c r="I154" s="39">
        <v>46227.79173611111</v>
      </c>
    </row>
    <row r="155" spans="1:9" ht="27.6" hidden="1">
      <c r="A155" s="37" t="s">
        <v>690</v>
      </c>
      <c r="B155" s="37" t="s">
        <v>488</v>
      </c>
      <c r="C155" s="37" t="s">
        <v>489</v>
      </c>
      <c r="D155" s="41">
        <v>9</v>
      </c>
      <c r="E155" s="43" t="s">
        <v>682</v>
      </c>
      <c r="F155" s="43" t="s">
        <v>753</v>
      </c>
      <c r="G155" s="43" t="s">
        <v>171</v>
      </c>
      <c r="H155" s="37" t="s">
        <v>49</v>
      </c>
      <c r="I155" s="39">
        <v>46227.79173611111</v>
      </c>
    </row>
    <row r="156" spans="1:9" ht="27.6" hidden="1">
      <c r="A156" s="37" t="s">
        <v>690</v>
      </c>
      <c r="B156" s="37" t="s">
        <v>491</v>
      </c>
      <c r="C156" s="37" t="s">
        <v>492</v>
      </c>
      <c r="D156" s="41">
        <v>8</v>
      </c>
      <c r="E156" s="43" t="s">
        <v>683</v>
      </c>
      <c r="F156" s="43" t="s">
        <v>753</v>
      </c>
      <c r="G156" s="43" t="s">
        <v>171</v>
      </c>
      <c r="H156" s="37" t="s">
        <v>49</v>
      </c>
      <c r="I156" s="39">
        <v>46227.79173611111</v>
      </c>
    </row>
    <row r="157" spans="1:9" ht="27.6" hidden="1">
      <c r="A157" s="37" t="s">
        <v>690</v>
      </c>
      <c r="B157" s="37" t="s">
        <v>496</v>
      </c>
      <c r="C157" s="37" t="s">
        <v>497</v>
      </c>
      <c r="D157" s="41">
        <v>8</v>
      </c>
      <c r="E157" s="43" t="s">
        <v>683</v>
      </c>
      <c r="F157" s="43" t="s">
        <v>753</v>
      </c>
      <c r="G157" s="43" t="s">
        <v>171</v>
      </c>
      <c r="H157" s="37" t="s">
        <v>49</v>
      </c>
      <c r="I157" s="39">
        <v>46227.79173611111</v>
      </c>
    </row>
    <row r="158" spans="1:9" ht="27.6" hidden="1">
      <c r="A158" s="37" t="s">
        <v>690</v>
      </c>
      <c r="B158" s="37" t="s">
        <v>500</v>
      </c>
      <c r="C158" s="37" t="s">
        <v>501</v>
      </c>
      <c r="D158" s="41">
        <v>8</v>
      </c>
      <c r="E158" s="43" t="s">
        <v>683</v>
      </c>
      <c r="F158" s="43" t="s">
        <v>753</v>
      </c>
      <c r="G158" s="43" t="s">
        <v>171</v>
      </c>
      <c r="H158" s="37" t="s">
        <v>49</v>
      </c>
      <c r="I158" s="39">
        <v>46227.79173611111</v>
      </c>
    </row>
    <row r="159" spans="1:9" ht="27.6" hidden="1">
      <c r="A159" s="37" t="s">
        <v>690</v>
      </c>
      <c r="B159" s="37" t="s">
        <v>504</v>
      </c>
      <c r="C159" s="37" t="s">
        <v>505</v>
      </c>
      <c r="D159" s="41">
        <v>9</v>
      </c>
      <c r="E159" s="43" t="s">
        <v>684</v>
      </c>
      <c r="F159" s="43" t="s">
        <v>753</v>
      </c>
      <c r="G159" s="43" t="s">
        <v>171</v>
      </c>
      <c r="H159" s="37" t="s">
        <v>49</v>
      </c>
      <c r="I159" s="39">
        <v>46227.79173611111</v>
      </c>
    </row>
    <row r="160" spans="1:9" ht="27.6" hidden="1">
      <c r="A160" s="37" t="s">
        <v>690</v>
      </c>
      <c r="B160" s="37" t="s">
        <v>509</v>
      </c>
      <c r="C160" s="37" t="s">
        <v>510</v>
      </c>
      <c r="D160" s="41">
        <v>5</v>
      </c>
      <c r="E160" s="43" t="s">
        <v>683</v>
      </c>
      <c r="F160" s="43" t="s">
        <v>753</v>
      </c>
      <c r="G160" s="43" t="s">
        <v>171</v>
      </c>
      <c r="H160" s="37" t="s">
        <v>49</v>
      </c>
      <c r="I160" s="39">
        <v>46227.79173611111</v>
      </c>
    </row>
    <row r="161" spans="1:9" ht="27.6" hidden="1">
      <c r="A161" s="37" t="s">
        <v>690</v>
      </c>
      <c r="B161" s="37" t="s">
        <v>513</v>
      </c>
      <c r="C161" s="37" t="s">
        <v>514</v>
      </c>
      <c r="D161" s="41">
        <v>9</v>
      </c>
      <c r="E161" s="43" t="s">
        <v>684</v>
      </c>
      <c r="F161" s="43" t="s">
        <v>753</v>
      </c>
      <c r="G161" s="43" t="s">
        <v>171</v>
      </c>
      <c r="H161" s="37" t="s">
        <v>49</v>
      </c>
      <c r="I161" s="39">
        <v>46227.79173611111</v>
      </c>
    </row>
    <row r="162" spans="1:9" ht="27.6" hidden="1">
      <c r="A162" s="37" t="s">
        <v>690</v>
      </c>
      <c r="B162" s="37" t="s">
        <v>517</v>
      </c>
      <c r="C162" s="37" t="s">
        <v>518</v>
      </c>
      <c r="D162" s="41">
        <v>8.5</v>
      </c>
      <c r="E162" s="43" t="s">
        <v>683</v>
      </c>
      <c r="F162" s="43" t="s">
        <v>753</v>
      </c>
      <c r="G162" s="43" t="s">
        <v>171</v>
      </c>
      <c r="H162" s="37" t="s">
        <v>49</v>
      </c>
      <c r="I162" s="39">
        <v>46227.79173611111</v>
      </c>
    </row>
    <row r="163" spans="1:9" ht="27.6" hidden="1">
      <c r="A163" s="37" t="s">
        <v>690</v>
      </c>
      <c r="B163" s="37" t="s">
        <v>520</v>
      </c>
      <c r="C163" s="37" t="s">
        <v>521</v>
      </c>
      <c r="D163" s="41">
        <v>8</v>
      </c>
      <c r="E163" s="43" t="s">
        <v>683</v>
      </c>
      <c r="F163" s="43" t="s">
        <v>753</v>
      </c>
      <c r="G163" s="43" t="s">
        <v>171</v>
      </c>
      <c r="H163" s="37" t="s">
        <v>49</v>
      </c>
      <c r="I163" s="39">
        <v>46227.79173611111</v>
      </c>
    </row>
    <row r="164" spans="1:9" ht="27.6" hidden="1">
      <c r="A164" s="37" t="s">
        <v>691</v>
      </c>
      <c r="B164" s="37" t="s">
        <v>483</v>
      </c>
      <c r="C164" s="37" t="s">
        <v>484</v>
      </c>
      <c r="D164" s="41">
        <v>10</v>
      </c>
      <c r="E164" s="43" t="s">
        <v>682</v>
      </c>
      <c r="F164" s="43" t="s">
        <v>753</v>
      </c>
      <c r="G164" s="43" t="s">
        <v>171</v>
      </c>
      <c r="H164" s="37" t="s">
        <v>49</v>
      </c>
      <c r="I164" s="39">
        <v>46227.791747685187</v>
      </c>
    </row>
    <row r="165" spans="1:9" ht="27.6" hidden="1">
      <c r="A165" s="37" t="s">
        <v>691</v>
      </c>
      <c r="B165" s="37" t="s">
        <v>488</v>
      </c>
      <c r="C165" s="37" t="s">
        <v>489</v>
      </c>
      <c r="D165" s="41">
        <v>10</v>
      </c>
      <c r="E165" s="43" t="s">
        <v>682</v>
      </c>
      <c r="F165" s="43" t="s">
        <v>753</v>
      </c>
      <c r="G165" s="43" t="s">
        <v>171</v>
      </c>
      <c r="H165" s="37" t="s">
        <v>49</v>
      </c>
      <c r="I165" s="39">
        <v>46227.791747685187</v>
      </c>
    </row>
    <row r="166" spans="1:9" ht="27.6" hidden="1">
      <c r="A166" s="37" t="s">
        <v>691</v>
      </c>
      <c r="B166" s="37" t="s">
        <v>491</v>
      </c>
      <c r="C166" s="37" t="s">
        <v>492</v>
      </c>
      <c r="D166" s="41">
        <v>9</v>
      </c>
      <c r="E166" s="43" t="s">
        <v>683</v>
      </c>
      <c r="F166" s="43" t="s">
        <v>753</v>
      </c>
      <c r="G166" s="43" t="s">
        <v>171</v>
      </c>
      <c r="H166" s="37" t="s">
        <v>49</v>
      </c>
      <c r="I166" s="39">
        <v>46227.791747685187</v>
      </c>
    </row>
    <row r="167" spans="1:9" ht="27.6" hidden="1">
      <c r="A167" s="37" t="s">
        <v>691</v>
      </c>
      <c r="B167" s="37" t="s">
        <v>496</v>
      </c>
      <c r="C167" s="37" t="s">
        <v>497</v>
      </c>
      <c r="D167" s="41">
        <v>9</v>
      </c>
      <c r="E167" s="43" t="s">
        <v>683</v>
      </c>
      <c r="F167" s="43" t="s">
        <v>753</v>
      </c>
      <c r="G167" s="43" t="s">
        <v>171</v>
      </c>
      <c r="H167" s="37" t="s">
        <v>49</v>
      </c>
      <c r="I167" s="39">
        <v>46227.791747685187</v>
      </c>
    </row>
    <row r="168" spans="1:9" ht="27.6" hidden="1">
      <c r="A168" s="37" t="s">
        <v>691</v>
      </c>
      <c r="B168" s="37" t="s">
        <v>500</v>
      </c>
      <c r="C168" s="37" t="s">
        <v>501</v>
      </c>
      <c r="D168" s="41">
        <v>9</v>
      </c>
      <c r="E168" s="43" t="s">
        <v>683</v>
      </c>
      <c r="F168" s="43" t="s">
        <v>753</v>
      </c>
      <c r="G168" s="43" t="s">
        <v>171</v>
      </c>
      <c r="H168" s="37" t="s">
        <v>49</v>
      </c>
      <c r="I168" s="39">
        <v>46227.791747685187</v>
      </c>
    </row>
    <row r="169" spans="1:9" ht="27.6" hidden="1">
      <c r="A169" s="37" t="s">
        <v>691</v>
      </c>
      <c r="B169" s="37" t="s">
        <v>504</v>
      </c>
      <c r="C169" s="37" t="s">
        <v>505</v>
      </c>
      <c r="D169" s="41">
        <v>8</v>
      </c>
      <c r="E169" s="43" t="s">
        <v>684</v>
      </c>
      <c r="F169" s="43" t="s">
        <v>753</v>
      </c>
      <c r="G169" s="43" t="s">
        <v>171</v>
      </c>
      <c r="H169" s="37" t="s">
        <v>49</v>
      </c>
      <c r="I169" s="39">
        <v>46227.791747685187</v>
      </c>
    </row>
    <row r="170" spans="1:9" ht="27.6" hidden="1">
      <c r="A170" s="37" t="s">
        <v>691</v>
      </c>
      <c r="B170" s="37" t="s">
        <v>509</v>
      </c>
      <c r="C170" s="37" t="s">
        <v>510</v>
      </c>
      <c r="D170" s="41">
        <v>7</v>
      </c>
      <c r="E170" s="43" t="s">
        <v>683</v>
      </c>
      <c r="F170" s="43" t="s">
        <v>753</v>
      </c>
      <c r="G170" s="43" t="s">
        <v>171</v>
      </c>
      <c r="H170" s="37" t="s">
        <v>49</v>
      </c>
      <c r="I170" s="39">
        <v>46227.791747685187</v>
      </c>
    </row>
    <row r="171" spans="1:9" ht="27.6" hidden="1">
      <c r="A171" s="37" t="s">
        <v>691</v>
      </c>
      <c r="B171" s="37" t="s">
        <v>513</v>
      </c>
      <c r="C171" s="37" t="s">
        <v>514</v>
      </c>
      <c r="D171" s="41">
        <v>7</v>
      </c>
      <c r="E171" s="43" t="s">
        <v>684</v>
      </c>
      <c r="F171" s="43" t="s">
        <v>753</v>
      </c>
      <c r="G171" s="43" t="s">
        <v>171</v>
      </c>
      <c r="H171" s="37" t="s">
        <v>49</v>
      </c>
      <c r="I171" s="39">
        <v>46227.791747685187</v>
      </c>
    </row>
    <row r="172" spans="1:9" ht="27.6" hidden="1">
      <c r="A172" s="37" t="s">
        <v>691</v>
      </c>
      <c r="B172" s="37" t="s">
        <v>517</v>
      </c>
      <c r="C172" s="37" t="s">
        <v>518</v>
      </c>
      <c r="D172" s="41">
        <v>9</v>
      </c>
      <c r="E172" s="43" t="s">
        <v>683</v>
      </c>
      <c r="F172" s="43" t="s">
        <v>753</v>
      </c>
      <c r="G172" s="43" t="s">
        <v>171</v>
      </c>
      <c r="H172" s="37" t="s">
        <v>49</v>
      </c>
      <c r="I172" s="39">
        <v>46227.791747685187</v>
      </c>
    </row>
    <row r="173" spans="1:9" ht="27.6" hidden="1">
      <c r="A173" s="37" t="s">
        <v>691</v>
      </c>
      <c r="B173" s="37" t="s">
        <v>520</v>
      </c>
      <c r="C173" s="37" t="s">
        <v>521</v>
      </c>
      <c r="D173" s="41">
        <v>9</v>
      </c>
      <c r="E173" s="43" t="s">
        <v>683</v>
      </c>
      <c r="F173" s="43" t="s">
        <v>753</v>
      </c>
      <c r="G173" s="43" t="s">
        <v>171</v>
      </c>
      <c r="H173" s="37" t="s">
        <v>49</v>
      </c>
      <c r="I173" s="39">
        <v>46227.791747685187</v>
      </c>
    </row>
    <row r="174" spans="1:9" ht="27.6" hidden="1">
      <c r="A174" s="37" t="s">
        <v>692</v>
      </c>
      <c r="B174" s="37" t="s">
        <v>483</v>
      </c>
      <c r="C174" s="37" t="s">
        <v>484</v>
      </c>
      <c r="D174" s="41">
        <v>8</v>
      </c>
      <c r="E174" s="43" t="s">
        <v>682</v>
      </c>
      <c r="F174" s="43" t="s">
        <v>753</v>
      </c>
      <c r="G174" s="43" t="s">
        <v>171</v>
      </c>
      <c r="H174" s="37" t="s">
        <v>49</v>
      </c>
      <c r="I174" s="39">
        <v>46227.791759259257</v>
      </c>
    </row>
    <row r="175" spans="1:9" ht="27.6" hidden="1">
      <c r="A175" s="37" t="s">
        <v>692</v>
      </c>
      <c r="B175" s="37" t="s">
        <v>488</v>
      </c>
      <c r="C175" s="37" t="s">
        <v>489</v>
      </c>
      <c r="D175" s="41">
        <v>8</v>
      </c>
      <c r="E175" s="43" t="s">
        <v>682</v>
      </c>
      <c r="F175" s="43" t="s">
        <v>753</v>
      </c>
      <c r="G175" s="43" t="s">
        <v>171</v>
      </c>
      <c r="H175" s="37" t="s">
        <v>49</v>
      </c>
      <c r="I175" s="39">
        <v>46227.791759259257</v>
      </c>
    </row>
    <row r="176" spans="1:9" ht="27.6" hidden="1">
      <c r="A176" s="37" t="s">
        <v>692</v>
      </c>
      <c r="B176" s="37" t="s">
        <v>491</v>
      </c>
      <c r="C176" s="37" t="s">
        <v>492</v>
      </c>
      <c r="D176" s="41">
        <v>8</v>
      </c>
      <c r="E176" s="43" t="s">
        <v>683</v>
      </c>
      <c r="F176" s="43" t="s">
        <v>753</v>
      </c>
      <c r="G176" s="43" t="s">
        <v>171</v>
      </c>
      <c r="H176" s="37" t="s">
        <v>49</v>
      </c>
      <c r="I176" s="39">
        <v>46227.791759259257</v>
      </c>
    </row>
    <row r="177" spans="1:9" ht="27.6" hidden="1">
      <c r="A177" s="37" t="s">
        <v>692</v>
      </c>
      <c r="B177" s="37" t="s">
        <v>496</v>
      </c>
      <c r="C177" s="37" t="s">
        <v>497</v>
      </c>
      <c r="D177" s="41">
        <v>9</v>
      </c>
      <c r="E177" s="43" t="s">
        <v>683</v>
      </c>
      <c r="F177" s="43" t="s">
        <v>753</v>
      </c>
      <c r="G177" s="43" t="s">
        <v>171</v>
      </c>
      <c r="H177" s="37" t="s">
        <v>49</v>
      </c>
      <c r="I177" s="39">
        <v>46227.791759259257</v>
      </c>
    </row>
    <row r="178" spans="1:9" ht="27.6" hidden="1">
      <c r="A178" s="37" t="s">
        <v>692</v>
      </c>
      <c r="B178" s="37" t="s">
        <v>500</v>
      </c>
      <c r="C178" s="37" t="s">
        <v>501</v>
      </c>
      <c r="D178" s="41">
        <v>8.5</v>
      </c>
      <c r="E178" s="43" t="s">
        <v>683</v>
      </c>
      <c r="F178" s="43" t="s">
        <v>753</v>
      </c>
      <c r="G178" s="43" t="s">
        <v>171</v>
      </c>
      <c r="H178" s="37" t="s">
        <v>49</v>
      </c>
      <c r="I178" s="39">
        <v>46227.791759259257</v>
      </c>
    </row>
    <row r="179" spans="1:9" ht="27.6" hidden="1">
      <c r="A179" s="37" t="s">
        <v>692</v>
      </c>
      <c r="B179" s="37" t="s">
        <v>504</v>
      </c>
      <c r="C179" s="37" t="s">
        <v>505</v>
      </c>
      <c r="D179" s="41">
        <v>9</v>
      </c>
      <c r="E179" s="43" t="s">
        <v>684</v>
      </c>
      <c r="F179" s="43" t="s">
        <v>753</v>
      </c>
      <c r="G179" s="43" t="s">
        <v>171</v>
      </c>
      <c r="H179" s="37" t="s">
        <v>49</v>
      </c>
      <c r="I179" s="39">
        <v>46227.791759259257</v>
      </c>
    </row>
    <row r="180" spans="1:9" ht="27.6" hidden="1">
      <c r="A180" s="37" t="s">
        <v>692</v>
      </c>
      <c r="B180" s="37" t="s">
        <v>509</v>
      </c>
      <c r="C180" s="37" t="s">
        <v>510</v>
      </c>
      <c r="D180" s="41">
        <v>7</v>
      </c>
      <c r="E180" s="43" t="s">
        <v>683</v>
      </c>
      <c r="F180" s="43" t="s">
        <v>753</v>
      </c>
      <c r="G180" s="43" t="s">
        <v>171</v>
      </c>
      <c r="H180" s="37" t="s">
        <v>49</v>
      </c>
      <c r="I180" s="39">
        <v>46227.791759259257</v>
      </c>
    </row>
    <row r="181" spans="1:9" ht="27.6" hidden="1">
      <c r="A181" s="37" t="s">
        <v>692</v>
      </c>
      <c r="B181" s="37" t="s">
        <v>513</v>
      </c>
      <c r="C181" s="37" t="s">
        <v>514</v>
      </c>
      <c r="D181" s="41">
        <v>9</v>
      </c>
      <c r="E181" s="43" t="s">
        <v>684</v>
      </c>
      <c r="F181" s="43" t="s">
        <v>753</v>
      </c>
      <c r="G181" s="43" t="s">
        <v>171</v>
      </c>
      <c r="H181" s="37" t="s">
        <v>49</v>
      </c>
      <c r="I181" s="39">
        <v>46227.791759259257</v>
      </c>
    </row>
    <row r="182" spans="1:9" ht="27.6" hidden="1">
      <c r="A182" s="37" t="s">
        <v>692</v>
      </c>
      <c r="B182" s="37" t="s">
        <v>517</v>
      </c>
      <c r="C182" s="37" t="s">
        <v>518</v>
      </c>
      <c r="D182" s="41">
        <v>8.5</v>
      </c>
      <c r="E182" s="43" t="s">
        <v>683</v>
      </c>
      <c r="F182" s="43" t="s">
        <v>753</v>
      </c>
      <c r="G182" s="43" t="s">
        <v>171</v>
      </c>
      <c r="H182" s="37" t="s">
        <v>49</v>
      </c>
      <c r="I182" s="39">
        <v>46227.791759259257</v>
      </c>
    </row>
    <row r="183" spans="1:9" ht="27.6" hidden="1">
      <c r="A183" s="37" t="s">
        <v>692</v>
      </c>
      <c r="B183" s="37" t="s">
        <v>520</v>
      </c>
      <c r="C183" s="37" t="s">
        <v>521</v>
      </c>
      <c r="D183" s="41">
        <v>7.5</v>
      </c>
      <c r="E183" s="43" t="s">
        <v>683</v>
      </c>
      <c r="F183" s="43" t="s">
        <v>753</v>
      </c>
      <c r="G183" s="43" t="s">
        <v>171</v>
      </c>
      <c r="H183" s="37" t="s">
        <v>49</v>
      </c>
      <c r="I183" s="39">
        <v>46227.791759259257</v>
      </c>
    </row>
    <row r="184" spans="1:9" ht="27.6" hidden="1">
      <c r="A184" s="37" t="s">
        <v>693</v>
      </c>
      <c r="B184" s="37" t="s">
        <v>483</v>
      </c>
      <c r="C184" s="37" t="s">
        <v>484</v>
      </c>
      <c r="D184" s="41">
        <v>9</v>
      </c>
      <c r="E184" s="43" t="s">
        <v>682</v>
      </c>
      <c r="F184" s="43" t="s">
        <v>753</v>
      </c>
      <c r="G184" s="43" t="s">
        <v>171</v>
      </c>
      <c r="H184" s="37" t="s">
        <v>49</v>
      </c>
      <c r="I184" s="39">
        <v>46227.791770833333</v>
      </c>
    </row>
    <row r="185" spans="1:9" ht="27.6" hidden="1">
      <c r="A185" s="37" t="s">
        <v>693</v>
      </c>
      <c r="B185" s="37" t="s">
        <v>488</v>
      </c>
      <c r="C185" s="37" t="s">
        <v>489</v>
      </c>
      <c r="D185" s="41">
        <v>9.5</v>
      </c>
      <c r="E185" s="43" t="s">
        <v>682</v>
      </c>
      <c r="F185" s="43" t="s">
        <v>753</v>
      </c>
      <c r="G185" s="43" t="s">
        <v>171</v>
      </c>
      <c r="H185" s="37" t="s">
        <v>49</v>
      </c>
      <c r="I185" s="39">
        <v>46227.791770833333</v>
      </c>
    </row>
    <row r="186" spans="1:9" ht="27.6" hidden="1">
      <c r="A186" s="37" t="s">
        <v>693</v>
      </c>
      <c r="B186" s="37" t="s">
        <v>491</v>
      </c>
      <c r="C186" s="37" t="s">
        <v>492</v>
      </c>
      <c r="D186" s="41">
        <v>8.5</v>
      </c>
      <c r="E186" s="43" t="s">
        <v>683</v>
      </c>
      <c r="F186" s="43" t="s">
        <v>753</v>
      </c>
      <c r="G186" s="43" t="s">
        <v>171</v>
      </c>
      <c r="H186" s="37" t="s">
        <v>49</v>
      </c>
      <c r="I186" s="39">
        <v>46227.791770833333</v>
      </c>
    </row>
    <row r="187" spans="1:9" ht="27.6" hidden="1">
      <c r="A187" s="37" t="s">
        <v>693</v>
      </c>
      <c r="B187" s="37" t="s">
        <v>496</v>
      </c>
      <c r="C187" s="37" t="s">
        <v>497</v>
      </c>
      <c r="D187" s="41">
        <v>9</v>
      </c>
      <c r="E187" s="43" t="s">
        <v>683</v>
      </c>
      <c r="F187" s="43" t="s">
        <v>753</v>
      </c>
      <c r="G187" s="43" t="s">
        <v>171</v>
      </c>
      <c r="H187" s="37" t="s">
        <v>49</v>
      </c>
      <c r="I187" s="39">
        <v>46227.791770833333</v>
      </c>
    </row>
    <row r="188" spans="1:9" ht="27.6" hidden="1">
      <c r="A188" s="37" t="s">
        <v>693</v>
      </c>
      <c r="B188" s="37" t="s">
        <v>500</v>
      </c>
      <c r="C188" s="37" t="s">
        <v>501</v>
      </c>
      <c r="D188" s="41">
        <v>8</v>
      </c>
      <c r="E188" s="43" t="s">
        <v>683</v>
      </c>
      <c r="F188" s="43" t="s">
        <v>753</v>
      </c>
      <c r="G188" s="43" t="s">
        <v>171</v>
      </c>
      <c r="H188" s="37" t="s">
        <v>49</v>
      </c>
      <c r="I188" s="39">
        <v>46227.791770833333</v>
      </c>
    </row>
    <row r="189" spans="1:9" ht="27.6" hidden="1">
      <c r="A189" s="37" t="s">
        <v>693</v>
      </c>
      <c r="B189" s="37" t="s">
        <v>504</v>
      </c>
      <c r="C189" s="37" t="s">
        <v>505</v>
      </c>
      <c r="D189" s="41">
        <v>9</v>
      </c>
      <c r="E189" s="43" t="s">
        <v>684</v>
      </c>
      <c r="F189" s="43" t="s">
        <v>753</v>
      </c>
      <c r="G189" s="43" t="s">
        <v>171</v>
      </c>
      <c r="H189" s="37" t="s">
        <v>49</v>
      </c>
      <c r="I189" s="39">
        <v>46227.791770833333</v>
      </c>
    </row>
    <row r="190" spans="1:9" ht="27.6" hidden="1">
      <c r="A190" s="37" t="s">
        <v>693</v>
      </c>
      <c r="B190" s="37" t="s">
        <v>509</v>
      </c>
      <c r="C190" s="37" t="s">
        <v>510</v>
      </c>
      <c r="D190" s="41">
        <v>7</v>
      </c>
      <c r="E190" s="43" t="s">
        <v>683</v>
      </c>
      <c r="F190" s="43" t="s">
        <v>753</v>
      </c>
      <c r="G190" s="43" t="s">
        <v>171</v>
      </c>
      <c r="H190" s="37" t="s">
        <v>49</v>
      </c>
      <c r="I190" s="39">
        <v>46227.791770833333</v>
      </c>
    </row>
    <row r="191" spans="1:9" ht="27.6" hidden="1">
      <c r="A191" s="37" t="s">
        <v>693</v>
      </c>
      <c r="B191" s="37" t="s">
        <v>513</v>
      </c>
      <c r="C191" s="37" t="s">
        <v>514</v>
      </c>
      <c r="D191" s="41">
        <v>9</v>
      </c>
      <c r="E191" s="43" t="s">
        <v>684</v>
      </c>
      <c r="F191" s="43" t="s">
        <v>753</v>
      </c>
      <c r="G191" s="43" t="s">
        <v>171</v>
      </c>
      <c r="H191" s="37" t="s">
        <v>49</v>
      </c>
      <c r="I191" s="39">
        <v>46227.791770833333</v>
      </c>
    </row>
    <row r="192" spans="1:9" ht="27.6" hidden="1">
      <c r="A192" s="37" t="s">
        <v>693</v>
      </c>
      <c r="B192" s="37" t="s">
        <v>517</v>
      </c>
      <c r="C192" s="37" t="s">
        <v>518</v>
      </c>
      <c r="D192" s="41">
        <v>8.5</v>
      </c>
      <c r="E192" s="43" t="s">
        <v>683</v>
      </c>
      <c r="F192" s="43" t="s">
        <v>753</v>
      </c>
      <c r="G192" s="43" t="s">
        <v>171</v>
      </c>
      <c r="H192" s="37" t="s">
        <v>49</v>
      </c>
      <c r="I192" s="39">
        <v>46227.791770833333</v>
      </c>
    </row>
    <row r="193" spans="1:9" ht="27.6" hidden="1">
      <c r="A193" s="37" t="s">
        <v>693</v>
      </c>
      <c r="B193" s="37" t="s">
        <v>520</v>
      </c>
      <c r="C193" s="37" t="s">
        <v>521</v>
      </c>
      <c r="D193" s="41">
        <v>8</v>
      </c>
      <c r="E193" s="43" t="s">
        <v>683</v>
      </c>
      <c r="F193" s="43" t="s">
        <v>753</v>
      </c>
      <c r="G193" s="43" t="s">
        <v>171</v>
      </c>
      <c r="H193" s="37" t="s">
        <v>49</v>
      </c>
      <c r="I193" s="39">
        <v>46227.791770833333</v>
      </c>
    </row>
    <row r="194" spans="1:9" ht="27.6" hidden="1">
      <c r="A194" s="37" t="s">
        <v>694</v>
      </c>
      <c r="B194" s="37" t="s">
        <v>483</v>
      </c>
      <c r="C194" s="37" t="s">
        <v>484</v>
      </c>
      <c r="D194" s="41">
        <v>10</v>
      </c>
      <c r="E194" s="43" t="s">
        <v>682</v>
      </c>
      <c r="F194" s="43" t="s">
        <v>753</v>
      </c>
      <c r="G194" s="43" t="s">
        <v>171</v>
      </c>
      <c r="H194" s="37" t="s">
        <v>49</v>
      </c>
      <c r="I194" s="39">
        <v>46227.79178240741</v>
      </c>
    </row>
    <row r="195" spans="1:9" ht="27.6" hidden="1">
      <c r="A195" s="37" t="s">
        <v>694</v>
      </c>
      <c r="B195" s="37" t="s">
        <v>488</v>
      </c>
      <c r="C195" s="37" t="s">
        <v>489</v>
      </c>
      <c r="D195" s="41">
        <v>10</v>
      </c>
      <c r="E195" s="43" t="s">
        <v>682</v>
      </c>
      <c r="F195" s="43" t="s">
        <v>753</v>
      </c>
      <c r="G195" s="43" t="s">
        <v>171</v>
      </c>
      <c r="H195" s="37" t="s">
        <v>49</v>
      </c>
      <c r="I195" s="39">
        <v>46227.79178240741</v>
      </c>
    </row>
    <row r="196" spans="1:9" ht="27.6" hidden="1">
      <c r="A196" s="37" t="s">
        <v>694</v>
      </c>
      <c r="B196" s="37" t="s">
        <v>491</v>
      </c>
      <c r="C196" s="37" t="s">
        <v>492</v>
      </c>
      <c r="D196" s="41">
        <v>10</v>
      </c>
      <c r="E196" s="43" t="s">
        <v>683</v>
      </c>
      <c r="F196" s="43" t="s">
        <v>753</v>
      </c>
      <c r="G196" s="43" t="s">
        <v>171</v>
      </c>
      <c r="H196" s="37" t="s">
        <v>49</v>
      </c>
      <c r="I196" s="39">
        <v>46227.79178240741</v>
      </c>
    </row>
    <row r="197" spans="1:9" ht="27.6" hidden="1">
      <c r="A197" s="37" t="s">
        <v>694</v>
      </c>
      <c r="B197" s="37" t="s">
        <v>496</v>
      </c>
      <c r="C197" s="37" t="s">
        <v>497</v>
      </c>
      <c r="D197" s="41">
        <v>10</v>
      </c>
      <c r="E197" s="43" t="s">
        <v>683</v>
      </c>
      <c r="F197" s="43" t="s">
        <v>753</v>
      </c>
      <c r="G197" s="43" t="s">
        <v>171</v>
      </c>
      <c r="H197" s="37" t="s">
        <v>49</v>
      </c>
      <c r="I197" s="39">
        <v>46227.79178240741</v>
      </c>
    </row>
    <row r="198" spans="1:9" ht="27.6" hidden="1">
      <c r="A198" s="37" t="s">
        <v>694</v>
      </c>
      <c r="B198" s="37" t="s">
        <v>500</v>
      </c>
      <c r="C198" s="37" t="s">
        <v>501</v>
      </c>
      <c r="D198" s="41">
        <v>9</v>
      </c>
      <c r="E198" s="43" t="s">
        <v>683</v>
      </c>
      <c r="F198" s="43" t="s">
        <v>753</v>
      </c>
      <c r="G198" s="43" t="s">
        <v>171</v>
      </c>
      <c r="H198" s="37" t="s">
        <v>49</v>
      </c>
      <c r="I198" s="39">
        <v>46227.79178240741</v>
      </c>
    </row>
    <row r="199" spans="1:9" ht="27.6" hidden="1">
      <c r="A199" s="37" t="s">
        <v>694</v>
      </c>
      <c r="B199" s="37" t="s">
        <v>504</v>
      </c>
      <c r="C199" s="37" t="s">
        <v>505</v>
      </c>
      <c r="D199" s="41">
        <v>8</v>
      </c>
      <c r="E199" s="43" t="s">
        <v>684</v>
      </c>
      <c r="F199" s="43" t="s">
        <v>753</v>
      </c>
      <c r="G199" s="43" t="s">
        <v>171</v>
      </c>
      <c r="H199" s="37" t="s">
        <v>49</v>
      </c>
      <c r="I199" s="39">
        <v>46227.79178240741</v>
      </c>
    </row>
    <row r="200" spans="1:9" ht="27.6" hidden="1">
      <c r="A200" s="37" t="s">
        <v>694</v>
      </c>
      <c r="B200" s="37" t="s">
        <v>509</v>
      </c>
      <c r="C200" s="37" t="s">
        <v>510</v>
      </c>
      <c r="D200" s="41">
        <v>8</v>
      </c>
      <c r="E200" s="43" t="s">
        <v>683</v>
      </c>
      <c r="F200" s="43" t="s">
        <v>753</v>
      </c>
      <c r="G200" s="43" t="s">
        <v>171</v>
      </c>
      <c r="H200" s="37" t="s">
        <v>49</v>
      </c>
      <c r="I200" s="39">
        <v>46227.79178240741</v>
      </c>
    </row>
    <row r="201" spans="1:9" ht="27.6" hidden="1">
      <c r="A201" s="37" t="s">
        <v>694</v>
      </c>
      <c r="B201" s="37" t="s">
        <v>513</v>
      </c>
      <c r="C201" s="37" t="s">
        <v>514</v>
      </c>
      <c r="D201" s="41">
        <v>8</v>
      </c>
      <c r="E201" s="43" t="s">
        <v>684</v>
      </c>
      <c r="F201" s="43" t="s">
        <v>753</v>
      </c>
      <c r="G201" s="43" t="s">
        <v>171</v>
      </c>
      <c r="H201" s="37" t="s">
        <v>49</v>
      </c>
      <c r="I201" s="39">
        <v>46227.79178240741</v>
      </c>
    </row>
    <row r="202" spans="1:9" ht="27.6" hidden="1">
      <c r="A202" s="37" t="s">
        <v>694</v>
      </c>
      <c r="B202" s="37" t="s">
        <v>517</v>
      </c>
      <c r="C202" s="37" t="s">
        <v>518</v>
      </c>
      <c r="D202" s="41">
        <v>10</v>
      </c>
      <c r="E202" s="43" t="s">
        <v>683</v>
      </c>
      <c r="F202" s="43" t="s">
        <v>753</v>
      </c>
      <c r="G202" s="43" t="s">
        <v>171</v>
      </c>
      <c r="H202" s="37" t="s">
        <v>49</v>
      </c>
      <c r="I202" s="39">
        <v>46227.79178240741</v>
      </c>
    </row>
    <row r="203" spans="1:9" ht="27.6" hidden="1">
      <c r="A203" s="37" t="s">
        <v>694</v>
      </c>
      <c r="B203" s="37" t="s">
        <v>520</v>
      </c>
      <c r="C203" s="37" t="s">
        <v>521</v>
      </c>
      <c r="D203" s="41">
        <v>10</v>
      </c>
      <c r="E203" s="43" t="s">
        <v>683</v>
      </c>
      <c r="F203" s="43" t="s">
        <v>753</v>
      </c>
      <c r="G203" s="43" t="s">
        <v>171</v>
      </c>
      <c r="H203" s="37" t="s">
        <v>49</v>
      </c>
      <c r="I203" s="39">
        <v>46227.79178240741</v>
      </c>
    </row>
    <row r="204" spans="1:9" ht="27.6" hidden="1">
      <c r="A204" s="37" t="s">
        <v>695</v>
      </c>
      <c r="B204" s="37" t="s">
        <v>483</v>
      </c>
      <c r="C204" s="37" t="s">
        <v>484</v>
      </c>
      <c r="D204" s="41">
        <v>10</v>
      </c>
      <c r="E204" s="43" t="s">
        <v>682</v>
      </c>
      <c r="F204" s="43" t="s">
        <v>753</v>
      </c>
      <c r="G204" s="43" t="s">
        <v>171</v>
      </c>
      <c r="H204" s="37" t="s">
        <v>49</v>
      </c>
      <c r="I204" s="39">
        <v>46227.79179398148</v>
      </c>
    </row>
    <row r="205" spans="1:9" ht="27.6" hidden="1">
      <c r="A205" s="37" t="s">
        <v>695</v>
      </c>
      <c r="B205" s="37" t="s">
        <v>488</v>
      </c>
      <c r="C205" s="37" t="s">
        <v>489</v>
      </c>
      <c r="D205" s="41">
        <v>10</v>
      </c>
      <c r="E205" s="43" t="s">
        <v>682</v>
      </c>
      <c r="F205" s="43" t="s">
        <v>753</v>
      </c>
      <c r="G205" s="43" t="s">
        <v>171</v>
      </c>
      <c r="H205" s="37" t="s">
        <v>49</v>
      </c>
      <c r="I205" s="39">
        <v>46227.79179398148</v>
      </c>
    </row>
    <row r="206" spans="1:9" ht="27.6" hidden="1">
      <c r="A206" s="37" t="s">
        <v>695</v>
      </c>
      <c r="B206" s="37" t="s">
        <v>491</v>
      </c>
      <c r="C206" s="37" t="s">
        <v>492</v>
      </c>
      <c r="D206" s="41">
        <v>9</v>
      </c>
      <c r="E206" s="43" t="s">
        <v>683</v>
      </c>
      <c r="F206" s="43" t="s">
        <v>753</v>
      </c>
      <c r="G206" s="43" t="s">
        <v>171</v>
      </c>
      <c r="H206" s="37" t="s">
        <v>49</v>
      </c>
      <c r="I206" s="39">
        <v>46227.79179398148</v>
      </c>
    </row>
    <row r="207" spans="1:9" ht="27.6" hidden="1">
      <c r="A207" s="37" t="s">
        <v>695</v>
      </c>
      <c r="B207" s="37" t="s">
        <v>496</v>
      </c>
      <c r="C207" s="37" t="s">
        <v>497</v>
      </c>
      <c r="D207" s="41">
        <v>9.5</v>
      </c>
      <c r="E207" s="43" t="s">
        <v>683</v>
      </c>
      <c r="F207" s="43" t="s">
        <v>753</v>
      </c>
      <c r="G207" s="43" t="s">
        <v>171</v>
      </c>
      <c r="H207" s="37" t="s">
        <v>49</v>
      </c>
      <c r="I207" s="39">
        <v>46227.79179398148</v>
      </c>
    </row>
    <row r="208" spans="1:9" ht="27.6" hidden="1">
      <c r="A208" s="37" t="s">
        <v>695</v>
      </c>
      <c r="B208" s="37" t="s">
        <v>500</v>
      </c>
      <c r="C208" s="37" t="s">
        <v>501</v>
      </c>
      <c r="D208" s="41">
        <v>6</v>
      </c>
      <c r="E208" s="43" t="s">
        <v>683</v>
      </c>
      <c r="F208" s="43" t="s">
        <v>753</v>
      </c>
      <c r="G208" s="43" t="s">
        <v>171</v>
      </c>
      <c r="H208" s="37" t="s">
        <v>49</v>
      </c>
      <c r="I208" s="39">
        <v>46227.79179398148</v>
      </c>
    </row>
    <row r="209" spans="1:9" ht="27.6" hidden="1">
      <c r="A209" s="37" t="s">
        <v>695</v>
      </c>
      <c r="B209" s="37" t="s">
        <v>504</v>
      </c>
      <c r="C209" s="37" t="s">
        <v>505</v>
      </c>
      <c r="D209" s="41">
        <v>7.5</v>
      </c>
      <c r="E209" s="43" t="s">
        <v>684</v>
      </c>
      <c r="F209" s="43" t="s">
        <v>753</v>
      </c>
      <c r="G209" s="43" t="s">
        <v>171</v>
      </c>
      <c r="H209" s="37" t="s">
        <v>49</v>
      </c>
      <c r="I209" s="39">
        <v>46227.79179398148</v>
      </c>
    </row>
    <row r="210" spans="1:9" ht="27.6" hidden="1">
      <c r="A210" s="37" t="s">
        <v>695</v>
      </c>
      <c r="B210" s="37" t="s">
        <v>509</v>
      </c>
      <c r="C210" s="37" t="s">
        <v>510</v>
      </c>
      <c r="D210" s="41">
        <v>8</v>
      </c>
      <c r="E210" s="43" t="s">
        <v>683</v>
      </c>
      <c r="F210" s="43" t="s">
        <v>753</v>
      </c>
      <c r="G210" s="43" t="s">
        <v>171</v>
      </c>
      <c r="H210" s="37" t="s">
        <v>49</v>
      </c>
      <c r="I210" s="39">
        <v>46227.79179398148</v>
      </c>
    </row>
    <row r="211" spans="1:9" ht="27.6" hidden="1">
      <c r="A211" s="37" t="s">
        <v>695</v>
      </c>
      <c r="B211" s="37" t="s">
        <v>513</v>
      </c>
      <c r="C211" s="37" t="s">
        <v>514</v>
      </c>
      <c r="D211" s="41">
        <v>9</v>
      </c>
      <c r="E211" s="43" t="s">
        <v>684</v>
      </c>
      <c r="F211" s="43" t="s">
        <v>753</v>
      </c>
      <c r="G211" s="43" t="s">
        <v>171</v>
      </c>
      <c r="H211" s="37" t="s">
        <v>49</v>
      </c>
      <c r="I211" s="39">
        <v>46227.79179398148</v>
      </c>
    </row>
    <row r="212" spans="1:9" ht="27.6" hidden="1">
      <c r="A212" s="37" t="s">
        <v>695</v>
      </c>
      <c r="B212" s="37" t="s">
        <v>517</v>
      </c>
      <c r="C212" s="37" t="s">
        <v>518</v>
      </c>
      <c r="D212" s="41">
        <v>9</v>
      </c>
      <c r="E212" s="43" t="s">
        <v>683</v>
      </c>
      <c r="F212" s="43" t="s">
        <v>753</v>
      </c>
      <c r="G212" s="43" t="s">
        <v>171</v>
      </c>
      <c r="H212" s="37" t="s">
        <v>49</v>
      </c>
      <c r="I212" s="39">
        <v>46227.79179398148</v>
      </c>
    </row>
    <row r="213" spans="1:9" ht="27.6" hidden="1">
      <c r="A213" s="37" t="s">
        <v>695</v>
      </c>
      <c r="B213" s="37" t="s">
        <v>520</v>
      </c>
      <c r="C213" s="37" t="s">
        <v>521</v>
      </c>
      <c r="D213" s="41">
        <v>9</v>
      </c>
      <c r="E213" s="43" t="s">
        <v>683</v>
      </c>
      <c r="F213" s="43" t="s">
        <v>753</v>
      </c>
      <c r="G213" s="43" t="s">
        <v>171</v>
      </c>
      <c r="H213" s="37" t="s">
        <v>49</v>
      </c>
      <c r="I213" s="39">
        <v>46227.79179398148</v>
      </c>
    </row>
    <row r="214" spans="1:9" ht="27.6" hidden="1">
      <c r="A214" s="37" t="s">
        <v>696</v>
      </c>
      <c r="B214" s="37" t="s">
        <v>483</v>
      </c>
      <c r="C214" s="37" t="s">
        <v>484</v>
      </c>
      <c r="D214" s="41">
        <v>9</v>
      </c>
      <c r="E214" s="43" t="s">
        <v>682</v>
      </c>
      <c r="F214" s="43" t="s">
        <v>753</v>
      </c>
      <c r="G214" s="43" t="s">
        <v>171</v>
      </c>
      <c r="H214" s="37" t="s">
        <v>49</v>
      </c>
      <c r="I214" s="39">
        <v>46227.791805555556</v>
      </c>
    </row>
    <row r="215" spans="1:9" ht="27.6" hidden="1">
      <c r="A215" s="37" t="s">
        <v>696</v>
      </c>
      <c r="B215" s="37" t="s">
        <v>488</v>
      </c>
      <c r="C215" s="37" t="s">
        <v>489</v>
      </c>
      <c r="D215" s="41">
        <v>9.5</v>
      </c>
      <c r="E215" s="43" t="s">
        <v>682</v>
      </c>
      <c r="F215" s="43" t="s">
        <v>753</v>
      </c>
      <c r="G215" s="43" t="s">
        <v>171</v>
      </c>
      <c r="H215" s="37" t="s">
        <v>49</v>
      </c>
      <c r="I215" s="39">
        <v>46227.791805555556</v>
      </c>
    </row>
    <row r="216" spans="1:9" ht="27.6" hidden="1">
      <c r="A216" s="37" t="s">
        <v>696</v>
      </c>
      <c r="B216" s="37" t="s">
        <v>491</v>
      </c>
      <c r="C216" s="37" t="s">
        <v>492</v>
      </c>
      <c r="D216" s="41">
        <v>9</v>
      </c>
      <c r="E216" s="43" t="s">
        <v>683</v>
      </c>
      <c r="F216" s="43" t="s">
        <v>753</v>
      </c>
      <c r="G216" s="43" t="s">
        <v>171</v>
      </c>
      <c r="H216" s="37" t="s">
        <v>49</v>
      </c>
      <c r="I216" s="39">
        <v>46227.791805555556</v>
      </c>
    </row>
    <row r="217" spans="1:9" ht="27.6" hidden="1">
      <c r="A217" s="37" t="s">
        <v>696</v>
      </c>
      <c r="B217" s="37" t="s">
        <v>496</v>
      </c>
      <c r="C217" s="37" t="s">
        <v>497</v>
      </c>
      <c r="D217" s="41">
        <v>9.5</v>
      </c>
      <c r="E217" s="43" t="s">
        <v>683</v>
      </c>
      <c r="F217" s="43" t="s">
        <v>753</v>
      </c>
      <c r="G217" s="43" t="s">
        <v>171</v>
      </c>
      <c r="H217" s="37" t="s">
        <v>49</v>
      </c>
      <c r="I217" s="39">
        <v>46227.791805555556</v>
      </c>
    </row>
    <row r="218" spans="1:9" ht="27.6" hidden="1">
      <c r="A218" s="37" t="s">
        <v>696</v>
      </c>
      <c r="B218" s="37" t="s">
        <v>500</v>
      </c>
      <c r="C218" s="37" t="s">
        <v>501</v>
      </c>
      <c r="D218" s="41">
        <v>8</v>
      </c>
      <c r="E218" s="43" t="s">
        <v>683</v>
      </c>
      <c r="F218" s="43" t="s">
        <v>753</v>
      </c>
      <c r="G218" s="43" t="s">
        <v>171</v>
      </c>
      <c r="H218" s="37" t="s">
        <v>49</v>
      </c>
      <c r="I218" s="39">
        <v>46227.791805555556</v>
      </c>
    </row>
    <row r="219" spans="1:9" ht="27.6" hidden="1">
      <c r="A219" s="37" t="s">
        <v>696</v>
      </c>
      <c r="B219" s="37" t="s">
        <v>504</v>
      </c>
      <c r="C219" s="37" t="s">
        <v>505</v>
      </c>
      <c r="D219" s="41">
        <v>9</v>
      </c>
      <c r="E219" s="43" t="s">
        <v>684</v>
      </c>
      <c r="F219" s="43" t="s">
        <v>753</v>
      </c>
      <c r="G219" s="43" t="s">
        <v>171</v>
      </c>
      <c r="H219" s="37" t="s">
        <v>49</v>
      </c>
      <c r="I219" s="39">
        <v>46227.791805555556</v>
      </c>
    </row>
    <row r="220" spans="1:9" ht="27.6" hidden="1">
      <c r="A220" s="37" t="s">
        <v>696</v>
      </c>
      <c r="B220" s="37" t="s">
        <v>509</v>
      </c>
      <c r="C220" s="37" t="s">
        <v>510</v>
      </c>
      <c r="D220" s="41">
        <v>8</v>
      </c>
      <c r="E220" s="43" t="s">
        <v>683</v>
      </c>
      <c r="F220" s="43" t="s">
        <v>753</v>
      </c>
      <c r="G220" s="43" t="s">
        <v>171</v>
      </c>
      <c r="H220" s="37" t="s">
        <v>49</v>
      </c>
      <c r="I220" s="39">
        <v>46227.791805555556</v>
      </c>
    </row>
    <row r="221" spans="1:9" ht="27.6" hidden="1">
      <c r="A221" s="37" t="s">
        <v>696</v>
      </c>
      <c r="B221" s="37" t="s">
        <v>513</v>
      </c>
      <c r="C221" s="37" t="s">
        <v>514</v>
      </c>
      <c r="D221" s="41">
        <v>9</v>
      </c>
      <c r="E221" s="43" t="s">
        <v>684</v>
      </c>
      <c r="F221" s="43" t="s">
        <v>753</v>
      </c>
      <c r="G221" s="43" t="s">
        <v>171</v>
      </c>
      <c r="H221" s="37" t="s">
        <v>49</v>
      </c>
      <c r="I221" s="39">
        <v>46227.791805555556</v>
      </c>
    </row>
    <row r="222" spans="1:9" ht="27.6" hidden="1">
      <c r="A222" s="37" t="s">
        <v>696</v>
      </c>
      <c r="B222" s="37" t="s">
        <v>517</v>
      </c>
      <c r="C222" s="37" t="s">
        <v>518</v>
      </c>
      <c r="D222" s="41">
        <v>8.5</v>
      </c>
      <c r="E222" s="43" t="s">
        <v>683</v>
      </c>
      <c r="F222" s="43" t="s">
        <v>753</v>
      </c>
      <c r="G222" s="43" t="s">
        <v>171</v>
      </c>
      <c r="H222" s="37" t="s">
        <v>49</v>
      </c>
      <c r="I222" s="39">
        <v>46227.791805555556</v>
      </c>
    </row>
    <row r="223" spans="1:9" ht="27.6" hidden="1">
      <c r="A223" s="37" t="s">
        <v>696</v>
      </c>
      <c r="B223" s="37" t="s">
        <v>520</v>
      </c>
      <c r="C223" s="37" t="s">
        <v>521</v>
      </c>
      <c r="D223" s="41">
        <v>7</v>
      </c>
      <c r="E223" s="43" t="s">
        <v>683</v>
      </c>
      <c r="F223" s="43" t="s">
        <v>753</v>
      </c>
      <c r="G223" s="43" t="s">
        <v>171</v>
      </c>
      <c r="H223" s="37" t="s">
        <v>49</v>
      </c>
      <c r="I223" s="39">
        <v>46227.791805555556</v>
      </c>
    </row>
    <row r="224" spans="1:9" ht="27.6" hidden="1">
      <c r="A224" s="37" t="s">
        <v>697</v>
      </c>
      <c r="B224" s="37" t="s">
        <v>483</v>
      </c>
      <c r="C224" s="37" t="s">
        <v>484</v>
      </c>
      <c r="D224" s="41">
        <v>9</v>
      </c>
      <c r="E224" s="43" t="s">
        <v>682</v>
      </c>
      <c r="F224" s="43" t="s">
        <v>753</v>
      </c>
      <c r="G224" s="43" t="s">
        <v>171</v>
      </c>
      <c r="H224" s="37" t="s">
        <v>49</v>
      </c>
      <c r="I224" s="39">
        <v>46227.791817129626</v>
      </c>
    </row>
    <row r="225" spans="1:9" ht="27.6" hidden="1">
      <c r="A225" s="37" t="s">
        <v>697</v>
      </c>
      <c r="B225" s="37" t="s">
        <v>488</v>
      </c>
      <c r="C225" s="37" t="s">
        <v>489</v>
      </c>
      <c r="D225" s="41">
        <v>10</v>
      </c>
      <c r="E225" s="43" t="s">
        <v>682</v>
      </c>
      <c r="F225" s="43" t="s">
        <v>753</v>
      </c>
      <c r="G225" s="43" t="s">
        <v>171</v>
      </c>
      <c r="H225" s="37" t="s">
        <v>49</v>
      </c>
      <c r="I225" s="39">
        <v>46227.791817129626</v>
      </c>
    </row>
    <row r="226" spans="1:9" ht="27.6" hidden="1">
      <c r="A226" s="37" t="s">
        <v>697</v>
      </c>
      <c r="B226" s="37" t="s">
        <v>491</v>
      </c>
      <c r="C226" s="37" t="s">
        <v>492</v>
      </c>
      <c r="D226" s="41">
        <v>9</v>
      </c>
      <c r="E226" s="43" t="s">
        <v>683</v>
      </c>
      <c r="F226" s="43" t="s">
        <v>753</v>
      </c>
      <c r="G226" s="43" t="s">
        <v>171</v>
      </c>
      <c r="H226" s="37" t="s">
        <v>49</v>
      </c>
      <c r="I226" s="39">
        <v>46227.791817129626</v>
      </c>
    </row>
    <row r="227" spans="1:9" ht="27.6" hidden="1">
      <c r="A227" s="37" t="s">
        <v>697</v>
      </c>
      <c r="B227" s="37" t="s">
        <v>496</v>
      </c>
      <c r="C227" s="37" t="s">
        <v>497</v>
      </c>
      <c r="D227" s="41">
        <v>10</v>
      </c>
      <c r="E227" s="43" t="s">
        <v>683</v>
      </c>
      <c r="F227" s="43" t="s">
        <v>753</v>
      </c>
      <c r="G227" s="43" t="s">
        <v>171</v>
      </c>
      <c r="H227" s="37" t="s">
        <v>49</v>
      </c>
      <c r="I227" s="39">
        <v>46227.791817129626</v>
      </c>
    </row>
    <row r="228" spans="1:9" ht="27.6" hidden="1">
      <c r="A228" s="37" t="s">
        <v>697</v>
      </c>
      <c r="B228" s="37" t="s">
        <v>500</v>
      </c>
      <c r="C228" s="37" t="s">
        <v>501</v>
      </c>
      <c r="D228" s="41">
        <v>7</v>
      </c>
      <c r="E228" s="43" t="s">
        <v>683</v>
      </c>
      <c r="F228" s="43" t="s">
        <v>753</v>
      </c>
      <c r="G228" s="43" t="s">
        <v>171</v>
      </c>
      <c r="H228" s="37" t="s">
        <v>49</v>
      </c>
      <c r="I228" s="39">
        <v>46227.791817129626</v>
      </c>
    </row>
    <row r="229" spans="1:9" ht="27.6" hidden="1">
      <c r="A229" s="37" t="s">
        <v>697</v>
      </c>
      <c r="B229" s="37" t="s">
        <v>504</v>
      </c>
      <c r="C229" s="37" t="s">
        <v>505</v>
      </c>
      <c r="D229" s="41">
        <v>9</v>
      </c>
      <c r="E229" s="43" t="s">
        <v>684</v>
      </c>
      <c r="F229" s="43" t="s">
        <v>753</v>
      </c>
      <c r="G229" s="43" t="s">
        <v>171</v>
      </c>
      <c r="H229" s="37" t="s">
        <v>49</v>
      </c>
      <c r="I229" s="39">
        <v>46227.791817129626</v>
      </c>
    </row>
    <row r="230" spans="1:9" ht="27.6" hidden="1">
      <c r="A230" s="37" t="s">
        <v>697</v>
      </c>
      <c r="B230" s="37" t="s">
        <v>509</v>
      </c>
      <c r="C230" s="37" t="s">
        <v>510</v>
      </c>
      <c r="D230" s="41">
        <v>8</v>
      </c>
      <c r="E230" s="43" t="s">
        <v>683</v>
      </c>
      <c r="F230" s="43" t="s">
        <v>753</v>
      </c>
      <c r="G230" s="43" t="s">
        <v>171</v>
      </c>
      <c r="H230" s="37" t="s">
        <v>49</v>
      </c>
      <c r="I230" s="39">
        <v>46227.791817129626</v>
      </c>
    </row>
    <row r="231" spans="1:9" ht="27.6" hidden="1">
      <c r="A231" s="37" t="s">
        <v>697</v>
      </c>
      <c r="B231" s="37" t="s">
        <v>513</v>
      </c>
      <c r="C231" s="37" t="s">
        <v>514</v>
      </c>
      <c r="D231" s="41">
        <v>7</v>
      </c>
      <c r="E231" s="43" t="s">
        <v>684</v>
      </c>
      <c r="F231" s="43" t="s">
        <v>753</v>
      </c>
      <c r="G231" s="43" t="s">
        <v>171</v>
      </c>
      <c r="H231" s="37" t="s">
        <v>49</v>
      </c>
      <c r="I231" s="39">
        <v>46227.791817129626</v>
      </c>
    </row>
    <row r="232" spans="1:9" ht="27.6" hidden="1">
      <c r="A232" s="37" t="s">
        <v>697</v>
      </c>
      <c r="B232" s="37" t="s">
        <v>517</v>
      </c>
      <c r="C232" s="37" t="s">
        <v>518</v>
      </c>
      <c r="D232" s="41">
        <v>8</v>
      </c>
      <c r="E232" s="43" t="s">
        <v>683</v>
      </c>
      <c r="F232" s="43" t="s">
        <v>753</v>
      </c>
      <c r="G232" s="43" t="s">
        <v>171</v>
      </c>
      <c r="H232" s="37" t="s">
        <v>49</v>
      </c>
      <c r="I232" s="39">
        <v>46227.791817129626</v>
      </c>
    </row>
    <row r="233" spans="1:9" ht="27.6" hidden="1">
      <c r="A233" s="37" t="s">
        <v>697</v>
      </c>
      <c r="B233" s="37" t="s">
        <v>520</v>
      </c>
      <c r="C233" s="37" t="s">
        <v>521</v>
      </c>
      <c r="D233" s="41">
        <v>8</v>
      </c>
      <c r="E233" s="43" t="s">
        <v>683</v>
      </c>
      <c r="F233" s="43" t="s">
        <v>753</v>
      </c>
      <c r="G233" s="43" t="s">
        <v>171</v>
      </c>
      <c r="H233" s="37" t="s">
        <v>49</v>
      </c>
      <c r="I233" s="39">
        <v>46227.791817129626</v>
      </c>
    </row>
    <row r="234" spans="1:9" ht="27.6" hidden="1">
      <c r="A234" s="37" t="s">
        <v>698</v>
      </c>
      <c r="B234" s="37" t="s">
        <v>483</v>
      </c>
      <c r="C234" s="37" t="s">
        <v>484</v>
      </c>
      <c r="D234" s="41">
        <v>9</v>
      </c>
      <c r="E234" s="43" t="s">
        <v>682</v>
      </c>
      <c r="F234" s="43" t="s">
        <v>753</v>
      </c>
      <c r="G234" s="43" t="s">
        <v>171</v>
      </c>
      <c r="H234" s="37" t="s">
        <v>49</v>
      </c>
      <c r="I234" s="39">
        <v>46227.791828703703</v>
      </c>
    </row>
    <row r="235" spans="1:9" ht="27.6" hidden="1">
      <c r="A235" s="37" t="s">
        <v>698</v>
      </c>
      <c r="B235" s="37" t="s">
        <v>488</v>
      </c>
      <c r="C235" s="37" t="s">
        <v>489</v>
      </c>
      <c r="D235" s="41">
        <v>8.5</v>
      </c>
      <c r="E235" s="43" t="s">
        <v>682</v>
      </c>
      <c r="F235" s="43" t="s">
        <v>753</v>
      </c>
      <c r="G235" s="43" t="s">
        <v>171</v>
      </c>
      <c r="H235" s="37" t="s">
        <v>49</v>
      </c>
      <c r="I235" s="39">
        <v>46227.791828703703</v>
      </c>
    </row>
    <row r="236" spans="1:9" ht="27.6" hidden="1">
      <c r="A236" s="37" t="s">
        <v>698</v>
      </c>
      <c r="B236" s="37" t="s">
        <v>491</v>
      </c>
      <c r="C236" s="37" t="s">
        <v>492</v>
      </c>
      <c r="D236" s="41">
        <v>7.5</v>
      </c>
      <c r="E236" s="43" t="s">
        <v>683</v>
      </c>
      <c r="F236" s="43" t="s">
        <v>753</v>
      </c>
      <c r="G236" s="43" t="s">
        <v>171</v>
      </c>
      <c r="H236" s="37" t="s">
        <v>49</v>
      </c>
      <c r="I236" s="39">
        <v>46227.791828703703</v>
      </c>
    </row>
    <row r="237" spans="1:9" ht="27.6" hidden="1">
      <c r="A237" s="37" t="s">
        <v>698</v>
      </c>
      <c r="B237" s="37" t="s">
        <v>496</v>
      </c>
      <c r="C237" s="37" t="s">
        <v>497</v>
      </c>
      <c r="D237" s="41">
        <v>9</v>
      </c>
      <c r="E237" s="43" t="s">
        <v>683</v>
      </c>
      <c r="F237" s="43" t="s">
        <v>753</v>
      </c>
      <c r="G237" s="43" t="s">
        <v>171</v>
      </c>
      <c r="H237" s="37" t="s">
        <v>49</v>
      </c>
      <c r="I237" s="39">
        <v>46227.791828703703</v>
      </c>
    </row>
    <row r="238" spans="1:9" ht="27.6" hidden="1">
      <c r="A238" s="37" t="s">
        <v>698</v>
      </c>
      <c r="B238" s="37" t="s">
        <v>500</v>
      </c>
      <c r="C238" s="37" t="s">
        <v>501</v>
      </c>
      <c r="D238" s="41">
        <v>8</v>
      </c>
      <c r="E238" s="43" t="s">
        <v>683</v>
      </c>
      <c r="F238" s="43" t="s">
        <v>753</v>
      </c>
      <c r="G238" s="43" t="s">
        <v>171</v>
      </c>
      <c r="H238" s="37" t="s">
        <v>49</v>
      </c>
      <c r="I238" s="39">
        <v>46227.791828703703</v>
      </c>
    </row>
    <row r="239" spans="1:9" ht="27.6" hidden="1">
      <c r="A239" s="37" t="s">
        <v>698</v>
      </c>
      <c r="B239" s="37" t="s">
        <v>504</v>
      </c>
      <c r="C239" s="37" t="s">
        <v>505</v>
      </c>
      <c r="D239" s="41">
        <v>9</v>
      </c>
      <c r="E239" s="43" t="s">
        <v>684</v>
      </c>
      <c r="F239" s="43" t="s">
        <v>753</v>
      </c>
      <c r="G239" s="43" t="s">
        <v>171</v>
      </c>
      <c r="H239" s="37" t="s">
        <v>49</v>
      </c>
      <c r="I239" s="39">
        <v>46227.791828703703</v>
      </c>
    </row>
    <row r="240" spans="1:9" ht="27.6" hidden="1">
      <c r="A240" s="37" t="s">
        <v>698</v>
      </c>
      <c r="B240" s="37" t="s">
        <v>509</v>
      </c>
      <c r="C240" s="37" t="s">
        <v>510</v>
      </c>
      <c r="D240" s="41">
        <v>4</v>
      </c>
      <c r="E240" s="43" t="s">
        <v>683</v>
      </c>
      <c r="F240" s="43" t="s">
        <v>753</v>
      </c>
      <c r="G240" s="43" t="s">
        <v>171</v>
      </c>
      <c r="H240" s="37" t="s">
        <v>49</v>
      </c>
      <c r="I240" s="39">
        <v>46227.791828703703</v>
      </c>
    </row>
    <row r="241" spans="1:9" ht="27.6" hidden="1">
      <c r="A241" s="37" t="s">
        <v>698</v>
      </c>
      <c r="B241" s="37" t="s">
        <v>513</v>
      </c>
      <c r="C241" s="37" t="s">
        <v>514</v>
      </c>
      <c r="D241" s="41">
        <v>9</v>
      </c>
      <c r="E241" s="43" t="s">
        <v>684</v>
      </c>
      <c r="F241" s="43" t="s">
        <v>753</v>
      </c>
      <c r="G241" s="43" t="s">
        <v>171</v>
      </c>
      <c r="H241" s="37" t="s">
        <v>49</v>
      </c>
      <c r="I241" s="39">
        <v>46227.791828703703</v>
      </c>
    </row>
    <row r="242" spans="1:9" ht="27.6" hidden="1">
      <c r="A242" s="37" t="s">
        <v>698</v>
      </c>
      <c r="B242" s="37" t="s">
        <v>517</v>
      </c>
      <c r="C242" s="37" t="s">
        <v>518</v>
      </c>
      <c r="D242" s="41">
        <v>8</v>
      </c>
      <c r="E242" s="43" t="s">
        <v>683</v>
      </c>
      <c r="F242" s="43" t="s">
        <v>753</v>
      </c>
      <c r="G242" s="43" t="s">
        <v>171</v>
      </c>
      <c r="H242" s="37" t="s">
        <v>49</v>
      </c>
      <c r="I242" s="39">
        <v>46227.791828703703</v>
      </c>
    </row>
    <row r="243" spans="1:9" ht="27.6" hidden="1">
      <c r="A243" s="37" t="s">
        <v>698</v>
      </c>
      <c r="B243" s="37" t="s">
        <v>520</v>
      </c>
      <c r="C243" s="37" t="s">
        <v>521</v>
      </c>
      <c r="D243" s="41">
        <v>7.5</v>
      </c>
      <c r="E243" s="43" t="s">
        <v>683</v>
      </c>
      <c r="F243" s="43" t="s">
        <v>753</v>
      </c>
      <c r="G243" s="43" t="s">
        <v>171</v>
      </c>
      <c r="H243" s="37" t="s">
        <v>49</v>
      </c>
      <c r="I243" s="39">
        <v>46227.791828703703</v>
      </c>
    </row>
    <row r="244" spans="1:9" ht="41.4" hidden="1">
      <c r="A244" s="37" t="s">
        <v>699</v>
      </c>
      <c r="B244" s="37" t="s">
        <v>483</v>
      </c>
      <c r="C244" s="37" t="s">
        <v>484</v>
      </c>
      <c r="D244" s="41">
        <v>9</v>
      </c>
      <c r="E244" s="43" t="s">
        <v>682</v>
      </c>
      <c r="F244" s="43" t="s">
        <v>701</v>
      </c>
      <c r="G244" s="43" t="s">
        <v>171</v>
      </c>
      <c r="H244" s="37" t="s">
        <v>49</v>
      </c>
      <c r="I244" s="39">
        <v>46227.79184027778</v>
      </c>
    </row>
    <row r="245" spans="1:9" ht="41.4" hidden="1">
      <c r="A245" s="37" t="s">
        <v>699</v>
      </c>
      <c r="B245" s="37" t="s">
        <v>488</v>
      </c>
      <c r="C245" s="37" t="s">
        <v>489</v>
      </c>
      <c r="D245" s="41">
        <v>8.5</v>
      </c>
      <c r="E245" s="43" t="s">
        <v>682</v>
      </c>
      <c r="F245" s="43" t="s">
        <v>701</v>
      </c>
      <c r="G245" s="43" t="s">
        <v>171</v>
      </c>
      <c r="H245" s="37" t="s">
        <v>49</v>
      </c>
      <c r="I245" s="39">
        <v>46227.79184027778</v>
      </c>
    </row>
    <row r="246" spans="1:9" ht="41.4" hidden="1">
      <c r="A246" s="37" t="s">
        <v>699</v>
      </c>
      <c r="B246" s="37" t="s">
        <v>491</v>
      </c>
      <c r="C246" s="37" t="s">
        <v>492</v>
      </c>
      <c r="D246" s="41">
        <v>7.64</v>
      </c>
      <c r="E246" s="43" t="s">
        <v>683</v>
      </c>
      <c r="F246" s="43" t="s">
        <v>701</v>
      </c>
      <c r="G246" s="43" t="s">
        <v>171</v>
      </c>
      <c r="H246" s="37" t="s">
        <v>49</v>
      </c>
      <c r="I246" s="39">
        <v>46227.79184027778</v>
      </c>
    </row>
    <row r="247" spans="1:9" ht="41.4" hidden="1">
      <c r="A247" s="37" t="s">
        <v>699</v>
      </c>
      <c r="B247" s="37" t="s">
        <v>496</v>
      </c>
      <c r="C247" s="37" t="s">
        <v>497</v>
      </c>
      <c r="D247" s="41">
        <v>9.0500000000000007</v>
      </c>
      <c r="E247" s="43" t="s">
        <v>683</v>
      </c>
      <c r="F247" s="43" t="s">
        <v>701</v>
      </c>
      <c r="G247" s="43" t="s">
        <v>171</v>
      </c>
      <c r="H247" s="37" t="s">
        <v>49</v>
      </c>
      <c r="I247" s="39">
        <v>46227.79184027778</v>
      </c>
    </row>
    <row r="248" spans="1:9" ht="41.4" hidden="1">
      <c r="A248" s="37" t="s">
        <v>699</v>
      </c>
      <c r="B248" s="37" t="s">
        <v>500</v>
      </c>
      <c r="C248" s="37" t="s">
        <v>501</v>
      </c>
      <c r="D248" s="41">
        <v>8.09</v>
      </c>
      <c r="E248" s="43" t="s">
        <v>683</v>
      </c>
      <c r="F248" s="43" t="s">
        <v>701</v>
      </c>
      <c r="G248" s="43" t="s">
        <v>171</v>
      </c>
      <c r="H248" s="37" t="s">
        <v>49</v>
      </c>
      <c r="I248" s="39">
        <v>46227.79184027778</v>
      </c>
    </row>
    <row r="249" spans="1:9" ht="41.4" hidden="1">
      <c r="A249" s="37" t="s">
        <v>699</v>
      </c>
      <c r="B249" s="37" t="s">
        <v>504</v>
      </c>
      <c r="C249" s="37" t="s">
        <v>505</v>
      </c>
      <c r="D249" s="41">
        <v>9</v>
      </c>
      <c r="E249" s="43" t="s">
        <v>684</v>
      </c>
      <c r="F249" s="43" t="s">
        <v>701</v>
      </c>
      <c r="G249" s="43" t="s">
        <v>171</v>
      </c>
      <c r="H249" s="37" t="s">
        <v>49</v>
      </c>
      <c r="I249" s="39">
        <v>46227.79184027778</v>
      </c>
    </row>
    <row r="250" spans="1:9" ht="41.4" hidden="1">
      <c r="A250" s="37" t="s">
        <v>699</v>
      </c>
      <c r="B250" s="37" t="s">
        <v>509</v>
      </c>
      <c r="C250" s="37" t="s">
        <v>510</v>
      </c>
      <c r="D250" s="41">
        <v>4.46</v>
      </c>
      <c r="E250" s="43" t="s">
        <v>683</v>
      </c>
      <c r="F250" s="43" t="s">
        <v>701</v>
      </c>
      <c r="G250" s="43" t="s">
        <v>171</v>
      </c>
      <c r="H250" s="37" t="s">
        <v>49</v>
      </c>
      <c r="I250" s="39">
        <v>46227.79184027778</v>
      </c>
    </row>
    <row r="251" spans="1:9" ht="41.4" hidden="1">
      <c r="A251" s="37" t="s">
        <v>699</v>
      </c>
      <c r="B251" s="37" t="s">
        <v>513</v>
      </c>
      <c r="C251" s="37" t="s">
        <v>514</v>
      </c>
      <c r="D251" s="41">
        <v>9</v>
      </c>
      <c r="E251" s="43" t="s">
        <v>684</v>
      </c>
      <c r="F251" s="43" t="s">
        <v>701</v>
      </c>
      <c r="G251" s="43" t="s">
        <v>171</v>
      </c>
      <c r="H251" s="37" t="s">
        <v>49</v>
      </c>
      <c r="I251" s="39">
        <v>46227.79184027778</v>
      </c>
    </row>
    <row r="252" spans="1:9" ht="41.4" hidden="1">
      <c r="A252" s="37" t="s">
        <v>699</v>
      </c>
      <c r="B252" s="37" t="s">
        <v>517</v>
      </c>
      <c r="C252" s="37" t="s">
        <v>518</v>
      </c>
      <c r="D252" s="41">
        <v>8.09</v>
      </c>
      <c r="E252" s="43" t="s">
        <v>683</v>
      </c>
      <c r="F252" s="43" t="s">
        <v>701</v>
      </c>
      <c r="G252" s="43" t="s">
        <v>171</v>
      </c>
      <c r="H252" s="37" t="s">
        <v>49</v>
      </c>
      <c r="I252" s="39">
        <v>46227.79184027778</v>
      </c>
    </row>
    <row r="253" spans="1:9" ht="41.4" hidden="1">
      <c r="A253" s="37" t="s">
        <v>699</v>
      </c>
      <c r="B253" s="37" t="s">
        <v>520</v>
      </c>
      <c r="C253" s="37" t="s">
        <v>521</v>
      </c>
      <c r="D253" s="41">
        <v>7.59</v>
      </c>
      <c r="E253" s="43" t="s">
        <v>683</v>
      </c>
      <c r="F253" s="43" t="s">
        <v>701</v>
      </c>
      <c r="G253" s="43" t="s">
        <v>171</v>
      </c>
      <c r="H253" s="37" t="s">
        <v>49</v>
      </c>
      <c r="I253" s="39">
        <v>46227.79184027778</v>
      </c>
    </row>
    <row r="254" spans="1:9" ht="41.4" hidden="1">
      <c r="A254" s="37" t="s">
        <v>702</v>
      </c>
      <c r="B254" s="37" t="s">
        <v>483</v>
      </c>
      <c r="C254" s="37" t="s">
        <v>484</v>
      </c>
      <c r="D254" s="41">
        <v>9</v>
      </c>
      <c r="E254" s="43" t="s">
        <v>682</v>
      </c>
      <c r="F254" s="43" t="s">
        <v>701</v>
      </c>
      <c r="G254" s="43" t="s">
        <v>171</v>
      </c>
      <c r="H254" s="37" t="s">
        <v>49</v>
      </c>
      <c r="I254" s="39">
        <v>46227.791851851849</v>
      </c>
    </row>
    <row r="255" spans="1:9" ht="41.4" hidden="1">
      <c r="A255" s="37" t="s">
        <v>702</v>
      </c>
      <c r="B255" s="37" t="s">
        <v>488</v>
      </c>
      <c r="C255" s="37" t="s">
        <v>489</v>
      </c>
      <c r="D255" s="41">
        <v>8.5</v>
      </c>
      <c r="E255" s="43" t="s">
        <v>682</v>
      </c>
      <c r="F255" s="43" t="s">
        <v>701</v>
      </c>
      <c r="G255" s="43" t="s">
        <v>171</v>
      </c>
      <c r="H255" s="37" t="s">
        <v>49</v>
      </c>
      <c r="I255" s="39">
        <v>46227.791851851849</v>
      </c>
    </row>
    <row r="256" spans="1:9" ht="41.4" hidden="1">
      <c r="A256" s="37" t="s">
        <v>702</v>
      </c>
      <c r="B256" s="37" t="s">
        <v>491</v>
      </c>
      <c r="C256" s="37" t="s">
        <v>492</v>
      </c>
      <c r="D256" s="41">
        <v>7.79</v>
      </c>
      <c r="E256" s="43" t="s">
        <v>683</v>
      </c>
      <c r="F256" s="43" t="s">
        <v>701</v>
      </c>
      <c r="G256" s="43" t="s">
        <v>171</v>
      </c>
      <c r="H256" s="37" t="s">
        <v>49</v>
      </c>
      <c r="I256" s="39">
        <v>46227.791851851849</v>
      </c>
    </row>
    <row r="257" spans="1:9" ht="41.4" hidden="1">
      <c r="A257" s="37" t="s">
        <v>702</v>
      </c>
      <c r="B257" s="37" t="s">
        <v>496</v>
      </c>
      <c r="C257" s="37" t="s">
        <v>497</v>
      </c>
      <c r="D257" s="41">
        <v>9.1</v>
      </c>
      <c r="E257" s="43" t="s">
        <v>683</v>
      </c>
      <c r="F257" s="43" t="s">
        <v>701</v>
      </c>
      <c r="G257" s="43" t="s">
        <v>171</v>
      </c>
      <c r="H257" s="37" t="s">
        <v>49</v>
      </c>
      <c r="I257" s="39">
        <v>46227.791851851849</v>
      </c>
    </row>
    <row r="258" spans="1:9" ht="41.4" hidden="1">
      <c r="A258" s="37" t="s">
        <v>702</v>
      </c>
      <c r="B258" s="37" t="s">
        <v>500</v>
      </c>
      <c r="C258" s="37" t="s">
        <v>501</v>
      </c>
      <c r="D258" s="41">
        <v>8.19</v>
      </c>
      <c r="E258" s="43" t="s">
        <v>683</v>
      </c>
      <c r="F258" s="43" t="s">
        <v>701</v>
      </c>
      <c r="G258" s="43" t="s">
        <v>171</v>
      </c>
      <c r="H258" s="37" t="s">
        <v>49</v>
      </c>
      <c r="I258" s="39">
        <v>46227.791851851849</v>
      </c>
    </row>
    <row r="259" spans="1:9" ht="41.4" hidden="1">
      <c r="A259" s="37" t="s">
        <v>702</v>
      </c>
      <c r="B259" s="37" t="s">
        <v>504</v>
      </c>
      <c r="C259" s="37" t="s">
        <v>505</v>
      </c>
      <c r="D259" s="41">
        <v>9</v>
      </c>
      <c r="E259" s="43" t="s">
        <v>684</v>
      </c>
      <c r="F259" s="43" t="s">
        <v>701</v>
      </c>
      <c r="G259" s="43" t="s">
        <v>171</v>
      </c>
      <c r="H259" s="37" t="s">
        <v>49</v>
      </c>
      <c r="I259" s="39">
        <v>46227.791851851849</v>
      </c>
    </row>
    <row r="260" spans="1:9" ht="41.4" hidden="1">
      <c r="A260" s="37" t="s">
        <v>702</v>
      </c>
      <c r="B260" s="37" t="s">
        <v>509</v>
      </c>
      <c r="C260" s="37" t="s">
        <v>510</v>
      </c>
      <c r="D260" s="41">
        <v>4.96</v>
      </c>
      <c r="E260" s="43" t="s">
        <v>683</v>
      </c>
      <c r="F260" s="43" t="s">
        <v>701</v>
      </c>
      <c r="G260" s="43" t="s">
        <v>171</v>
      </c>
      <c r="H260" s="37" t="s">
        <v>49</v>
      </c>
      <c r="I260" s="39">
        <v>46227.791851851849</v>
      </c>
    </row>
    <row r="261" spans="1:9" ht="41.4" hidden="1">
      <c r="A261" s="37" t="s">
        <v>702</v>
      </c>
      <c r="B261" s="37" t="s">
        <v>513</v>
      </c>
      <c r="C261" s="37" t="s">
        <v>514</v>
      </c>
      <c r="D261" s="41">
        <v>9</v>
      </c>
      <c r="E261" s="43" t="s">
        <v>684</v>
      </c>
      <c r="F261" s="43" t="s">
        <v>701</v>
      </c>
      <c r="G261" s="43" t="s">
        <v>171</v>
      </c>
      <c r="H261" s="37" t="s">
        <v>49</v>
      </c>
      <c r="I261" s="39">
        <v>46227.791851851849</v>
      </c>
    </row>
    <row r="262" spans="1:9" ht="41.4" hidden="1">
      <c r="A262" s="37" t="s">
        <v>702</v>
      </c>
      <c r="B262" s="37" t="s">
        <v>517</v>
      </c>
      <c r="C262" s="37" t="s">
        <v>518</v>
      </c>
      <c r="D262" s="41">
        <v>8.19</v>
      </c>
      <c r="E262" s="43" t="s">
        <v>683</v>
      </c>
      <c r="F262" s="43" t="s">
        <v>701</v>
      </c>
      <c r="G262" s="43" t="s">
        <v>171</v>
      </c>
      <c r="H262" s="37" t="s">
        <v>49</v>
      </c>
      <c r="I262" s="39">
        <v>46227.791851851849</v>
      </c>
    </row>
    <row r="263" spans="1:9" ht="41.4" hidden="1">
      <c r="A263" s="37" t="s">
        <v>702</v>
      </c>
      <c r="B263" s="37" t="s">
        <v>520</v>
      </c>
      <c r="C263" s="37" t="s">
        <v>521</v>
      </c>
      <c r="D263" s="41">
        <v>7.69</v>
      </c>
      <c r="E263" s="43" t="s">
        <v>683</v>
      </c>
      <c r="F263" s="43" t="s">
        <v>701</v>
      </c>
      <c r="G263" s="43" t="s">
        <v>171</v>
      </c>
      <c r="H263" s="37" t="s">
        <v>49</v>
      </c>
      <c r="I263" s="39">
        <v>46227.791851851849</v>
      </c>
    </row>
    <row r="264" spans="1:9" ht="41.4" hidden="1">
      <c r="A264" s="37" t="s">
        <v>703</v>
      </c>
      <c r="B264" s="37" t="s">
        <v>483</v>
      </c>
      <c r="C264" s="37" t="s">
        <v>484</v>
      </c>
      <c r="D264" s="41">
        <v>9</v>
      </c>
      <c r="E264" s="43" t="s">
        <v>682</v>
      </c>
      <c r="F264" s="43" t="s">
        <v>701</v>
      </c>
      <c r="G264" s="43" t="s">
        <v>171</v>
      </c>
      <c r="H264" s="37" t="s">
        <v>49</v>
      </c>
      <c r="I264" s="39">
        <v>46227.791863425926</v>
      </c>
    </row>
    <row r="265" spans="1:9" ht="41.4" hidden="1">
      <c r="A265" s="37" t="s">
        <v>703</v>
      </c>
      <c r="B265" s="37" t="s">
        <v>488</v>
      </c>
      <c r="C265" s="37" t="s">
        <v>489</v>
      </c>
      <c r="D265" s="41">
        <v>8.5</v>
      </c>
      <c r="E265" s="43" t="s">
        <v>682</v>
      </c>
      <c r="F265" s="43" t="s">
        <v>701</v>
      </c>
      <c r="G265" s="43" t="s">
        <v>171</v>
      </c>
      <c r="H265" s="37" t="s">
        <v>49</v>
      </c>
      <c r="I265" s="39">
        <v>46227.791863425926</v>
      </c>
    </row>
    <row r="266" spans="1:9" ht="41.4" hidden="1">
      <c r="A266" s="37" t="s">
        <v>703</v>
      </c>
      <c r="B266" s="37" t="s">
        <v>491</v>
      </c>
      <c r="C266" s="37" t="s">
        <v>492</v>
      </c>
      <c r="D266" s="41">
        <v>7.94</v>
      </c>
      <c r="E266" s="43" t="s">
        <v>683</v>
      </c>
      <c r="F266" s="43" t="s">
        <v>701</v>
      </c>
      <c r="G266" s="43" t="s">
        <v>171</v>
      </c>
      <c r="H266" s="37" t="s">
        <v>49</v>
      </c>
      <c r="I266" s="39">
        <v>46227.791863425926</v>
      </c>
    </row>
    <row r="267" spans="1:9" ht="41.4" hidden="1">
      <c r="A267" s="37" t="s">
        <v>703</v>
      </c>
      <c r="B267" s="37" t="s">
        <v>496</v>
      </c>
      <c r="C267" s="37" t="s">
        <v>497</v>
      </c>
      <c r="D267" s="41">
        <v>9.15</v>
      </c>
      <c r="E267" s="43" t="s">
        <v>683</v>
      </c>
      <c r="F267" s="43" t="s">
        <v>701</v>
      </c>
      <c r="G267" s="43" t="s">
        <v>171</v>
      </c>
      <c r="H267" s="37" t="s">
        <v>49</v>
      </c>
      <c r="I267" s="39">
        <v>46227.791863425926</v>
      </c>
    </row>
    <row r="268" spans="1:9" ht="41.4" hidden="1">
      <c r="A268" s="37" t="s">
        <v>703</v>
      </c>
      <c r="B268" s="37" t="s">
        <v>500</v>
      </c>
      <c r="C268" s="37" t="s">
        <v>501</v>
      </c>
      <c r="D268" s="41">
        <v>8.2899999999999991</v>
      </c>
      <c r="E268" s="43" t="s">
        <v>683</v>
      </c>
      <c r="F268" s="43" t="s">
        <v>701</v>
      </c>
      <c r="G268" s="43" t="s">
        <v>171</v>
      </c>
      <c r="H268" s="37" t="s">
        <v>49</v>
      </c>
      <c r="I268" s="39">
        <v>46227.791863425926</v>
      </c>
    </row>
    <row r="269" spans="1:9" ht="41.4" hidden="1">
      <c r="A269" s="37" t="s">
        <v>703</v>
      </c>
      <c r="B269" s="37" t="s">
        <v>504</v>
      </c>
      <c r="C269" s="37" t="s">
        <v>505</v>
      </c>
      <c r="D269" s="41">
        <v>9</v>
      </c>
      <c r="E269" s="43" t="s">
        <v>684</v>
      </c>
      <c r="F269" s="43" t="s">
        <v>701</v>
      </c>
      <c r="G269" s="43" t="s">
        <v>171</v>
      </c>
      <c r="H269" s="37" t="s">
        <v>49</v>
      </c>
      <c r="I269" s="39">
        <v>46227.791863425926</v>
      </c>
    </row>
    <row r="270" spans="1:9" ht="41.4" hidden="1">
      <c r="A270" s="37" t="s">
        <v>703</v>
      </c>
      <c r="B270" s="37" t="s">
        <v>509</v>
      </c>
      <c r="C270" s="37" t="s">
        <v>510</v>
      </c>
      <c r="D270" s="41">
        <v>5.46</v>
      </c>
      <c r="E270" s="43" t="s">
        <v>683</v>
      </c>
      <c r="F270" s="43" t="s">
        <v>701</v>
      </c>
      <c r="G270" s="43" t="s">
        <v>171</v>
      </c>
      <c r="H270" s="37" t="s">
        <v>49</v>
      </c>
      <c r="I270" s="39">
        <v>46227.791863425926</v>
      </c>
    </row>
    <row r="271" spans="1:9" ht="41.4" hidden="1">
      <c r="A271" s="37" t="s">
        <v>703</v>
      </c>
      <c r="B271" s="37" t="s">
        <v>513</v>
      </c>
      <c r="C271" s="37" t="s">
        <v>514</v>
      </c>
      <c r="D271" s="41">
        <v>9</v>
      </c>
      <c r="E271" s="43" t="s">
        <v>684</v>
      </c>
      <c r="F271" s="43" t="s">
        <v>701</v>
      </c>
      <c r="G271" s="43" t="s">
        <v>171</v>
      </c>
      <c r="H271" s="37" t="s">
        <v>49</v>
      </c>
      <c r="I271" s="39">
        <v>46227.791863425926</v>
      </c>
    </row>
    <row r="272" spans="1:9" ht="41.4" hidden="1">
      <c r="A272" s="37" t="s">
        <v>703</v>
      </c>
      <c r="B272" s="37" t="s">
        <v>517</v>
      </c>
      <c r="C272" s="37" t="s">
        <v>518</v>
      </c>
      <c r="D272" s="41">
        <v>8.2899999999999991</v>
      </c>
      <c r="E272" s="43" t="s">
        <v>683</v>
      </c>
      <c r="F272" s="43" t="s">
        <v>701</v>
      </c>
      <c r="G272" s="43" t="s">
        <v>171</v>
      </c>
      <c r="H272" s="37" t="s">
        <v>49</v>
      </c>
      <c r="I272" s="39">
        <v>46227.791863425926</v>
      </c>
    </row>
    <row r="273" spans="1:9" ht="41.4" hidden="1">
      <c r="A273" s="37" t="s">
        <v>703</v>
      </c>
      <c r="B273" s="37" t="s">
        <v>520</v>
      </c>
      <c r="C273" s="37" t="s">
        <v>521</v>
      </c>
      <c r="D273" s="41">
        <v>7.79</v>
      </c>
      <c r="E273" s="43" t="s">
        <v>683</v>
      </c>
      <c r="F273" s="43" t="s">
        <v>701</v>
      </c>
      <c r="G273" s="43" t="s">
        <v>171</v>
      </c>
      <c r="H273" s="37" t="s">
        <v>49</v>
      </c>
      <c r="I273" s="39">
        <v>46227.791863425926</v>
      </c>
    </row>
    <row r="274" spans="1:9" ht="41.4" hidden="1">
      <c r="A274" s="37" t="s">
        <v>704</v>
      </c>
      <c r="B274" s="37" t="s">
        <v>483</v>
      </c>
      <c r="C274" s="37" t="s">
        <v>484</v>
      </c>
      <c r="D274" s="41">
        <v>9</v>
      </c>
      <c r="E274" s="43" t="s">
        <v>682</v>
      </c>
      <c r="F274" s="43" t="s">
        <v>701</v>
      </c>
      <c r="G274" s="43" t="s">
        <v>171</v>
      </c>
      <c r="H274" s="37" t="s">
        <v>49</v>
      </c>
      <c r="I274" s="39">
        <v>46227.791875000003</v>
      </c>
    </row>
    <row r="275" spans="1:9" ht="41.4" hidden="1">
      <c r="A275" s="37" t="s">
        <v>704</v>
      </c>
      <c r="B275" s="37" t="s">
        <v>488</v>
      </c>
      <c r="C275" s="37" t="s">
        <v>489</v>
      </c>
      <c r="D275" s="41">
        <v>8.5</v>
      </c>
      <c r="E275" s="43" t="s">
        <v>682</v>
      </c>
      <c r="F275" s="43" t="s">
        <v>701</v>
      </c>
      <c r="G275" s="43" t="s">
        <v>171</v>
      </c>
      <c r="H275" s="37" t="s">
        <v>49</v>
      </c>
      <c r="I275" s="39">
        <v>46227.791875000003</v>
      </c>
    </row>
    <row r="276" spans="1:9" ht="41.4" hidden="1">
      <c r="A276" s="37" t="s">
        <v>704</v>
      </c>
      <c r="B276" s="37" t="s">
        <v>491</v>
      </c>
      <c r="C276" s="37" t="s">
        <v>492</v>
      </c>
      <c r="D276" s="41">
        <v>8.09</v>
      </c>
      <c r="E276" s="43" t="s">
        <v>683</v>
      </c>
      <c r="F276" s="43" t="s">
        <v>701</v>
      </c>
      <c r="G276" s="43" t="s">
        <v>171</v>
      </c>
      <c r="H276" s="37" t="s">
        <v>49</v>
      </c>
      <c r="I276" s="39">
        <v>46227.791875000003</v>
      </c>
    </row>
    <row r="277" spans="1:9" ht="41.4" hidden="1">
      <c r="A277" s="37" t="s">
        <v>704</v>
      </c>
      <c r="B277" s="37" t="s">
        <v>496</v>
      </c>
      <c r="C277" s="37" t="s">
        <v>497</v>
      </c>
      <c r="D277" s="41">
        <v>9.1999999999999993</v>
      </c>
      <c r="E277" s="43" t="s">
        <v>683</v>
      </c>
      <c r="F277" s="43" t="s">
        <v>701</v>
      </c>
      <c r="G277" s="43" t="s">
        <v>171</v>
      </c>
      <c r="H277" s="37" t="s">
        <v>49</v>
      </c>
      <c r="I277" s="39">
        <v>46227.791875000003</v>
      </c>
    </row>
    <row r="278" spans="1:9" ht="41.4" hidden="1">
      <c r="A278" s="37" t="s">
        <v>704</v>
      </c>
      <c r="B278" s="37" t="s">
        <v>500</v>
      </c>
      <c r="C278" s="37" t="s">
        <v>501</v>
      </c>
      <c r="D278" s="41">
        <v>8.39</v>
      </c>
      <c r="E278" s="43" t="s">
        <v>683</v>
      </c>
      <c r="F278" s="43" t="s">
        <v>701</v>
      </c>
      <c r="G278" s="43" t="s">
        <v>171</v>
      </c>
      <c r="H278" s="37" t="s">
        <v>49</v>
      </c>
      <c r="I278" s="39">
        <v>46227.791875000003</v>
      </c>
    </row>
    <row r="279" spans="1:9" ht="41.4" hidden="1">
      <c r="A279" s="37" t="s">
        <v>704</v>
      </c>
      <c r="B279" s="37" t="s">
        <v>504</v>
      </c>
      <c r="C279" s="37" t="s">
        <v>505</v>
      </c>
      <c r="D279" s="41">
        <v>9</v>
      </c>
      <c r="E279" s="43" t="s">
        <v>684</v>
      </c>
      <c r="F279" s="43" t="s">
        <v>701</v>
      </c>
      <c r="G279" s="43" t="s">
        <v>171</v>
      </c>
      <c r="H279" s="37" t="s">
        <v>49</v>
      </c>
      <c r="I279" s="39">
        <v>46227.791875000003</v>
      </c>
    </row>
    <row r="280" spans="1:9" ht="41.4" hidden="1">
      <c r="A280" s="37" t="s">
        <v>704</v>
      </c>
      <c r="B280" s="37" t="s">
        <v>509</v>
      </c>
      <c r="C280" s="37" t="s">
        <v>510</v>
      </c>
      <c r="D280" s="41">
        <v>5.96</v>
      </c>
      <c r="E280" s="43" t="s">
        <v>683</v>
      </c>
      <c r="F280" s="43" t="s">
        <v>701</v>
      </c>
      <c r="G280" s="43" t="s">
        <v>171</v>
      </c>
      <c r="H280" s="37" t="s">
        <v>49</v>
      </c>
      <c r="I280" s="39">
        <v>46227.791875000003</v>
      </c>
    </row>
    <row r="281" spans="1:9" ht="41.4" hidden="1">
      <c r="A281" s="37" t="s">
        <v>704</v>
      </c>
      <c r="B281" s="37" t="s">
        <v>513</v>
      </c>
      <c r="C281" s="37" t="s">
        <v>514</v>
      </c>
      <c r="D281" s="41">
        <v>9</v>
      </c>
      <c r="E281" s="43" t="s">
        <v>684</v>
      </c>
      <c r="F281" s="43" t="s">
        <v>701</v>
      </c>
      <c r="G281" s="43" t="s">
        <v>171</v>
      </c>
      <c r="H281" s="37" t="s">
        <v>49</v>
      </c>
      <c r="I281" s="39">
        <v>46227.791875000003</v>
      </c>
    </row>
    <row r="282" spans="1:9" ht="41.4" hidden="1">
      <c r="A282" s="37" t="s">
        <v>704</v>
      </c>
      <c r="B282" s="37" t="s">
        <v>517</v>
      </c>
      <c r="C282" s="37" t="s">
        <v>518</v>
      </c>
      <c r="D282" s="41">
        <v>8.39</v>
      </c>
      <c r="E282" s="43" t="s">
        <v>683</v>
      </c>
      <c r="F282" s="43" t="s">
        <v>701</v>
      </c>
      <c r="G282" s="43" t="s">
        <v>171</v>
      </c>
      <c r="H282" s="37" t="s">
        <v>49</v>
      </c>
      <c r="I282" s="39">
        <v>46227.791875000003</v>
      </c>
    </row>
    <row r="283" spans="1:9" ht="41.4" hidden="1">
      <c r="A283" s="37" t="s">
        <v>704</v>
      </c>
      <c r="B283" s="37" t="s">
        <v>520</v>
      </c>
      <c r="C283" s="37" t="s">
        <v>521</v>
      </c>
      <c r="D283" s="41">
        <v>7.89</v>
      </c>
      <c r="E283" s="43" t="s">
        <v>683</v>
      </c>
      <c r="F283" s="43" t="s">
        <v>701</v>
      </c>
      <c r="G283" s="43" t="s">
        <v>171</v>
      </c>
      <c r="H283" s="37" t="s">
        <v>49</v>
      </c>
      <c r="I283" s="39">
        <v>46227.791875000003</v>
      </c>
    </row>
    <row r="284" spans="1:9" ht="41.4" hidden="1">
      <c r="A284" s="37" t="s">
        <v>705</v>
      </c>
      <c r="B284" s="37" t="s">
        <v>483</v>
      </c>
      <c r="C284" s="37" t="s">
        <v>484</v>
      </c>
      <c r="D284" s="41">
        <v>9</v>
      </c>
      <c r="E284" s="43" t="s">
        <v>682</v>
      </c>
      <c r="F284" s="43" t="s">
        <v>701</v>
      </c>
      <c r="G284" s="43" t="s">
        <v>171</v>
      </c>
      <c r="H284" s="37" t="s">
        <v>49</v>
      </c>
      <c r="I284" s="39">
        <v>46227.791886574072</v>
      </c>
    </row>
    <row r="285" spans="1:9" ht="41.4" hidden="1">
      <c r="A285" s="37" t="s">
        <v>705</v>
      </c>
      <c r="B285" s="37" t="s">
        <v>488</v>
      </c>
      <c r="C285" s="37" t="s">
        <v>489</v>
      </c>
      <c r="D285" s="41">
        <v>8.5</v>
      </c>
      <c r="E285" s="43" t="s">
        <v>682</v>
      </c>
      <c r="F285" s="43" t="s">
        <v>701</v>
      </c>
      <c r="G285" s="43" t="s">
        <v>171</v>
      </c>
      <c r="H285" s="37" t="s">
        <v>49</v>
      </c>
      <c r="I285" s="39">
        <v>46227.791886574072</v>
      </c>
    </row>
    <row r="286" spans="1:9" ht="41.4" hidden="1">
      <c r="A286" s="37" t="s">
        <v>705</v>
      </c>
      <c r="B286" s="37" t="s">
        <v>491</v>
      </c>
      <c r="C286" s="37" t="s">
        <v>492</v>
      </c>
      <c r="D286" s="41">
        <v>8.24</v>
      </c>
      <c r="E286" s="43" t="s">
        <v>683</v>
      </c>
      <c r="F286" s="43" t="s">
        <v>701</v>
      </c>
      <c r="G286" s="43" t="s">
        <v>171</v>
      </c>
      <c r="H286" s="37" t="s">
        <v>49</v>
      </c>
      <c r="I286" s="39">
        <v>46227.791886574072</v>
      </c>
    </row>
    <row r="287" spans="1:9" ht="41.4" hidden="1">
      <c r="A287" s="37" t="s">
        <v>705</v>
      </c>
      <c r="B287" s="37" t="s">
        <v>496</v>
      </c>
      <c r="C287" s="37" t="s">
        <v>497</v>
      </c>
      <c r="D287" s="41">
        <v>9.25</v>
      </c>
      <c r="E287" s="43" t="s">
        <v>683</v>
      </c>
      <c r="F287" s="43" t="s">
        <v>701</v>
      </c>
      <c r="G287" s="43" t="s">
        <v>171</v>
      </c>
      <c r="H287" s="37" t="s">
        <v>49</v>
      </c>
      <c r="I287" s="39">
        <v>46227.791886574072</v>
      </c>
    </row>
    <row r="288" spans="1:9" ht="41.4" hidden="1">
      <c r="A288" s="37" t="s">
        <v>705</v>
      </c>
      <c r="B288" s="37" t="s">
        <v>500</v>
      </c>
      <c r="C288" s="37" t="s">
        <v>501</v>
      </c>
      <c r="D288" s="41">
        <v>8.49</v>
      </c>
      <c r="E288" s="43" t="s">
        <v>683</v>
      </c>
      <c r="F288" s="43" t="s">
        <v>701</v>
      </c>
      <c r="G288" s="43" t="s">
        <v>171</v>
      </c>
      <c r="H288" s="37" t="s">
        <v>49</v>
      </c>
      <c r="I288" s="39">
        <v>46227.791886574072</v>
      </c>
    </row>
    <row r="289" spans="1:9" ht="41.4" hidden="1">
      <c r="A289" s="37" t="s">
        <v>705</v>
      </c>
      <c r="B289" s="37" t="s">
        <v>504</v>
      </c>
      <c r="C289" s="37" t="s">
        <v>505</v>
      </c>
      <c r="D289" s="41">
        <v>9</v>
      </c>
      <c r="E289" s="43" t="s">
        <v>684</v>
      </c>
      <c r="F289" s="43" t="s">
        <v>701</v>
      </c>
      <c r="G289" s="43" t="s">
        <v>171</v>
      </c>
      <c r="H289" s="37" t="s">
        <v>49</v>
      </c>
      <c r="I289" s="39">
        <v>46227.791886574072</v>
      </c>
    </row>
    <row r="290" spans="1:9" ht="41.4" hidden="1">
      <c r="A290" s="37" t="s">
        <v>705</v>
      </c>
      <c r="B290" s="37" t="s">
        <v>509</v>
      </c>
      <c r="C290" s="37" t="s">
        <v>510</v>
      </c>
      <c r="D290" s="41">
        <v>6.46</v>
      </c>
      <c r="E290" s="43" t="s">
        <v>683</v>
      </c>
      <c r="F290" s="43" t="s">
        <v>701</v>
      </c>
      <c r="G290" s="43" t="s">
        <v>171</v>
      </c>
      <c r="H290" s="37" t="s">
        <v>49</v>
      </c>
      <c r="I290" s="39">
        <v>46227.791886574072</v>
      </c>
    </row>
    <row r="291" spans="1:9" ht="41.4" hidden="1">
      <c r="A291" s="37" t="s">
        <v>705</v>
      </c>
      <c r="B291" s="37" t="s">
        <v>513</v>
      </c>
      <c r="C291" s="37" t="s">
        <v>514</v>
      </c>
      <c r="D291" s="41">
        <v>9</v>
      </c>
      <c r="E291" s="43" t="s">
        <v>684</v>
      </c>
      <c r="F291" s="43" t="s">
        <v>701</v>
      </c>
      <c r="G291" s="43" t="s">
        <v>171</v>
      </c>
      <c r="H291" s="37" t="s">
        <v>49</v>
      </c>
      <c r="I291" s="39">
        <v>46227.791886574072</v>
      </c>
    </row>
    <row r="292" spans="1:9" ht="41.4" hidden="1">
      <c r="A292" s="37" t="s">
        <v>705</v>
      </c>
      <c r="B292" s="37" t="s">
        <v>517</v>
      </c>
      <c r="C292" s="37" t="s">
        <v>518</v>
      </c>
      <c r="D292" s="41">
        <v>8.49</v>
      </c>
      <c r="E292" s="43" t="s">
        <v>683</v>
      </c>
      <c r="F292" s="43" t="s">
        <v>701</v>
      </c>
      <c r="G292" s="43" t="s">
        <v>171</v>
      </c>
      <c r="H292" s="37" t="s">
        <v>49</v>
      </c>
      <c r="I292" s="39">
        <v>46227.791886574072</v>
      </c>
    </row>
    <row r="293" spans="1:9" ht="41.4" hidden="1">
      <c r="A293" s="37" t="s">
        <v>705</v>
      </c>
      <c r="B293" s="37" t="s">
        <v>520</v>
      </c>
      <c r="C293" s="37" t="s">
        <v>521</v>
      </c>
      <c r="D293" s="41">
        <v>7.99</v>
      </c>
      <c r="E293" s="43" t="s">
        <v>683</v>
      </c>
      <c r="F293" s="43" t="s">
        <v>701</v>
      </c>
      <c r="G293" s="43" t="s">
        <v>171</v>
      </c>
      <c r="H293" s="37" t="s">
        <v>49</v>
      </c>
      <c r="I293" s="39">
        <v>46227.791886574072</v>
      </c>
    </row>
    <row r="294" spans="1:9" ht="41.4" hidden="1">
      <c r="A294" s="37" t="s">
        <v>706</v>
      </c>
      <c r="B294" s="37" t="s">
        <v>483</v>
      </c>
      <c r="C294" s="37" t="s">
        <v>484</v>
      </c>
      <c r="D294" s="41">
        <v>9</v>
      </c>
      <c r="E294" s="43" t="s">
        <v>682</v>
      </c>
      <c r="F294" s="43" t="s">
        <v>701</v>
      </c>
      <c r="G294" s="43" t="s">
        <v>171</v>
      </c>
      <c r="H294" s="37" t="s">
        <v>49</v>
      </c>
      <c r="I294" s="39">
        <v>46227.791898148149</v>
      </c>
    </row>
    <row r="295" spans="1:9" ht="41.4" hidden="1">
      <c r="A295" s="37" t="s">
        <v>706</v>
      </c>
      <c r="B295" s="37" t="s">
        <v>488</v>
      </c>
      <c r="C295" s="37" t="s">
        <v>489</v>
      </c>
      <c r="D295" s="41">
        <v>8.5</v>
      </c>
      <c r="E295" s="43" t="s">
        <v>682</v>
      </c>
      <c r="F295" s="43" t="s">
        <v>701</v>
      </c>
      <c r="G295" s="43" t="s">
        <v>171</v>
      </c>
      <c r="H295" s="37" t="s">
        <v>49</v>
      </c>
      <c r="I295" s="39">
        <v>46227.791898148149</v>
      </c>
    </row>
    <row r="296" spans="1:9" ht="41.4" hidden="1">
      <c r="A296" s="37" t="s">
        <v>706</v>
      </c>
      <c r="B296" s="37" t="s">
        <v>491</v>
      </c>
      <c r="C296" s="37" t="s">
        <v>492</v>
      </c>
      <c r="D296" s="41">
        <v>8.39</v>
      </c>
      <c r="E296" s="43" t="s">
        <v>683</v>
      </c>
      <c r="F296" s="43" t="s">
        <v>701</v>
      </c>
      <c r="G296" s="43" t="s">
        <v>171</v>
      </c>
      <c r="H296" s="37" t="s">
        <v>49</v>
      </c>
      <c r="I296" s="39">
        <v>46227.791898148149</v>
      </c>
    </row>
    <row r="297" spans="1:9" ht="41.4" hidden="1">
      <c r="A297" s="37" t="s">
        <v>706</v>
      </c>
      <c r="B297" s="37" t="s">
        <v>496</v>
      </c>
      <c r="C297" s="37" t="s">
        <v>497</v>
      </c>
      <c r="D297" s="41">
        <v>9.3000000000000007</v>
      </c>
      <c r="E297" s="43" t="s">
        <v>683</v>
      </c>
      <c r="F297" s="43" t="s">
        <v>701</v>
      </c>
      <c r="G297" s="43" t="s">
        <v>171</v>
      </c>
      <c r="H297" s="37" t="s">
        <v>49</v>
      </c>
      <c r="I297" s="39">
        <v>46227.791898148149</v>
      </c>
    </row>
    <row r="298" spans="1:9" ht="41.4" hidden="1">
      <c r="A298" s="37" t="s">
        <v>706</v>
      </c>
      <c r="B298" s="37" t="s">
        <v>500</v>
      </c>
      <c r="C298" s="37" t="s">
        <v>501</v>
      </c>
      <c r="D298" s="41">
        <v>8.59</v>
      </c>
      <c r="E298" s="43" t="s">
        <v>683</v>
      </c>
      <c r="F298" s="43" t="s">
        <v>701</v>
      </c>
      <c r="G298" s="43" t="s">
        <v>171</v>
      </c>
      <c r="H298" s="37" t="s">
        <v>49</v>
      </c>
      <c r="I298" s="39">
        <v>46227.791898148149</v>
      </c>
    </row>
    <row r="299" spans="1:9" ht="41.4" hidden="1">
      <c r="A299" s="37" t="s">
        <v>706</v>
      </c>
      <c r="B299" s="37" t="s">
        <v>504</v>
      </c>
      <c r="C299" s="37" t="s">
        <v>505</v>
      </c>
      <c r="D299" s="41">
        <v>9</v>
      </c>
      <c r="E299" s="43" t="s">
        <v>684</v>
      </c>
      <c r="F299" s="43" t="s">
        <v>701</v>
      </c>
      <c r="G299" s="43" t="s">
        <v>171</v>
      </c>
      <c r="H299" s="37" t="s">
        <v>49</v>
      </c>
      <c r="I299" s="39">
        <v>46227.791898148149</v>
      </c>
    </row>
    <row r="300" spans="1:9" ht="41.4" hidden="1">
      <c r="A300" s="37" t="s">
        <v>706</v>
      </c>
      <c r="B300" s="37" t="s">
        <v>509</v>
      </c>
      <c r="C300" s="37" t="s">
        <v>510</v>
      </c>
      <c r="D300" s="41">
        <v>6.96</v>
      </c>
      <c r="E300" s="43" t="s">
        <v>683</v>
      </c>
      <c r="F300" s="43" t="s">
        <v>701</v>
      </c>
      <c r="G300" s="43" t="s">
        <v>171</v>
      </c>
      <c r="H300" s="37" t="s">
        <v>49</v>
      </c>
      <c r="I300" s="39">
        <v>46227.791898148149</v>
      </c>
    </row>
    <row r="301" spans="1:9" ht="41.4" hidden="1">
      <c r="A301" s="37" t="s">
        <v>706</v>
      </c>
      <c r="B301" s="37" t="s">
        <v>513</v>
      </c>
      <c r="C301" s="37" t="s">
        <v>514</v>
      </c>
      <c r="D301" s="41">
        <v>9</v>
      </c>
      <c r="E301" s="43" t="s">
        <v>684</v>
      </c>
      <c r="F301" s="43" t="s">
        <v>701</v>
      </c>
      <c r="G301" s="43" t="s">
        <v>171</v>
      </c>
      <c r="H301" s="37" t="s">
        <v>49</v>
      </c>
      <c r="I301" s="39">
        <v>46227.791898148149</v>
      </c>
    </row>
    <row r="302" spans="1:9" ht="41.4" hidden="1">
      <c r="A302" s="37" t="s">
        <v>706</v>
      </c>
      <c r="B302" s="37" t="s">
        <v>517</v>
      </c>
      <c r="C302" s="37" t="s">
        <v>518</v>
      </c>
      <c r="D302" s="41">
        <v>8.59</v>
      </c>
      <c r="E302" s="43" t="s">
        <v>683</v>
      </c>
      <c r="F302" s="43" t="s">
        <v>701</v>
      </c>
      <c r="G302" s="43" t="s">
        <v>171</v>
      </c>
      <c r="H302" s="37" t="s">
        <v>49</v>
      </c>
      <c r="I302" s="39">
        <v>46227.791898148149</v>
      </c>
    </row>
    <row r="303" spans="1:9" ht="41.4" hidden="1">
      <c r="A303" s="37" t="s">
        <v>706</v>
      </c>
      <c r="B303" s="37" t="s">
        <v>520</v>
      </c>
      <c r="C303" s="37" t="s">
        <v>521</v>
      </c>
      <c r="D303" s="41">
        <v>8.09</v>
      </c>
      <c r="E303" s="43" t="s">
        <v>683</v>
      </c>
      <c r="F303" s="43" t="s">
        <v>701</v>
      </c>
      <c r="G303" s="43" t="s">
        <v>171</v>
      </c>
      <c r="H303" s="37" t="s">
        <v>49</v>
      </c>
      <c r="I303" s="39">
        <v>46227.791898148149</v>
      </c>
    </row>
    <row r="304" spans="1:9" ht="41.4" hidden="1">
      <c r="A304" s="37" t="s">
        <v>707</v>
      </c>
      <c r="B304" s="37" t="s">
        <v>483</v>
      </c>
      <c r="C304" s="37" t="s">
        <v>484</v>
      </c>
      <c r="D304" s="41">
        <v>9</v>
      </c>
      <c r="E304" s="43" t="s">
        <v>682</v>
      </c>
      <c r="F304" s="43" t="s">
        <v>701</v>
      </c>
      <c r="G304" s="43" t="s">
        <v>171</v>
      </c>
      <c r="H304" s="37" t="s">
        <v>49</v>
      </c>
      <c r="I304" s="39">
        <v>46227.791909722226</v>
      </c>
    </row>
    <row r="305" spans="1:9" ht="41.4" hidden="1">
      <c r="A305" s="37" t="s">
        <v>707</v>
      </c>
      <c r="B305" s="37" t="s">
        <v>488</v>
      </c>
      <c r="C305" s="37" t="s">
        <v>489</v>
      </c>
      <c r="D305" s="41">
        <v>8.5</v>
      </c>
      <c r="E305" s="43" t="s">
        <v>682</v>
      </c>
      <c r="F305" s="43" t="s">
        <v>701</v>
      </c>
      <c r="G305" s="43" t="s">
        <v>171</v>
      </c>
      <c r="H305" s="37" t="s">
        <v>49</v>
      </c>
      <c r="I305" s="39">
        <v>46227.791909722226</v>
      </c>
    </row>
    <row r="306" spans="1:9" ht="41.4" hidden="1">
      <c r="A306" s="37" t="s">
        <v>707</v>
      </c>
      <c r="B306" s="37" t="s">
        <v>491</v>
      </c>
      <c r="C306" s="37" t="s">
        <v>492</v>
      </c>
      <c r="D306" s="41">
        <v>8.5399999999999991</v>
      </c>
      <c r="E306" s="43" t="s">
        <v>683</v>
      </c>
      <c r="F306" s="43" t="s">
        <v>701</v>
      </c>
      <c r="G306" s="43" t="s">
        <v>171</v>
      </c>
      <c r="H306" s="37" t="s">
        <v>49</v>
      </c>
      <c r="I306" s="39">
        <v>46227.791909722226</v>
      </c>
    </row>
    <row r="307" spans="1:9" ht="41.4" hidden="1">
      <c r="A307" s="37" t="s">
        <v>707</v>
      </c>
      <c r="B307" s="37" t="s">
        <v>496</v>
      </c>
      <c r="C307" s="37" t="s">
        <v>497</v>
      </c>
      <c r="D307" s="41">
        <v>9.35</v>
      </c>
      <c r="E307" s="43" t="s">
        <v>683</v>
      </c>
      <c r="F307" s="43" t="s">
        <v>701</v>
      </c>
      <c r="G307" s="43" t="s">
        <v>171</v>
      </c>
      <c r="H307" s="37" t="s">
        <v>49</v>
      </c>
      <c r="I307" s="39">
        <v>46227.791909722226</v>
      </c>
    </row>
    <row r="308" spans="1:9" ht="41.4" hidden="1">
      <c r="A308" s="37" t="s">
        <v>707</v>
      </c>
      <c r="B308" s="37" t="s">
        <v>500</v>
      </c>
      <c r="C308" s="37" t="s">
        <v>501</v>
      </c>
      <c r="D308" s="41">
        <v>8.69</v>
      </c>
      <c r="E308" s="43" t="s">
        <v>683</v>
      </c>
      <c r="F308" s="43" t="s">
        <v>701</v>
      </c>
      <c r="G308" s="43" t="s">
        <v>171</v>
      </c>
      <c r="H308" s="37" t="s">
        <v>49</v>
      </c>
      <c r="I308" s="39">
        <v>46227.791909722226</v>
      </c>
    </row>
    <row r="309" spans="1:9" ht="41.4" hidden="1">
      <c r="A309" s="37" t="s">
        <v>707</v>
      </c>
      <c r="B309" s="37" t="s">
        <v>504</v>
      </c>
      <c r="C309" s="37" t="s">
        <v>505</v>
      </c>
      <c r="D309" s="41">
        <v>9</v>
      </c>
      <c r="E309" s="43" t="s">
        <v>684</v>
      </c>
      <c r="F309" s="43" t="s">
        <v>701</v>
      </c>
      <c r="G309" s="43" t="s">
        <v>171</v>
      </c>
      <c r="H309" s="37" t="s">
        <v>49</v>
      </c>
      <c r="I309" s="39">
        <v>46227.791909722226</v>
      </c>
    </row>
    <row r="310" spans="1:9" ht="41.4" hidden="1">
      <c r="A310" s="37" t="s">
        <v>707</v>
      </c>
      <c r="B310" s="37" t="s">
        <v>509</v>
      </c>
      <c r="C310" s="37" t="s">
        <v>510</v>
      </c>
      <c r="D310" s="41">
        <v>7.46</v>
      </c>
      <c r="E310" s="43" t="s">
        <v>683</v>
      </c>
      <c r="F310" s="43" t="s">
        <v>701</v>
      </c>
      <c r="G310" s="43" t="s">
        <v>171</v>
      </c>
      <c r="H310" s="37" t="s">
        <v>49</v>
      </c>
      <c r="I310" s="39">
        <v>46227.791909722226</v>
      </c>
    </row>
    <row r="311" spans="1:9" ht="41.4" hidden="1">
      <c r="A311" s="37" t="s">
        <v>707</v>
      </c>
      <c r="B311" s="37" t="s">
        <v>513</v>
      </c>
      <c r="C311" s="37" t="s">
        <v>514</v>
      </c>
      <c r="D311" s="41">
        <v>9</v>
      </c>
      <c r="E311" s="43" t="s">
        <v>684</v>
      </c>
      <c r="F311" s="43" t="s">
        <v>701</v>
      </c>
      <c r="G311" s="43" t="s">
        <v>171</v>
      </c>
      <c r="H311" s="37" t="s">
        <v>49</v>
      </c>
      <c r="I311" s="39">
        <v>46227.791909722226</v>
      </c>
    </row>
    <row r="312" spans="1:9" ht="41.4" hidden="1">
      <c r="A312" s="37" t="s">
        <v>707</v>
      </c>
      <c r="B312" s="37" t="s">
        <v>517</v>
      </c>
      <c r="C312" s="37" t="s">
        <v>518</v>
      </c>
      <c r="D312" s="41">
        <v>8.69</v>
      </c>
      <c r="E312" s="43" t="s">
        <v>683</v>
      </c>
      <c r="F312" s="43" t="s">
        <v>701</v>
      </c>
      <c r="G312" s="43" t="s">
        <v>171</v>
      </c>
      <c r="H312" s="37" t="s">
        <v>49</v>
      </c>
      <c r="I312" s="39">
        <v>46227.791909722226</v>
      </c>
    </row>
    <row r="313" spans="1:9" ht="41.4" hidden="1">
      <c r="A313" s="37" t="s">
        <v>707</v>
      </c>
      <c r="B313" s="37" t="s">
        <v>520</v>
      </c>
      <c r="C313" s="37" t="s">
        <v>521</v>
      </c>
      <c r="D313" s="41">
        <v>8.19</v>
      </c>
      <c r="E313" s="43" t="s">
        <v>683</v>
      </c>
      <c r="F313" s="43" t="s">
        <v>701</v>
      </c>
      <c r="G313" s="43" t="s">
        <v>171</v>
      </c>
      <c r="H313" s="37" t="s">
        <v>49</v>
      </c>
      <c r="I313" s="39">
        <v>46227.791909722226</v>
      </c>
    </row>
    <row r="314" spans="1:9" ht="27.6" hidden="1">
      <c r="A314" s="37" t="s">
        <v>708</v>
      </c>
      <c r="B314" s="37" t="s">
        <v>483</v>
      </c>
      <c r="C314" s="37" t="s">
        <v>484</v>
      </c>
      <c r="D314" s="41">
        <v>9.5</v>
      </c>
      <c r="E314" s="43" t="s">
        <v>682</v>
      </c>
      <c r="F314" s="43" t="s">
        <v>753</v>
      </c>
      <c r="G314" s="43" t="s">
        <v>171</v>
      </c>
      <c r="H314" s="37" t="s">
        <v>49</v>
      </c>
      <c r="I314" s="39">
        <v>46227.791921296295</v>
      </c>
    </row>
    <row r="315" spans="1:9" ht="27.6" hidden="1">
      <c r="A315" s="37" t="s">
        <v>708</v>
      </c>
      <c r="B315" s="37" t="s">
        <v>488</v>
      </c>
      <c r="C315" s="37" t="s">
        <v>489</v>
      </c>
      <c r="D315" s="41">
        <v>9</v>
      </c>
      <c r="E315" s="43" t="s">
        <v>682</v>
      </c>
      <c r="F315" s="43" t="s">
        <v>753</v>
      </c>
      <c r="G315" s="43" t="s">
        <v>171</v>
      </c>
      <c r="H315" s="37" t="s">
        <v>49</v>
      </c>
      <c r="I315" s="39">
        <v>46227.791921296295</v>
      </c>
    </row>
    <row r="316" spans="1:9" ht="27.6" hidden="1">
      <c r="A316" s="37" t="s">
        <v>708</v>
      </c>
      <c r="B316" s="37" t="s">
        <v>491</v>
      </c>
      <c r="C316" s="37" t="s">
        <v>492</v>
      </c>
      <c r="D316" s="41">
        <v>7.5</v>
      </c>
      <c r="E316" s="43" t="s">
        <v>683</v>
      </c>
      <c r="F316" s="43" t="s">
        <v>753</v>
      </c>
      <c r="G316" s="43" t="s">
        <v>171</v>
      </c>
      <c r="H316" s="37" t="s">
        <v>49</v>
      </c>
      <c r="I316" s="39">
        <v>46227.791921296295</v>
      </c>
    </row>
    <row r="317" spans="1:9" ht="27.6" hidden="1">
      <c r="A317" s="37" t="s">
        <v>708</v>
      </c>
      <c r="B317" s="37" t="s">
        <v>496</v>
      </c>
      <c r="C317" s="37" t="s">
        <v>497</v>
      </c>
      <c r="D317" s="41">
        <v>9</v>
      </c>
      <c r="E317" s="43" t="s">
        <v>683</v>
      </c>
      <c r="F317" s="43" t="s">
        <v>753</v>
      </c>
      <c r="G317" s="43" t="s">
        <v>171</v>
      </c>
      <c r="H317" s="37" t="s">
        <v>49</v>
      </c>
      <c r="I317" s="39">
        <v>46227.791921296295</v>
      </c>
    </row>
    <row r="318" spans="1:9" ht="27.6" hidden="1">
      <c r="A318" s="37" t="s">
        <v>708</v>
      </c>
      <c r="B318" s="37" t="s">
        <v>500</v>
      </c>
      <c r="C318" s="37" t="s">
        <v>501</v>
      </c>
      <c r="D318" s="41">
        <v>7.5</v>
      </c>
      <c r="E318" s="43" t="s">
        <v>683</v>
      </c>
      <c r="F318" s="43" t="s">
        <v>753</v>
      </c>
      <c r="G318" s="43" t="s">
        <v>171</v>
      </c>
      <c r="H318" s="37" t="s">
        <v>49</v>
      </c>
      <c r="I318" s="39">
        <v>46227.791921296295</v>
      </c>
    </row>
    <row r="319" spans="1:9" ht="27.6" hidden="1">
      <c r="A319" s="37" t="s">
        <v>708</v>
      </c>
      <c r="B319" s="37" t="s">
        <v>504</v>
      </c>
      <c r="C319" s="37" t="s">
        <v>505</v>
      </c>
      <c r="D319" s="41">
        <v>8</v>
      </c>
      <c r="E319" s="43" t="s">
        <v>684</v>
      </c>
      <c r="F319" s="43" t="s">
        <v>753</v>
      </c>
      <c r="G319" s="43" t="s">
        <v>171</v>
      </c>
      <c r="H319" s="37" t="s">
        <v>49</v>
      </c>
      <c r="I319" s="39">
        <v>46227.791921296295</v>
      </c>
    </row>
    <row r="320" spans="1:9" ht="27.6" hidden="1">
      <c r="A320" s="37" t="s">
        <v>708</v>
      </c>
      <c r="B320" s="37" t="s">
        <v>509</v>
      </c>
      <c r="C320" s="37" t="s">
        <v>510</v>
      </c>
      <c r="D320" s="41">
        <v>1</v>
      </c>
      <c r="E320" s="43" t="s">
        <v>683</v>
      </c>
      <c r="F320" s="43" t="s">
        <v>753</v>
      </c>
      <c r="G320" s="43" t="s">
        <v>171</v>
      </c>
      <c r="H320" s="37" t="s">
        <v>49</v>
      </c>
      <c r="I320" s="39">
        <v>46227.791921296295</v>
      </c>
    </row>
    <row r="321" spans="1:9" ht="27.6" hidden="1">
      <c r="A321" s="37" t="s">
        <v>708</v>
      </c>
      <c r="B321" s="37" t="s">
        <v>513</v>
      </c>
      <c r="C321" s="37" t="s">
        <v>514</v>
      </c>
      <c r="D321" s="41">
        <v>7.5</v>
      </c>
      <c r="E321" s="43" t="s">
        <v>684</v>
      </c>
      <c r="F321" s="43" t="s">
        <v>753</v>
      </c>
      <c r="G321" s="43" t="s">
        <v>171</v>
      </c>
      <c r="H321" s="37" t="s">
        <v>49</v>
      </c>
      <c r="I321" s="39">
        <v>46227.791921296295</v>
      </c>
    </row>
    <row r="322" spans="1:9" ht="27.6" hidden="1">
      <c r="A322" s="37" t="s">
        <v>708</v>
      </c>
      <c r="B322" s="37" t="s">
        <v>517</v>
      </c>
      <c r="C322" s="37" t="s">
        <v>518</v>
      </c>
      <c r="D322" s="41">
        <v>8</v>
      </c>
      <c r="E322" s="43" t="s">
        <v>683</v>
      </c>
      <c r="F322" s="43" t="s">
        <v>753</v>
      </c>
      <c r="G322" s="43" t="s">
        <v>171</v>
      </c>
      <c r="H322" s="37" t="s">
        <v>49</v>
      </c>
      <c r="I322" s="39">
        <v>46227.791921296295</v>
      </c>
    </row>
    <row r="323" spans="1:9" ht="27.6" hidden="1">
      <c r="A323" s="37" t="s">
        <v>708</v>
      </c>
      <c r="B323" s="37" t="s">
        <v>520</v>
      </c>
      <c r="C323" s="37" t="s">
        <v>521</v>
      </c>
      <c r="D323" s="41">
        <v>8.5</v>
      </c>
      <c r="E323" s="43" t="s">
        <v>683</v>
      </c>
      <c r="F323" s="43" t="s">
        <v>753</v>
      </c>
      <c r="G323" s="43" t="s">
        <v>171</v>
      </c>
      <c r="H323" s="37" t="s">
        <v>49</v>
      </c>
      <c r="I323" s="39">
        <v>46227.791921296295</v>
      </c>
    </row>
    <row r="324" spans="1:9" ht="41.4" hidden="1">
      <c r="A324" s="37" t="s">
        <v>709</v>
      </c>
      <c r="B324" s="37" t="s">
        <v>483</v>
      </c>
      <c r="C324" s="37" t="s">
        <v>484</v>
      </c>
      <c r="D324" s="41">
        <v>9.5</v>
      </c>
      <c r="E324" s="43" t="s">
        <v>682</v>
      </c>
      <c r="F324" s="43" t="s">
        <v>701</v>
      </c>
      <c r="G324" s="43" t="s">
        <v>171</v>
      </c>
      <c r="H324" s="37" t="s">
        <v>49</v>
      </c>
      <c r="I324" s="39">
        <v>46227.791932870372</v>
      </c>
    </row>
    <row r="325" spans="1:9" ht="41.4" hidden="1">
      <c r="A325" s="37" t="s">
        <v>709</v>
      </c>
      <c r="B325" s="37" t="s">
        <v>488</v>
      </c>
      <c r="C325" s="37" t="s">
        <v>489</v>
      </c>
      <c r="D325" s="41">
        <v>9</v>
      </c>
      <c r="E325" s="43" t="s">
        <v>682</v>
      </c>
      <c r="F325" s="43" t="s">
        <v>701</v>
      </c>
      <c r="G325" s="43" t="s">
        <v>171</v>
      </c>
      <c r="H325" s="37" t="s">
        <v>49</v>
      </c>
      <c r="I325" s="39">
        <v>46227.791932870372</v>
      </c>
    </row>
    <row r="326" spans="1:9" ht="41.4" hidden="1">
      <c r="A326" s="37" t="s">
        <v>709</v>
      </c>
      <c r="B326" s="37" t="s">
        <v>491</v>
      </c>
      <c r="C326" s="37" t="s">
        <v>492</v>
      </c>
      <c r="D326" s="41">
        <v>7.64</v>
      </c>
      <c r="E326" s="43" t="s">
        <v>683</v>
      </c>
      <c r="F326" s="43" t="s">
        <v>701</v>
      </c>
      <c r="G326" s="43" t="s">
        <v>171</v>
      </c>
      <c r="H326" s="37" t="s">
        <v>49</v>
      </c>
      <c r="I326" s="39">
        <v>46227.791932870372</v>
      </c>
    </row>
    <row r="327" spans="1:9" ht="41.4" hidden="1">
      <c r="A327" s="37" t="s">
        <v>709</v>
      </c>
      <c r="B327" s="37" t="s">
        <v>496</v>
      </c>
      <c r="C327" s="37" t="s">
        <v>497</v>
      </c>
      <c r="D327" s="41">
        <v>9.0500000000000007</v>
      </c>
      <c r="E327" s="43" t="s">
        <v>683</v>
      </c>
      <c r="F327" s="43" t="s">
        <v>701</v>
      </c>
      <c r="G327" s="43" t="s">
        <v>171</v>
      </c>
      <c r="H327" s="37" t="s">
        <v>49</v>
      </c>
      <c r="I327" s="39">
        <v>46227.791932870372</v>
      </c>
    </row>
    <row r="328" spans="1:9" ht="41.4" hidden="1">
      <c r="A328" s="37" t="s">
        <v>709</v>
      </c>
      <c r="B328" s="37" t="s">
        <v>500</v>
      </c>
      <c r="C328" s="37" t="s">
        <v>501</v>
      </c>
      <c r="D328" s="41">
        <v>7.59</v>
      </c>
      <c r="E328" s="43" t="s">
        <v>683</v>
      </c>
      <c r="F328" s="43" t="s">
        <v>701</v>
      </c>
      <c r="G328" s="43" t="s">
        <v>171</v>
      </c>
      <c r="H328" s="37" t="s">
        <v>49</v>
      </c>
      <c r="I328" s="39">
        <v>46227.791932870372</v>
      </c>
    </row>
    <row r="329" spans="1:9" ht="41.4" hidden="1">
      <c r="A329" s="37" t="s">
        <v>709</v>
      </c>
      <c r="B329" s="37" t="s">
        <v>504</v>
      </c>
      <c r="C329" s="37" t="s">
        <v>505</v>
      </c>
      <c r="D329" s="41">
        <v>8</v>
      </c>
      <c r="E329" s="43" t="s">
        <v>684</v>
      </c>
      <c r="F329" s="43" t="s">
        <v>701</v>
      </c>
      <c r="G329" s="43" t="s">
        <v>171</v>
      </c>
      <c r="H329" s="37" t="s">
        <v>49</v>
      </c>
      <c r="I329" s="39">
        <v>46227.791932870372</v>
      </c>
    </row>
    <row r="330" spans="1:9" ht="41.4" hidden="1">
      <c r="A330" s="37" t="s">
        <v>709</v>
      </c>
      <c r="B330" s="37" t="s">
        <v>509</v>
      </c>
      <c r="C330" s="37" t="s">
        <v>510</v>
      </c>
      <c r="D330" s="41">
        <v>1.46</v>
      </c>
      <c r="E330" s="43" t="s">
        <v>683</v>
      </c>
      <c r="F330" s="43" t="s">
        <v>701</v>
      </c>
      <c r="G330" s="43" t="s">
        <v>171</v>
      </c>
      <c r="H330" s="37" t="s">
        <v>49</v>
      </c>
      <c r="I330" s="39">
        <v>46227.791932870372</v>
      </c>
    </row>
    <row r="331" spans="1:9" ht="41.4" hidden="1">
      <c r="A331" s="37" t="s">
        <v>709</v>
      </c>
      <c r="B331" s="37" t="s">
        <v>513</v>
      </c>
      <c r="C331" s="37" t="s">
        <v>514</v>
      </c>
      <c r="D331" s="41">
        <v>7.5</v>
      </c>
      <c r="E331" s="43" t="s">
        <v>684</v>
      </c>
      <c r="F331" s="43" t="s">
        <v>701</v>
      </c>
      <c r="G331" s="43" t="s">
        <v>171</v>
      </c>
      <c r="H331" s="37" t="s">
        <v>49</v>
      </c>
      <c r="I331" s="39">
        <v>46227.791932870372</v>
      </c>
    </row>
    <row r="332" spans="1:9" ht="41.4" hidden="1">
      <c r="A332" s="37" t="s">
        <v>709</v>
      </c>
      <c r="B332" s="37" t="s">
        <v>517</v>
      </c>
      <c r="C332" s="37" t="s">
        <v>518</v>
      </c>
      <c r="D332" s="41">
        <v>8.09</v>
      </c>
      <c r="E332" s="43" t="s">
        <v>683</v>
      </c>
      <c r="F332" s="43" t="s">
        <v>701</v>
      </c>
      <c r="G332" s="43" t="s">
        <v>171</v>
      </c>
      <c r="H332" s="37" t="s">
        <v>49</v>
      </c>
      <c r="I332" s="39">
        <v>46227.791932870372</v>
      </c>
    </row>
    <row r="333" spans="1:9" ht="41.4" hidden="1">
      <c r="A333" s="37" t="s">
        <v>709</v>
      </c>
      <c r="B333" s="37" t="s">
        <v>520</v>
      </c>
      <c r="C333" s="37" t="s">
        <v>521</v>
      </c>
      <c r="D333" s="41">
        <v>8.59</v>
      </c>
      <c r="E333" s="43" t="s">
        <v>683</v>
      </c>
      <c r="F333" s="43" t="s">
        <v>701</v>
      </c>
      <c r="G333" s="43" t="s">
        <v>171</v>
      </c>
      <c r="H333" s="37" t="s">
        <v>49</v>
      </c>
      <c r="I333" s="39">
        <v>46227.791932870372</v>
      </c>
    </row>
    <row r="334" spans="1:9" ht="41.4" hidden="1">
      <c r="A334" s="37" t="s">
        <v>710</v>
      </c>
      <c r="B334" s="37" t="s">
        <v>483</v>
      </c>
      <c r="C334" s="37" t="s">
        <v>484</v>
      </c>
      <c r="D334" s="41">
        <v>9.5</v>
      </c>
      <c r="E334" s="43" t="s">
        <v>682</v>
      </c>
      <c r="F334" s="43" t="s">
        <v>701</v>
      </c>
      <c r="G334" s="43" t="s">
        <v>171</v>
      </c>
      <c r="H334" s="37" t="s">
        <v>49</v>
      </c>
      <c r="I334" s="39">
        <v>46227.791944444441</v>
      </c>
    </row>
    <row r="335" spans="1:9" ht="41.4" hidden="1">
      <c r="A335" s="37" t="s">
        <v>710</v>
      </c>
      <c r="B335" s="37" t="s">
        <v>488</v>
      </c>
      <c r="C335" s="37" t="s">
        <v>489</v>
      </c>
      <c r="D335" s="41">
        <v>9</v>
      </c>
      <c r="E335" s="43" t="s">
        <v>682</v>
      </c>
      <c r="F335" s="43" t="s">
        <v>701</v>
      </c>
      <c r="G335" s="43" t="s">
        <v>171</v>
      </c>
      <c r="H335" s="37" t="s">
        <v>49</v>
      </c>
      <c r="I335" s="39">
        <v>46227.791944444441</v>
      </c>
    </row>
    <row r="336" spans="1:9" ht="41.4" hidden="1">
      <c r="A336" s="37" t="s">
        <v>710</v>
      </c>
      <c r="B336" s="37" t="s">
        <v>491</v>
      </c>
      <c r="C336" s="37" t="s">
        <v>492</v>
      </c>
      <c r="D336" s="41">
        <v>7.79</v>
      </c>
      <c r="E336" s="43" t="s">
        <v>683</v>
      </c>
      <c r="F336" s="43" t="s">
        <v>701</v>
      </c>
      <c r="G336" s="43" t="s">
        <v>171</v>
      </c>
      <c r="H336" s="37" t="s">
        <v>49</v>
      </c>
      <c r="I336" s="39">
        <v>46227.791944444441</v>
      </c>
    </row>
    <row r="337" spans="1:9" ht="41.4" hidden="1">
      <c r="A337" s="37" t="s">
        <v>710</v>
      </c>
      <c r="B337" s="37" t="s">
        <v>496</v>
      </c>
      <c r="C337" s="37" t="s">
        <v>497</v>
      </c>
      <c r="D337" s="41">
        <v>9.1</v>
      </c>
      <c r="E337" s="43" t="s">
        <v>683</v>
      </c>
      <c r="F337" s="43" t="s">
        <v>701</v>
      </c>
      <c r="G337" s="43" t="s">
        <v>171</v>
      </c>
      <c r="H337" s="37" t="s">
        <v>49</v>
      </c>
      <c r="I337" s="39">
        <v>46227.791944444441</v>
      </c>
    </row>
    <row r="338" spans="1:9" ht="41.4" hidden="1">
      <c r="A338" s="37" t="s">
        <v>710</v>
      </c>
      <c r="B338" s="37" t="s">
        <v>500</v>
      </c>
      <c r="C338" s="37" t="s">
        <v>501</v>
      </c>
      <c r="D338" s="41">
        <v>7.69</v>
      </c>
      <c r="E338" s="43" t="s">
        <v>683</v>
      </c>
      <c r="F338" s="43" t="s">
        <v>701</v>
      </c>
      <c r="G338" s="43" t="s">
        <v>171</v>
      </c>
      <c r="H338" s="37" t="s">
        <v>49</v>
      </c>
      <c r="I338" s="39">
        <v>46227.791944444441</v>
      </c>
    </row>
    <row r="339" spans="1:9" ht="41.4" hidden="1">
      <c r="A339" s="37" t="s">
        <v>710</v>
      </c>
      <c r="B339" s="37" t="s">
        <v>504</v>
      </c>
      <c r="C339" s="37" t="s">
        <v>505</v>
      </c>
      <c r="D339" s="41">
        <v>8</v>
      </c>
      <c r="E339" s="43" t="s">
        <v>684</v>
      </c>
      <c r="F339" s="43" t="s">
        <v>701</v>
      </c>
      <c r="G339" s="43" t="s">
        <v>171</v>
      </c>
      <c r="H339" s="37" t="s">
        <v>49</v>
      </c>
      <c r="I339" s="39">
        <v>46227.791944444441</v>
      </c>
    </row>
    <row r="340" spans="1:9" ht="41.4" hidden="1">
      <c r="A340" s="37" t="s">
        <v>710</v>
      </c>
      <c r="B340" s="37" t="s">
        <v>509</v>
      </c>
      <c r="C340" s="37" t="s">
        <v>510</v>
      </c>
      <c r="D340" s="41">
        <v>1.96</v>
      </c>
      <c r="E340" s="43" t="s">
        <v>683</v>
      </c>
      <c r="F340" s="43" t="s">
        <v>701</v>
      </c>
      <c r="G340" s="43" t="s">
        <v>171</v>
      </c>
      <c r="H340" s="37" t="s">
        <v>49</v>
      </c>
      <c r="I340" s="39">
        <v>46227.791944444441</v>
      </c>
    </row>
    <row r="341" spans="1:9" ht="41.4" hidden="1">
      <c r="A341" s="37" t="s">
        <v>710</v>
      </c>
      <c r="B341" s="37" t="s">
        <v>513</v>
      </c>
      <c r="C341" s="37" t="s">
        <v>514</v>
      </c>
      <c r="D341" s="41">
        <v>7.5</v>
      </c>
      <c r="E341" s="43" t="s">
        <v>684</v>
      </c>
      <c r="F341" s="43" t="s">
        <v>701</v>
      </c>
      <c r="G341" s="43" t="s">
        <v>171</v>
      </c>
      <c r="H341" s="37" t="s">
        <v>49</v>
      </c>
      <c r="I341" s="39">
        <v>46227.791944444441</v>
      </c>
    </row>
    <row r="342" spans="1:9" ht="41.4" hidden="1">
      <c r="A342" s="37" t="s">
        <v>710</v>
      </c>
      <c r="B342" s="37" t="s">
        <v>517</v>
      </c>
      <c r="C342" s="37" t="s">
        <v>518</v>
      </c>
      <c r="D342" s="41">
        <v>8.19</v>
      </c>
      <c r="E342" s="43" t="s">
        <v>683</v>
      </c>
      <c r="F342" s="43" t="s">
        <v>701</v>
      </c>
      <c r="G342" s="43" t="s">
        <v>171</v>
      </c>
      <c r="H342" s="37" t="s">
        <v>49</v>
      </c>
      <c r="I342" s="39">
        <v>46227.791944444441</v>
      </c>
    </row>
    <row r="343" spans="1:9" ht="41.4" hidden="1">
      <c r="A343" s="37" t="s">
        <v>710</v>
      </c>
      <c r="B343" s="37" t="s">
        <v>520</v>
      </c>
      <c r="C343" s="37" t="s">
        <v>521</v>
      </c>
      <c r="D343" s="41">
        <v>8.69</v>
      </c>
      <c r="E343" s="43" t="s">
        <v>683</v>
      </c>
      <c r="F343" s="43" t="s">
        <v>701</v>
      </c>
      <c r="G343" s="43" t="s">
        <v>171</v>
      </c>
      <c r="H343" s="37" t="s">
        <v>49</v>
      </c>
      <c r="I343" s="39">
        <v>46227.791944444441</v>
      </c>
    </row>
    <row r="344" spans="1:9" ht="41.4" hidden="1">
      <c r="A344" s="37" t="s">
        <v>711</v>
      </c>
      <c r="B344" s="37" t="s">
        <v>483</v>
      </c>
      <c r="C344" s="37" t="s">
        <v>484</v>
      </c>
      <c r="D344" s="41">
        <v>9.5</v>
      </c>
      <c r="E344" s="43" t="s">
        <v>682</v>
      </c>
      <c r="F344" s="43" t="s">
        <v>701</v>
      </c>
      <c r="G344" s="43" t="s">
        <v>171</v>
      </c>
      <c r="H344" s="37" t="s">
        <v>49</v>
      </c>
      <c r="I344" s="39">
        <v>46227.791956018518</v>
      </c>
    </row>
    <row r="345" spans="1:9" ht="41.4" hidden="1">
      <c r="A345" s="37" t="s">
        <v>711</v>
      </c>
      <c r="B345" s="37" t="s">
        <v>488</v>
      </c>
      <c r="C345" s="37" t="s">
        <v>489</v>
      </c>
      <c r="D345" s="41">
        <v>9</v>
      </c>
      <c r="E345" s="43" t="s">
        <v>682</v>
      </c>
      <c r="F345" s="43" t="s">
        <v>701</v>
      </c>
      <c r="G345" s="43" t="s">
        <v>171</v>
      </c>
      <c r="H345" s="37" t="s">
        <v>49</v>
      </c>
      <c r="I345" s="39">
        <v>46227.791956018518</v>
      </c>
    </row>
    <row r="346" spans="1:9" ht="41.4" hidden="1">
      <c r="A346" s="37" t="s">
        <v>711</v>
      </c>
      <c r="B346" s="37" t="s">
        <v>491</v>
      </c>
      <c r="C346" s="37" t="s">
        <v>492</v>
      </c>
      <c r="D346" s="41">
        <v>7.94</v>
      </c>
      <c r="E346" s="43" t="s">
        <v>683</v>
      </c>
      <c r="F346" s="43" t="s">
        <v>701</v>
      </c>
      <c r="G346" s="43" t="s">
        <v>171</v>
      </c>
      <c r="H346" s="37" t="s">
        <v>49</v>
      </c>
      <c r="I346" s="39">
        <v>46227.791956018518</v>
      </c>
    </row>
    <row r="347" spans="1:9" ht="41.4" hidden="1">
      <c r="A347" s="37" t="s">
        <v>711</v>
      </c>
      <c r="B347" s="37" t="s">
        <v>496</v>
      </c>
      <c r="C347" s="37" t="s">
        <v>497</v>
      </c>
      <c r="D347" s="41">
        <v>9.15</v>
      </c>
      <c r="E347" s="43" t="s">
        <v>683</v>
      </c>
      <c r="F347" s="43" t="s">
        <v>701</v>
      </c>
      <c r="G347" s="43" t="s">
        <v>171</v>
      </c>
      <c r="H347" s="37" t="s">
        <v>49</v>
      </c>
      <c r="I347" s="39">
        <v>46227.791956018518</v>
      </c>
    </row>
    <row r="348" spans="1:9" ht="41.4" hidden="1">
      <c r="A348" s="37" t="s">
        <v>711</v>
      </c>
      <c r="B348" s="37" t="s">
        <v>500</v>
      </c>
      <c r="C348" s="37" t="s">
        <v>501</v>
      </c>
      <c r="D348" s="41">
        <v>7.79</v>
      </c>
      <c r="E348" s="43" t="s">
        <v>683</v>
      </c>
      <c r="F348" s="43" t="s">
        <v>701</v>
      </c>
      <c r="G348" s="43" t="s">
        <v>171</v>
      </c>
      <c r="H348" s="37" t="s">
        <v>49</v>
      </c>
      <c r="I348" s="39">
        <v>46227.791956018518</v>
      </c>
    </row>
    <row r="349" spans="1:9" ht="41.4" hidden="1">
      <c r="A349" s="37" t="s">
        <v>711</v>
      </c>
      <c r="B349" s="37" t="s">
        <v>504</v>
      </c>
      <c r="C349" s="37" t="s">
        <v>505</v>
      </c>
      <c r="D349" s="41">
        <v>8</v>
      </c>
      <c r="E349" s="43" t="s">
        <v>684</v>
      </c>
      <c r="F349" s="43" t="s">
        <v>701</v>
      </c>
      <c r="G349" s="43" t="s">
        <v>171</v>
      </c>
      <c r="H349" s="37" t="s">
        <v>49</v>
      </c>
      <c r="I349" s="39">
        <v>46227.791956018518</v>
      </c>
    </row>
    <row r="350" spans="1:9" ht="41.4" hidden="1">
      <c r="A350" s="37" t="s">
        <v>711</v>
      </c>
      <c r="B350" s="37" t="s">
        <v>509</v>
      </c>
      <c r="C350" s="37" t="s">
        <v>510</v>
      </c>
      <c r="D350" s="41">
        <v>2.46</v>
      </c>
      <c r="E350" s="43" t="s">
        <v>683</v>
      </c>
      <c r="F350" s="43" t="s">
        <v>701</v>
      </c>
      <c r="G350" s="43" t="s">
        <v>171</v>
      </c>
      <c r="H350" s="37" t="s">
        <v>49</v>
      </c>
      <c r="I350" s="39">
        <v>46227.791956018518</v>
      </c>
    </row>
    <row r="351" spans="1:9" ht="41.4" hidden="1">
      <c r="A351" s="37" t="s">
        <v>711</v>
      </c>
      <c r="B351" s="37" t="s">
        <v>513</v>
      </c>
      <c r="C351" s="37" t="s">
        <v>514</v>
      </c>
      <c r="D351" s="41">
        <v>7.5</v>
      </c>
      <c r="E351" s="43" t="s">
        <v>684</v>
      </c>
      <c r="F351" s="43" t="s">
        <v>701</v>
      </c>
      <c r="G351" s="43" t="s">
        <v>171</v>
      </c>
      <c r="H351" s="37" t="s">
        <v>49</v>
      </c>
      <c r="I351" s="39">
        <v>46227.791956018518</v>
      </c>
    </row>
    <row r="352" spans="1:9" ht="41.4" hidden="1">
      <c r="A352" s="37" t="s">
        <v>711</v>
      </c>
      <c r="B352" s="37" t="s">
        <v>517</v>
      </c>
      <c r="C352" s="37" t="s">
        <v>518</v>
      </c>
      <c r="D352" s="41">
        <v>8.2899999999999991</v>
      </c>
      <c r="E352" s="43" t="s">
        <v>683</v>
      </c>
      <c r="F352" s="43" t="s">
        <v>701</v>
      </c>
      <c r="G352" s="43" t="s">
        <v>171</v>
      </c>
      <c r="H352" s="37" t="s">
        <v>49</v>
      </c>
      <c r="I352" s="39">
        <v>46227.791956018518</v>
      </c>
    </row>
    <row r="353" spans="1:9" ht="41.4" hidden="1">
      <c r="A353" s="37" t="s">
        <v>711</v>
      </c>
      <c r="B353" s="37" t="s">
        <v>520</v>
      </c>
      <c r="C353" s="37" t="s">
        <v>521</v>
      </c>
      <c r="D353" s="41">
        <v>8.7899999999999991</v>
      </c>
      <c r="E353" s="43" t="s">
        <v>683</v>
      </c>
      <c r="F353" s="43" t="s">
        <v>701</v>
      </c>
      <c r="G353" s="43" t="s">
        <v>171</v>
      </c>
      <c r="H353" s="37" t="s">
        <v>49</v>
      </c>
      <c r="I353" s="39">
        <v>46227.791956018518</v>
      </c>
    </row>
    <row r="354" spans="1:9" ht="41.4" hidden="1">
      <c r="A354" s="37" t="s">
        <v>712</v>
      </c>
      <c r="B354" s="37" t="s">
        <v>483</v>
      </c>
      <c r="C354" s="37" t="s">
        <v>484</v>
      </c>
      <c r="D354" s="41">
        <v>9.5</v>
      </c>
      <c r="E354" s="43" t="s">
        <v>682</v>
      </c>
      <c r="F354" s="43" t="s">
        <v>701</v>
      </c>
      <c r="G354" s="43" t="s">
        <v>171</v>
      </c>
      <c r="H354" s="37" t="s">
        <v>49</v>
      </c>
      <c r="I354" s="39">
        <v>46227.791967592595</v>
      </c>
    </row>
    <row r="355" spans="1:9" ht="41.4" hidden="1">
      <c r="A355" s="37" t="s">
        <v>712</v>
      </c>
      <c r="B355" s="37" t="s">
        <v>488</v>
      </c>
      <c r="C355" s="37" t="s">
        <v>489</v>
      </c>
      <c r="D355" s="41">
        <v>9</v>
      </c>
      <c r="E355" s="43" t="s">
        <v>682</v>
      </c>
      <c r="F355" s="43" t="s">
        <v>701</v>
      </c>
      <c r="G355" s="43" t="s">
        <v>171</v>
      </c>
      <c r="H355" s="37" t="s">
        <v>49</v>
      </c>
      <c r="I355" s="39">
        <v>46227.791967592595</v>
      </c>
    </row>
    <row r="356" spans="1:9" ht="41.4" hidden="1">
      <c r="A356" s="37" t="s">
        <v>712</v>
      </c>
      <c r="B356" s="37" t="s">
        <v>491</v>
      </c>
      <c r="C356" s="37" t="s">
        <v>492</v>
      </c>
      <c r="D356" s="41">
        <v>8.09</v>
      </c>
      <c r="E356" s="43" t="s">
        <v>683</v>
      </c>
      <c r="F356" s="43" t="s">
        <v>701</v>
      </c>
      <c r="G356" s="43" t="s">
        <v>171</v>
      </c>
      <c r="H356" s="37" t="s">
        <v>49</v>
      </c>
      <c r="I356" s="39">
        <v>46227.791967592595</v>
      </c>
    </row>
    <row r="357" spans="1:9" ht="41.4" hidden="1">
      <c r="A357" s="37" t="s">
        <v>712</v>
      </c>
      <c r="B357" s="37" t="s">
        <v>496</v>
      </c>
      <c r="C357" s="37" t="s">
        <v>497</v>
      </c>
      <c r="D357" s="41">
        <v>9.1999999999999993</v>
      </c>
      <c r="E357" s="43" t="s">
        <v>683</v>
      </c>
      <c r="F357" s="43" t="s">
        <v>701</v>
      </c>
      <c r="G357" s="43" t="s">
        <v>171</v>
      </c>
      <c r="H357" s="37" t="s">
        <v>49</v>
      </c>
      <c r="I357" s="39">
        <v>46227.791967592595</v>
      </c>
    </row>
    <row r="358" spans="1:9" ht="41.4" hidden="1">
      <c r="A358" s="37" t="s">
        <v>712</v>
      </c>
      <c r="B358" s="37" t="s">
        <v>500</v>
      </c>
      <c r="C358" s="37" t="s">
        <v>501</v>
      </c>
      <c r="D358" s="41">
        <v>7.89</v>
      </c>
      <c r="E358" s="43" t="s">
        <v>683</v>
      </c>
      <c r="F358" s="43" t="s">
        <v>701</v>
      </c>
      <c r="G358" s="43" t="s">
        <v>171</v>
      </c>
      <c r="H358" s="37" t="s">
        <v>49</v>
      </c>
      <c r="I358" s="39">
        <v>46227.791967592595</v>
      </c>
    </row>
    <row r="359" spans="1:9" ht="41.4" hidden="1">
      <c r="A359" s="37" t="s">
        <v>712</v>
      </c>
      <c r="B359" s="37" t="s">
        <v>504</v>
      </c>
      <c r="C359" s="37" t="s">
        <v>505</v>
      </c>
      <c r="D359" s="41">
        <v>8</v>
      </c>
      <c r="E359" s="43" t="s">
        <v>684</v>
      </c>
      <c r="F359" s="43" t="s">
        <v>701</v>
      </c>
      <c r="G359" s="43" t="s">
        <v>171</v>
      </c>
      <c r="H359" s="37" t="s">
        <v>49</v>
      </c>
      <c r="I359" s="39">
        <v>46227.791967592595</v>
      </c>
    </row>
    <row r="360" spans="1:9" ht="41.4" hidden="1">
      <c r="A360" s="37" t="s">
        <v>712</v>
      </c>
      <c r="B360" s="37" t="s">
        <v>509</v>
      </c>
      <c r="C360" s="37" t="s">
        <v>510</v>
      </c>
      <c r="D360" s="41">
        <v>2.96</v>
      </c>
      <c r="E360" s="43" t="s">
        <v>683</v>
      </c>
      <c r="F360" s="43" t="s">
        <v>701</v>
      </c>
      <c r="G360" s="43" t="s">
        <v>171</v>
      </c>
      <c r="H360" s="37" t="s">
        <v>49</v>
      </c>
      <c r="I360" s="39">
        <v>46227.791967592595</v>
      </c>
    </row>
    <row r="361" spans="1:9" ht="41.4" hidden="1">
      <c r="A361" s="37" t="s">
        <v>712</v>
      </c>
      <c r="B361" s="37" t="s">
        <v>513</v>
      </c>
      <c r="C361" s="37" t="s">
        <v>514</v>
      </c>
      <c r="D361" s="41">
        <v>7.5</v>
      </c>
      <c r="E361" s="43" t="s">
        <v>684</v>
      </c>
      <c r="F361" s="43" t="s">
        <v>701</v>
      </c>
      <c r="G361" s="43" t="s">
        <v>171</v>
      </c>
      <c r="H361" s="37" t="s">
        <v>49</v>
      </c>
      <c r="I361" s="39">
        <v>46227.791967592595</v>
      </c>
    </row>
    <row r="362" spans="1:9" ht="41.4" hidden="1">
      <c r="A362" s="37" t="s">
        <v>712</v>
      </c>
      <c r="B362" s="37" t="s">
        <v>517</v>
      </c>
      <c r="C362" s="37" t="s">
        <v>518</v>
      </c>
      <c r="D362" s="41">
        <v>8.39</v>
      </c>
      <c r="E362" s="43" t="s">
        <v>683</v>
      </c>
      <c r="F362" s="43" t="s">
        <v>701</v>
      </c>
      <c r="G362" s="43" t="s">
        <v>171</v>
      </c>
      <c r="H362" s="37" t="s">
        <v>49</v>
      </c>
      <c r="I362" s="39">
        <v>46227.791967592595</v>
      </c>
    </row>
    <row r="363" spans="1:9" ht="41.4" hidden="1">
      <c r="A363" s="37" t="s">
        <v>712</v>
      </c>
      <c r="B363" s="37" t="s">
        <v>520</v>
      </c>
      <c r="C363" s="37" t="s">
        <v>521</v>
      </c>
      <c r="D363" s="41">
        <v>8.89</v>
      </c>
      <c r="E363" s="43" t="s">
        <v>683</v>
      </c>
      <c r="F363" s="43" t="s">
        <v>701</v>
      </c>
      <c r="G363" s="43" t="s">
        <v>171</v>
      </c>
      <c r="H363" s="37" t="s">
        <v>49</v>
      </c>
      <c r="I363" s="39">
        <v>46227.791967592595</v>
      </c>
    </row>
    <row r="364" spans="1:9" ht="27.6" hidden="1">
      <c r="A364" s="37" t="s">
        <v>713</v>
      </c>
      <c r="B364" s="37" t="s">
        <v>483</v>
      </c>
      <c r="C364" s="37" t="s">
        <v>484</v>
      </c>
      <c r="D364" s="41">
        <v>9</v>
      </c>
      <c r="E364" s="43" t="s">
        <v>682</v>
      </c>
      <c r="F364" s="43" t="s">
        <v>753</v>
      </c>
      <c r="G364" s="43" t="s">
        <v>171</v>
      </c>
      <c r="H364" s="37" t="s">
        <v>49</v>
      </c>
      <c r="I364" s="39">
        <v>46227.791979166665</v>
      </c>
    </row>
    <row r="365" spans="1:9" ht="27.6" hidden="1">
      <c r="A365" s="37" t="s">
        <v>713</v>
      </c>
      <c r="B365" s="37" t="s">
        <v>488</v>
      </c>
      <c r="C365" s="37" t="s">
        <v>489</v>
      </c>
      <c r="D365" s="41">
        <v>9</v>
      </c>
      <c r="E365" s="43" t="s">
        <v>682</v>
      </c>
      <c r="F365" s="43" t="s">
        <v>753</v>
      </c>
      <c r="G365" s="43" t="s">
        <v>171</v>
      </c>
      <c r="H365" s="37" t="s">
        <v>49</v>
      </c>
      <c r="I365" s="39">
        <v>46227.791979166665</v>
      </c>
    </row>
    <row r="366" spans="1:9" ht="27.6" hidden="1">
      <c r="A366" s="37" t="s">
        <v>713</v>
      </c>
      <c r="B366" s="37" t="s">
        <v>491</v>
      </c>
      <c r="C366" s="37" t="s">
        <v>492</v>
      </c>
      <c r="D366" s="41">
        <v>9</v>
      </c>
      <c r="E366" s="43" t="s">
        <v>683</v>
      </c>
      <c r="F366" s="43" t="s">
        <v>753</v>
      </c>
      <c r="G366" s="43" t="s">
        <v>171</v>
      </c>
      <c r="H366" s="37" t="s">
        <v>49</v>
      </c>
      <c r="I366" s="39">
        <v>46227.791979166665</v>
      </c>
    </row>
    <row r="367" spans="1:9" ht="27.6" hidden="1">
      <c r="A367" s="37" t="s">
        <v>713</v>
      </c>
      <c r="B367" s="37" t="s">
        <v>496</v>
      </c>
      <c r="C367" s="37" t="s">
        <v>497</v>
      </c>
      <c r="D367" s="41">
        <v>8.5</v>
      </c>
      <c r="E367" s="43" t="s">
        <v>683</v>
      </c>
      <c r="F367" s="43" t="s">
        <v>753</v>
      </c>
      <c r="G367" s="43" t="s">
        <v>171</v>
      </c>
      <c r="H367" s="37" t="s">
        <v>49</v>
      </c>
      <c r="I367" s="39">
        <v>46227.791979166665</v>
      </c>
    </row>
    <row r="368" spans="1:9" ht="27.6" hidden="1">
      <c r="A368" s="37" t="s">
        <v>713</v>
      </c>
      <c r="B368" s="37" t="s">
        <v>500</v>
      </c>
      <c r="C368" s="37" t="s">
        <v>501</v>
      </c>
      <c r="D368" s="41">
        <v>7.8</v>
      </c>
      <c r="E368" s="43" t="s">
        <v>683</v>
      </c>
      <c r="F368" s="43" t="s">
        <v>753</v>
      </c>
      <c r="G368" s="43" t="s">
        <v>171</v>
      </c>
      <c r="H368" s="37" t="s">
        <v>49</v>
      </c>
      <c r="I368" s="39">
        <v>46227.791979166665</v>
      </c>
    </row>
    <row r="369" spans="1:9" ht="27.6" hidden="1">
      <c r="A369" s="37" t="s">
        <v>713</v>
      </c>
      <c r="B369" s="37" t="s">
        <v>504</v>
      </c>
      <c r="C369" s="37" t="s">
        <v>505</v>
      </c>
      <c r="D369" s="41">
        <v>9</v>
      </c>
      <c r="E369" s="43" t="s">
        <v>684</v>
      </c>
      <c r="F369" s="43" t="s">
        <v>753</v>
      </c>
      <c r="G369" s="43" t="s">
        <v>171</v>
      </c>
      <c r="H369" s="37" t="s">
        <v>49</v>
      </c>
      <c r="I369" s="39">
        <v>46227.791979166665</v>
      </c>
    </row>
    <row r="370" spans="1:9" ht="27.6" hidden="1">
      <c r="A370" s="37" t="s">
        <v>713</v>
      </c>
      <c r="B370" s="37" t="s">
        <v>509</v>
      </c>
      <c r="C370" s="37" t="s">
        <v>510</v>
      </c>
      <c r="D370" s="41">
        <v>1</v>
      </c>
      <c r="E370" s="43" t="s">
        <v>683</v>
      </c>
      <c r="F370" s="43" t="s">
        <v>753</v>
      </c>
      <c r="G370" s="43" t="s">
        <v>171</v>
      </c>
      <c r="H370" s="37" t="s">
        <v>49</v>
      </c>
      <c r="I370" s="39">
        <v>46227.791979166665</v>
      </c>
    </row>
    <row r="371" spans="1:9" ht="27.6" hidden="1">
      <c r="A371" s="37" t="s">
        <v>713</v>
      </c>
      <c r="B371" s="37" t="s">
        <v>513</v>
      </c>
      <c r="C371" s="37" t="s">
        <v>514</v>
      </c>
      <c r="D371" s="41">
        <v>9</v>
      </c>
      <c r="E371" s="43" t="s">
        <v>684</v>
      </c>
      <c r="F371" s="43" t="s">
        <v>753</v>
      </c>
      <c r="G371" s="43" t="s">
        <v>171</v>
      </c>
      <c r="H371" s="37" t="s">
        <v>49</v>
      </c>
      <c r="I371" s="39">
        <v>46227.791979166665</v>
      </c>
    </row>
    <row r="372" spans="1:9" ht="27.6" hidden="1">
      <c r="A372" s="37" t="s">
        <v>713</v>
      </c>
      <c r="B372" s="37" t="s">
        <v>517</v>
      </c>
      <c r="C372" s="37" t="s">
        <v>518</v>
      </c>
      <c r="D372" s="41">
        <v>9</v>
      </c>
      <c r="E372" s="43" t="s">
        <v>683</v>
      </c>
      <c r="F372" s="43" t="s">
        <v>753</v>
      </c>
      <c r="G372" s="43" t="s">
        <v>171</v>
      </c>
      <c r="H372" s="37" t="s">
        <v>49</v>
      </c>
      <c r="I372" s="39">
        <v>46227.791979166665</v>
      </c>
    </row>
    <row r="373" spans="1:9" ht="27.6" hidden="1">
      <c r="A373" s="37" t="s">
        <v>713</v>
      </c>
      <c r="B373" s="37" t="s">
        <v>520</v>
      </c>
      <c r="C373" s="37" t="s">
        <v>521</v>
      </c>
      <c r="D373" s="41">
        <v>8.5</v>
      </c>
      <c r="E373" s="43" t="s">
        <v>683</v>
      </c>
      <c r="F373" s="43" t="s">
        <v>753</v>
      </c>
      <c r="G373" s="43" t="s">
        <v>171</v>
      </c>
      <c r="H373" s="37" t="s">
        <v>49</v>
      </c>
      <c r="I373" s="39">
        <v>46227.791979166665</v>
      </c>
    </row>
    <row r="374" spans="1:9" ht="41.4" hidden="1">
      <c r="A374" s="37" t="s">
        <v>714</v>
      </c>
      <c r="B374" s="37" t="s">
        <v>483</v>
      </c>
      <c r="C374" s="37" t="s">
        <v>484</v>
      </c>
      <c r="D374" s="41">
        <v>9</v>
      </c>
      <c r="E374" s="43" t="s">
        <v>682</v>
      </c>
      <c r="F374" s="43" t="s">
        <v>701</v>
      </c>
      <c r="G374" s="43" t="s">
        <v>171</v>
      </c>
      <c r="H374" s="37" t="s">
        <v>49</v>
      </c>
      <c r="I374" s="39">
        <v>46227.791990740741</v>
      </c>
    </row>
    <row r="375" spans="1:9" ht="41.4" hidden="1">
      <c r="A375" s="37" t="s">
        <v>714</v>
      </c>
      <c r="B375" s="37" t="s">
        <v>488</v>
      </c>
      <c r="C375" s="37" t="s">
        <v>489</v>
      </c>
      <c r="D375" s="41">
        <v>9</v>
      </c>
      <c r="E375" s="43" t="s">
        <v>682</v>
      </c>
      <c r="F375" s="43" t="s">
        <v>701</v>
      </c>
      <c r="G375" s="43" t="s">
        <v>171</v>
      </c>
      <c r="H375" s="37" t="s">
        <v>49</v>
      </c>
      <c r="I375" s="39">
        <v>46227.791990740741</v>
      </c>
    </row>
    <row r="376" spans="1:9" ht="41.4" hidden="1">
      <c r="A376" s="37" t="s">
        <v>714</v>
      </c>
      <c r="B376" s="37" t="s">
        <v>491</v>
      </c>
      <c r="C376" s="37" t="s">
        <v>492</v>
      </c>
      <c r="D376" s="41">
        <v>9.14</v>
      </c>
      <c r="E376" s="43" t="s">
        <v>683</v>
      </c>
      <c r="F376" s="43" t="s">
        <v>701</v>
      </c>
      <c r="G376" s="43" t="s">
        <v>171</v>
      </c>
      <c r="H376" s="37" t="s">
        <v>49</v>
      </c>
      <c r="I376" s="39">
        <v>46227.791990740741</v>
      </c>
    </row>
    <row r="377" spans="1:9" ht="41.4" hidden="1">
      <c r="A377" s="37" t="s">
        <v>714</v>
      </c>
      <c r="B377" s="37" t="s">
        <v>496</v>
      </c>
      <c r="C377" s="37" t="s">
        <v>497</v>
      </c>
      <c r="D377" s="41">
        <v>8.5500000000000007</v>
      </c>
      <c r="E377" s="43" t="s">
        <v>683</v>
      </c>
      <c r="F377" s="43" t="s">
        <v>701</v>
      </c>
      <c r="G377" s="43" t="s">
        <v>171</v>
      </c>
      <c r="H377" s="37" t="s">
        <v>49</v>
      </c>
      <c r="I377" s="39">
        <v>46227.791990740741</v>
      </c>
    </row>
    <row r="378" spans="1:9" ht="41.4" hidden="1">
      <c r="A378" s="37" t="s">
        <v>714</v>
      </c>
      <c r="B378" s="37" t="s">
        <v>500</v>
      </c>
      <c r="C378" s="37" t="s">
        <v>501</v>
      </c>
      <c r="D378" s="41">
        <v>7.89</v>
      </c>
      <c r="E378" s="43" t="s">
        <v>683</v>
      </c>
      <c r="F378" s="43" t="s">
        <v>701</v>
      </c>
      <c r="G378" s="43" t="s">
        <v>171</v>
      </c>
      <c r="H378" s="37" t="s">
        <v>49</v>
      </c>
      <c r="I378" s="39">
        <v>46227.791990740741</v>
      </c>
    </row>
    <row r="379" spans="1:9" ht="41.4" hidden="1">
      <c r="A379" s="37" t="s">
        <v>714</v>
      </c>
      <c r="B379" s="37" t="s">
        <v>504</v>
      </c>
      <c r="C379" s="37" t="s">
        <v>505</v>
      </c>
      <c r="D379" s="41">
        <v>9</v>
      </c>
      <c r="E379" s="43" t="s">
        <v>684</v>
      </c>
      <c r="F379" s="43" t="s">
        <v>701</v>
      </c>
      <c r="G379" s="43" t="s">
        <v>171</v>
      </c>
      <c r="H379" s="37" t="s">
        <v>49</v>
      </c>
      <c r="I379" s="39">
        <v>46227.791990740741</v>
      </c>
    </row>
    <row r="380" spans="1:9" ht="41.4" hidden="1">
      <c r="A380" s="37" t="s">
        <v>714</v>
      </c>
      <c r="B380" s="37" t="s">
        <v>509</v>
      </c>
      <c r="C380" s="37" t="s">
        <v>510</v>
      </c>
      <c r="D380" s="41">
        <v>1.46</v>
      </c>
      <c r="E380" s="43" t="s">
        <v>683</v>
      </c>
      <c r="F380" s="43" t="s">
        <v>701</v>
      </c>
      <c r="G380" s="43" t="s">
        <v>171</v>
      </c>
      <c r="H380" s="37" t="s">
        <v>49</v>
      </c>
      <c r="I380" s="39">
        <v>46227.791990740741</v>
      </c>
    </row>
    <row r="381" spans="1:9" ht="41.4" hidden="1">
      <c r="A381" s="37" t="s">
        <v>714</v>
      </c>
      <c r="B381" s="37" t="s">
        <v>513</v>
      </c>
      <c r="C381" s="37" t="s">
        <v>514</v>
      </c>
      <c r="D381" s="41">
        <v>9</v>
      </c>
      <c r="E381" s="43" t="s">
        <v>684</v>
      </c>
      <c r="F381" s="43" t="s">
        <v>701</v>
      </c>
      <c r="G381" s="43" t="s">
        <v>171</v>
      </c>
      <c r="H381" s="37" t="s">
        <v>49</v>
      </c>
      <c r="I381" s="39">
        <v>46227.791990740741</v>
      </c>
    </row>
    <row r="382" spans="1:9" ht="41.4" hidden="1">
      <c r="A382" s="37" t="s">
        <v>714</v>
      </c>
      <c r="B382" s="37" t="s">
        <v>517</v>
      </c>
      <c r="C382" s="37" t="s">
        <v>518</v>
      </c>
      <c r="D382" s="41">
        <v>9.09</v>
      </c>
      <c r="E382" s="43" t="s">
        <v>683</v>
      </c>
      <c r="F382" s="43" t="s">
        <v>701</v>
      </c>
      <c r="G382" s="43" t="s">
        <v>171</v>
      </c>
      <c r="H382" s="37" t="s">
        <v>49</v>
      </c>
      <c r="I382" s="39">
        <v>46227.791990740741</v>
      </c>
    </row>
    <row r="383" spans="1:9" ht="41.4" hidden="1">
      <c r="A383" s="37" t="s">
        <v>714</v>
      </c>
      <c r="B383" s="37" t="s">
        <v>520</v>
      </c>
      <c r="C383" s="37" t="s">
        <v>521</v>
      </c>
      <c r="D383" s="41">
        <v>8.59</v>
      </c>
      <c r="E383" s="43" t="s">
        <v>683</v>
      </c>
      <c r="F383" s="43" t="s">
        <v>701</v>
      </c>
      <c r="G383" s="43" t="s">
        <v>171</v>
      </c>
      <c r="H383" s="37" t="s">
        <v>49</v>
      </c>
      <c r="I383" s="39">
        <v>46227.791990740741</v>
      </c>
    </row>
    <row r="384" spans="1:9" ht="41.4" hidden="1">
      <c r="A384" s="37" t="s">
        <v>715</v>
      </c>
      <c r="B384" s="37" t="s">
        <v>483</v>
      </c>
      <c r="C384" s="37" t="s">
        <v>484</v>
      </c>
      <c r="D384" s="41">
        <v>9</v>
      </c>
      <c r="E384" s="43" t="s">
        <v>682</v>
      </c>
      <c r="F384" s="43" t="s">
        <v>701</v>
      </c>
      <c r="G384" s="43" t="s">
        <v>171</v>
      </c>
      <c r="H384" s="37" t="s">
        <v>49</v>
      </c>
      <c r="I384" s="39">
        <v>46227.792002314818</v>
      </c>
    </row>
    <row r="385" spans="1:9" ht="41.4" hidden="1">
      <c r="A385" s="37" t="s">
        <v>715</v>
      </c>
      <c r="B385" s="37" t="s">
        <v>488</v>
      </c>
      <c r="C385" s="37" t="s">
        <v>489</v>
      </c>
      <c r="D385" s="41">
        <v>9</v>
      </c>
      <c r="E385" s="43" t="s">
        <v>682</v>
      </c>
      <c r="F385" s="43" t="s">
        <v>701</v>
      </c>
      <c r="G385" s="43" t="s">
        <v>171</v>
      </c>
      <c r="H385" s="37" t="s">
        <v>49</v>
      </c>
      <c r="I385" s="39">
        <v>46227.792002314818</v>
      </c>
    </row>
    <row r="386" spans="1:9" ht="41.4" hidden="1">
      <c r="A386" s="37" t="s">
        <v>715</v>
      </c>
      <c r="B386" s="37" t="s">
        <v>491</v>
      </c>
      <c r="C386" s="37" t="s">
        <v>492</v>
      </c>
      <c r="D386" s="41">
        <v>9.2899999999999991</v>
      </c>
      <c r="E386" s="43" t="s">
        <v>683</v>
      </c>
      <c r="F386" s="43" t="s">
        <v>701</v>
      </c>
      <c r="G386" s="43" t="s">
        <v>171</v>
      </c>
      <c r="H386" s="37" t="s">
        <v>49</v>
      </c>
      <c r="I386" s="39">
        <v>46227.792002314818</v>
      </c>
    </row>
    <row r="387" spans="1:9" ht="41.4" hidden="1">
      <c r="A387" s="37" t="s">
        <v>715</v>
      </c>
      <c r="B387" s="37" t="s">
        <v>496</v>
      </c>
      <c r="C387" s="37" t="s">
        <v>497</v>
      </c>
      <c r="D387" s="41">
        <v>8.6</v>
      </c>
      <c r="E387" s="43" t="s">
        <v>683</v>
      </c>
      <c r="F387" s="43" t="s">
        <v>701</v>
      </c>
      <c r="G387" s="43" t="s">
        <v>171</v>
      </c>
      <c r="H387" s="37" t="s">
        <v>49</v>
      </c>
      <c r="I387" s="39">
        <v>46227.792002314818</v>
      </c>
    </row>
    <row r="388" spans="1:9" ht="41.4" hidden="1">
      <c r="A388" s="37" t="s">
        <v>715</v>
      </c>
      <c r="B388" s="37" t="s">
        <v>500</v>
      </c>
      <c r="C388" s="37" t="s">
        <v>501</v>
      </c>
      <c r="D388" s="41">
        <v>7.99</v>
      </c>
      <c r="E388" s="43" t="s">
        <v>683</v>
      </c>
      <c r="F388" s="43" t="s">
        <v>701</v>
      </c>
      <c r="G388" s="43" t="s">
        <v>171</v>
      </c>
      <c r="H388" s="37" t="s">
        <v>49</v>
      </c>
      <c r="I388" s="39">
        <v>46227.792002314818</v>
      </c>
    </row>
    <row r="389" spans="1:9" ht="41.4" hidden="1">
      <c r="A389" s="37" t="s">
        <v>715</v>
      </c>
      <c r="B389" s="37" t="s">
        <v>504</v>
      </c>
      <c r="C389" s="37" t="s">
        <v>505</v>
      </c>
      <c r="D389" s="41">
        <v>9</v>
      </c>
      <c r="E389" s="43" t="s">
        <v>684</v>
      </c>
      <c r="F389" s="43" t="s">
        <v>701</v>
      </c>
      <c r="G389" s="43" t="s">
        <v>171</v>
      </c>
      <c r="H389" s="37" t="s">
        <v>49</v>
      </c>
      <c r="I389" s="39">
        <v>46227.792002314818</v>
      </c>
    </row>
    <row r="390" spans="1:9" ht="41.4" hidden="1">
      <c r="A390" s="37" t="s">
        <v>715</v>
      </c>
      <c r="B390" s="37" t="s">
        <v>509</v>
      </c>
      <c r="C390" s="37" t="s">
        <v>510</v>
      </c>
      <c r="D390" s="41">
        <v>1.96</v>
      </c>
      <c r="E390" s="43" t="s">
        <v>683</v>
      </c>
      <c r="F390" s="43" t="s">
        <v>701</v>
      </c>
      <c r="G390" s="43" t="s">
        <v>171</v>
      </c>
      <c r="H390" s="37" t="s">
        <v>49</v>
      </c>
      <c r="I390" s="39">
        <v>46227.792002314818</v>
      </c>
    </row>
    <row r="391" spans="1:9" ht="41.4" hidden="1">
      <c r="A391" s="37" t="s">
        <v>715</v>
      </c>
      <c r="B391" s="37" t="s">
        <v>513</v>
      </c>
      <c r="C391" s="37" t="s">
        <v>514</v>
      </c>
      <c r="D391" s="41">
        <v>9</v>
      </c>
      <c r="E391" s="43" t="s">
        <v>684</v>
      </c>
      <c r="F391" s="43" t="s">
        <v>701</v>
      </c>
      <c r="G391" s="43" t="s">
        <v>171</v>
      </c>
      <c r="H391" s="37" t="s">
        <v>49</v>
      </c>
      <c r="I391" s="39">
        <v>46227.792002314818</v>
      </c>
    </row>
    <row r="392" spans="1:9" ht="41.4" hidden="1">
      <c r="A392" s="37" t="s">
        <v>715</v>
      </c>
      <c r="B392" s="37" t="s">
        <v>517</v>
      </c>
      <c r="C392" s="37" t="s">
        <v>518</v>
      </c>
      <c r="D392" s="41">
        <v>9.19</v>
      </c>
      <c r="E392" s="43" t="s">
        <v>683</v>
      </c>
      <c r="F392" s="43" t="s">
        <v>701</v>
      </c>
      <c r="G392" s="43" t="s">
        <v>171</v>
      </c>
      <c r="H392" s="37" t="s">
        <v>49</v>
      </c>
      <c r="I392" s="39">
        <v>46227.792002314818</v>
      </c>
    </row>
    <row r="393" spans="1:9" ht="41.4" hidden="1">
      <c r="A393" s="37" t="s">
        <v>715</v>
      </c>
      <c r="B393" s="37" t="s">
        <v>520</v>
      </c>
      <c r="C393" s="37" t="s">
        <v>521</v>
      </c>
      <c r="D393" s="41">
        <v>8.69</v>
      </c>
      <c r="E393" s="43" t="s">
        <v>683</v>
      </c>
      <c r="F393" s="43" t="s">
        <v>701</v>
      </c>
      <c r="G393" s="43" t="s">
        <v>171</v>
      </c>
      <c r="H393" s="37" t="s">
        <v>49</v>
      </c>
      <c r="I393" s="39">
        <v>46227.792002314818</v>
      </c>
    </row>
    <row r="394" spans="1:9" ht="41.4" hidden="1">
      <c r="A394" s="37" t="s">
        <v>716</v>
      </c>
      <c r="B394" s="37" t="s">
        <v>483</v>
      </c>
      <c r="C394" s="37" t="s">
        <v>484</v>
      </c>
      <c r="D394" s="41">
        <v>9</v>
      </c>
      <c r="E394" s="43" t="s">
        <v>682</v>
      </c>
      <c r="F394" s="43" t="s">
        <v>701</v>
      </c>
      <c r="G394" s="43" t="s">
        <v>171</v>
      </c>
      <c r="H394" s="37" t="s">
        <v>49</v>
      </c>
      <c r="I394" s="39">
        <v>46227.792013888888</v>
      </c>
    </row>
    <row r="395" spans="1:9" ht="41.4" hidden="1">
      <c r="A395" s="37" t="s">
        <v>716</v>
      </c>
      <c r="B395" s="37" t="s">
        <v>488</v>
      </c>
      <c r="C395" s="37" t="s">
        <v>489</v>
      </c>
      <c r="D395" s="41">
        <v>9</v>
      </c>
      <c r="E395" s="43" t="s">
        <v>682</v>
      </c>
      <c r="F395" s="43" t="s">
        <v>701</v>
      </c>
      <c r="G395" s="43" t="s">
        <v>171</v>
      </c>
      <c r="H395" s="37" t="s">
        <v>49</v>
      </c>
      <c r="I395" s="39">
        <v>46227.792013888888</v>
      </c>
    </row>
    <row r="396" spans="1:9" ht="41.4" hidden="1">
      <c r="A396" s="37" t="s">
        <v>716</v>
      </c>
      <c r="B396" s="37" t="s">
        <v>491</v>
      </c>
      <c r="C396" s="37" t="s">
        <v>492</v>
      </c>
      <c r="D396" s="41">
        <v>9.44</v>
      </c>
      <c r="E396" s="43" t="s">
        <v>683</v>
      </c>
      <c r="F396" s="43" t="s">
        <v>701</v>
      </c>
      <c r="G396" s="43" t="s">
        <v>171</v>
      </c>
      <c r="H396" s="37" t="s">
        <v>49</v>
      </c>
      <c r="I396" s="39">
        <v>46227.792013888888</v>
      </c>
    </row>
    <row r="397" spans="1:9" ht="41.4" hidden="1">
      <c r="A397" s="37" t="s">
        <v>716</v>
      </c>
      <c r="B397" s="37" t="s">
        <v>496</v>
      </c>
      <c r="C397" s="37" t="s">
        <v>497</v>
      </c>
      <c r="D397" s="41">
        <v>8.65</v>
      </c>
      <c r="E397" s="43" t="s">
        <v>683</v>
      </c>
      <c r="F397" s="43" t="s">
        <v>701</v>
      </c>
      <c r="G397" s="43" t="s">
        <v>171</v>
      </c>
      <c r="H397" s="37" t="s">
        <v>49</v>
      </c>
      <c r="I397" s="39">
        <v>46227.792013888888</v>
      </c>
    </row>
    <row r="398" spans="1:9" ht="41.4" hidden="1">
      <c r="A398" s="37" t="s">
        <v>716</v>
      </c>
      <c r="B398" s="37" t="s">
        <v>500</v>
      </c>
      <c r="C398" s="37" t="s">
        <v>501</v>
      </c>
      <c r="D398" s="41">
        <v>8.09</v>
      </c>
      <c r="E398" s="43" t="s">
        <v>683</v>
      </c>
      <c r="F398" s="43" t="s">
        <v>701</v>
      </c>
      <c r="G398" s="43" t="s">
        <v>171</v>
      </c>
      <c r="H398" s="37" t="s">
        <v>49</v>
      </c>
      <c r="I398" s="39">
        <v>46227.792013888888</v>
      </c>
    </row>
    <row r="399" spans="1:9" ht="41.4" hidden="1">
      <c r="A399" s="37" t="s">
        <v>716</v>
      </c>
      <c r="B399" s="37" t="s">
        <v>504</v>
      </c>
      <c r="C399" s="37" t="s">
        <v>505</v>
      </c>
      <c r="D399" s="41">
        <v>9</v>
      </c>
      <c r="E399" s="43" t="s">
        <v>684</v>
      </c>
      <c r="F399" s="43" t="s">
        <v>701</v>
      </c>
      <c r="G399" s="43" t="s">
        <v>171</v>
      </c>
      <c r="H399" s="37" t="s">
        <v>49</v>
      </c>
      <c r="I399" s="39">
        <v>46227.792013888888</v>
      </c>
    </row>
    <row r="400" spans="1:9" ht="41.4" hidden="1">
      <c r="A400" s="37" t="s">
        <v>716</v>
      </c>
      <c r="B400" s="37" t="s">
        <v>509</v>
      </c>
      <c r="C400" s="37" t="s">
        <v>510</v>
      </c>
      <c r="D400" s="41">
        <v>2.46</v>
      </c>
      <c r="E400" s="43" t="s">
        <v>683</v>
      </c>
      <c r="F400" s="43" t="s">
        <v>701</v>
      </c>
      <c r="G400" s="43" t="s">
        <v>171</v>
      </c>
      <c r="H400" s="37" t="s">
        <v>49</v>
      </c>
      <c r="I400" s="39">
        <v>46227.792013888888</v>
      </c>
    </row>
    <row r="401" spans="1:9" ht="41.4" hidden="1">
      <c r="A401" s="37" t="s">
        <v>716</v>
      </c>
      <c r="B401" s="37" t="s">
        <v>513</v>
      </c>
      <c r="C401" s="37" t="s">
        <v>514</v>
      </c>
      <c r="D401" s="41">
        <v>9</v>
      </c>
      <c r="E401" s="43" t="s">
        <v>684</v>
      </c>
      <c r="F401" s="43" t="s">
        <v>701</v>
      </c>
      <c r="G401" s="43" t="s">
        <v>171</v>
      </c>
      <c r="H401" s="37" t="s">
        <v>49</v>
      </c>
      <c r="I401" s="39">
        <v>46227.792013888888</v>
      </c>
    </row>
    <row r="402" spans="1:9" ht="41.4" hidden="1">
      <c r="A402" s="37" t="s">
        <v>716</v>
      </c>
      <c r="B402" s="37" t="s">
        <v>517</v>
      </c>
      <c r="C402" s="37" t="s">
        <v>518</v>
      </c>
      <c r="D402" s="41">
        <v>9.2899999999999991</v>
      </c>
      <c r="E402" s="43" t="s">
        <v>683</v>
      </c>
      <c r="F402" s="43" t="s">
        <v>701</v>
      </c>
      <c r="G402" s="43" t="s">
        <v>171</v>
      </c>
      <c r="H402" s="37" t="s">
        <v>49</v>
      </c>
      <c r="I402" s="39">
        <v>46227.792013888888</v>
      </c>
    </row>
    <row r="403" spans="1:9" ht="41.4" hidden="1">
      <c r="A403" s="37" t="s">
        <v>716</v>
      </c>
      <c r="B403" s="37" t="s">
        <v>520</v>
      </c>
      <c r="C403" s="37" t="s">
        <v>521</v>
      </c>
      <c r="D403" s="41">
        <v>8.7899999999999991</v>
      </c>
      <c r="E403" s="43" t="s">
        <v>683</v>
      </c>
      <c r="F403" s="43" t="s">
        <v>701</v>
      </c>
      <c r="G403" s="43" t="s">
        <v>171</v>
      </c>
      <c r="H403" s="37" t="s">
        <v>49</v>
      </c>
      <c r="I403" s="39">
        <v>46227.792013888888</v>
      </c>
    </row>
    <row r="404" spans="1:9" ht="41.4" hidden="1">
      <c r="A404" s="37" t="s">
        <v>717</v>
      </c>
      <c r="B404" s="37" t="s">
        <v>483</v>
      </c>
      <c r="C404" s="37" t="s">
        <v>484</v>
      </c>
      <c r="D404" s="41">
        <v>9</v>
      </c>
      <c r="E404" s="43" t="s">
        <v>682</v>
      </c>
      <c r="F404" s="43" t="s">
        <v>701</v>
      </c>
      <c r="G404" s="43" t="s">
        <v>171</v>
      </c>
      <c r="H404" s="37" t="s">
        <v>49</v>
      </c>
      <c r="I404" s="39">
        <v>46227.792025462964</v>
      </c>
    </row>
    <row r="405" spans="1:9" ht="41.4" hidden="1">
      <c r="A405" s="37" t="s">
        <v>717</v>
      </c>
      <c r="B405" s="37" t="s">
        <v>488</v>
      </c>
      <c r="C405" s="37" t="s">
        <v>489</v>
      </c>
      <c r="D405" s="41">
        <v>9</v>
      </c>
      <c r="E405" s="43" t="s">
        <v>682</v>
      </c>
      <c r="F405" s="43" t="s">
        <v>701</v>
      </c>
      <c r="G405" s="43" t="s">
        <v>171</v>
      </c>
      <c r="H405" s="37" t="s">
        <v>49</v>
      </c>
      <c r="I405" s="39">
        <v>46227.792025462964</v>
      </c>
    </row>
    <row r="406" spans="1:9" ht="41.4" hidden="1">
      <c r="A406" s="37" t="s">
        <v>717</v>
      </c>
      <c r="B406" s="37" t="s">
        <v>491</v>
      </c>
      <c r="C406" s="37" t="s">
        <v>492</v>
      </c>
      <c r="D406" s="41">
        <v>9.59</v>
      </c>
      <c r="E406" s="43" t="s">
        <v>683</v>
      </c>
      <c r="F406" s="43" t="s">
        <v>701</v>
      </c>
      <c r="G406" s="43" t="s">
        <v>171</v>
      </c>
      <c r="H406" s="37" t="s">
        <v>49</v>
      </c>
      <c r="I406" s="39">
        <v>46227.792025462964</v>
      </c>
    </row>
    <row r="407" spans="1:9" ht="41.4" hidden="1">
      <c r="A407" s="37" t="s">
        <v>717</v>
      </c>
      <c r="B407" s="37" t="s">
        <v>496</v>
      </c>
      <c r="C407" s="37" t="s">
        <v>497</v>
      </c>
      <c r="D407" s="41">
        <v>8.6999999999999993</v>
      </c>
      <c r="E407" s="43" t="s">
        <v>683</v>
      </c>
      <c r="F407" s="43" t="s">
        <v>701</v>
      </c>
      <c r="G407" s="43" t="s">
        <v>171</v>
      </c>
      <c r="H407" s="37" t="s">
        <v>49</v>
      </c>
      <c r="I407" s="39">
        <v>46227.792025462964</v>
      </c>
    </row>
    <row r="408" spans="1:9" ht="41.4" hidden="1">
      <c r="A408" s="37" t="s">
        <v>717</v>
      </c>
      <c r="B408" s="37" t="s">
        <v>500</v>
      </c>
      <c r="C408" s="37" t="s">
        <v>501</v>
      </c>
      <c r="D408" s="41">
        <v>8.19</v>
      </c>
      <c r="E408" s="43" t="s">
        <v>683</v>
      </c>
      <c r="F408" s="43" t="s">
        <v>701</v>
      </c>
      <c r="G408" s="43" t="s">
        <v>171</v>
      </c>
      <c r="H408" s="37" t="s">
        <v>49</v>
      </c>
      <c r="I408" s="39">
        <v>46227.792025462964</v>
      </c>
    </row>
    <row r="409" spans="1:9" ht="41.4" hidden="1">
      <c r="A409" s="37" t="s">
        <v>717</v>
      </c>
      <c r="B409" s="37" t="s">
        <v>504</v>
      </c>
      <c r="C409" s="37" t="s">
        <v>505</v>
      </c>
      <c r="D409" s="41">
        <v>9</v>
      </c>
      <c r="E409" s="43" t="s">
        <v>684</v>
      </c>
      <c r="F409" s="43" t="s">
        <v>701</v>
      </c>
      <c r="G409" s="43" t="s">
        <v>171</v>
      </c>
      <c r="H409" s="37" t="s">
        <v>49</v>
      </c>
      <c r="I409" s="39">
        <v>46227.792025462964</v>
      </c>
    </row>
    <row r="410" spans="1:9" ht="41.4" hidden="1">
      <c r="A410" s="37" t="s">
        <v>717</v>
      </c>
      <c r="B410" s="37" t="s">
        <v>509</v>
      </c>
      <c r="C410" s="37" t="s">
        <v>510</v>
      </c>
      <c r="D410" s="41">
        <v>2.96</v>
      </c>
      <c r="E410" s="43" t="s">
        <v>683</v>
      </c>
      <c r="F410" s="43" t="s">
        <v>701</v>
      </c>
      <c r="G410" s="43" t="s">
        <v>171</v>
      </c>
      <c r="H410" s="37" t="s">
        <v>49</v>
      </c>
      <c r="I410" s="39">
        <v>46227.792025462964</v>
      </c>
    </row>
    <row r="411" spans="1:9" ht="41.4" hidden="1">
      <c r="A411" s="37" t="s">
        <v>717</v>
      </c>
      <c r="B411" s="37" t="s">
        <v>513</v>
      </c>
      <c r="C411" s="37" t="s">
        <v>514</v>
      </c>
      <c r="D411" s="41">
        <v>9</v>
      </c>
      <c r="E411" s="43" t="s">
        <v>684</v>
      </c>
      <c r="F411" s="43" t="s">
        <v>701</v>
      </c>
      <c r="G411" s="43" t="s">
        <v>171</v>
      </c>
      <c r="H411" s="37" t="s">
        <v>49</v>
      </c>
      <c r="I411" s="39">
        <v>46227.792025462964</v>
      </c>
    </row>
    <row r="412" spans="1:9" ht="41.4" hidden="1">
      <c r="A412" s="37" t="s">
        <v>717</v>
      </c>
      <c r="B412" s="37" t="s">
        <v>517</v>
      </c>
      <c r="C412" s="37" t="s">
        <v>518</v>
      </c>
      <c r="D412" s="41">
        <v>9.39</v>
      </c>
      <c r="E412" s="43" t="s">
        <v>683</v>
      </c>
      <c r="F412" s="43" t="s">
        <v>701</v>
      </c>
      <c r="G412" s="43" t="s">
        <v>171</v>
      </c>
      <c r="H412" s="37" t="s">
        <v>49</v>
      </c>
      <c r="I412" s="39">
        <v>46227.792025462964</v>
      </c>
    </row>
    <row r="413" spans="1:9" ht="41.4" hidden="1">
      <c r="A413" s="37" t="s">
        <v>717</v>
      </c>
      <c r="B413" s="37" t="s">
        <v>520</v>
      </c>
      <c r="C413" s="37" t="s">
        <v>521</v>
      </c>
      <c r="D413" s="41">
        <v>8.89</v>
      </c>
      <c r="E413" s="43" t="s">
        <v>683</v>
      </c>
      <c r="F413" s="43" t="s">
        <v>701</v>
      </c>
      <c r="G413" s="43" t="s">
        <v>171</v>
      </c>
      <c r="H413" s="37" t="s">
        <v>49</v>
      </c>
      <c r="I413" s="39">
        <v>46227.792025462964</v>
      </c>
    </row>
    <row r="414" spans="1:9" ht="41.4" hidden="1">
      <c r="A414" s="37" t="s">
        <v>718</v>
      </c>
      <c r="B414" s="37" t="s">
        <v>483</v>
      </c>
      <c r="C414" s="37" t="s">
        <v>484</v>
      </c>
      <c r="D414" s="41">
        <v>9</v>
      </c>
      <c r="E414" s="43" t="s">
        <v>682</v>
      </c>
      <c r="F414" s="43" t="s">
        <v>701</v>
      </c>
      <c r="G414" s="43" t="s">
        <v>171</v>
      </c>
      <c r="H414" s="37" t="s">
        <v>49</v>
      </c>
      <c r="I414" s="39">
        <v>46227.792037037034</v>
      </c>
    </row>
    <row r="415" spans="1:9" ht="41.4" hidden="1">
      <c r="A415" s="37" t="s">
        <v>718</v>
      </c>
      <c r="B415" s="37" t="s">
        <v>488</v>
      </c>
      <c r="C415" s="37" t="s">
        <v>489</v>
      </c>
      <c r="D415" s="41">
        <v>9</v>
      </c>
      <c r="E415" s="43" t="s">
        <v>682</v>
      </c>
      <c r="F415" s="43" t="s">
        <v>701</v>
      </c>
      <c r="G415" s="43" t="s">
        <v>171</v>
      </c>
      <c r="H415" s="37" t="s">
        <v>49</v>
      </c>
      <c r="I415" s="39">
        <v>46227.792037037034</v>
      </c>
    </row>
    <row r="416" spans="1:9" ht="41.4" hidden="1">
      <c r="A416" s="37" t="s">
        <v>718</v>
      </c>
      <c r="B416" s="37" t="s">
        <v>491</v>
      </c>
      <c r="C416" s="37" t="s">
        <v>492</v>
      </c>
      <c r="D416" s="41">
        <v>9.74</v>
      </c>
      <c r="E416" s="43" t="s">
        <v>683</v>
      </c>
      <c r="F416" s="43" t="s">
        <v>701</v>
      </c>
      <c r="G416" s="43" t="s">
        <v>171</v>
      </c>
      <c r="H416" s="37" t="s">
        <v>49</v>
      </c>
      <c r="I416" s="39">
        <v>46227.792037037034</v>
      </c>
    </row>
    <row r="417" spans="1:9" ht="41.4" hidden="1">
      <c r="A417" s="37" t="s">
        <v>718</v>
      </c>
      <c r="B417" s="37" t="s">
        <v>496</v>
      </c>
      <c r="C417" s="37" t="s">
        <v>497</v>
      </c>
      <c r="D417" s="41">
        <v>8.75</v>
      </c>
      <c r="E417" s="43" t="s">
        <v>683</v>
      </c>
      <c r="F417" s="43" t="s">
        <v>701</v>
      </c>
      <c r="G417" s="43" t="s">
        <v>171</v>
      </c>
      <c r="H417" s="37" t="s">
        <v>49</v>
      </c>
      <c r="I417" s="39">
        <v>46227.792037037034</v>
      </c>
    </row>
    <row r="418" spans="1:9" ht="41.4" hidden="1">
      <c r="A418" s="37" t="s">
        <v>718</v>
      </c>
      <c r="B418" s="37" t="s">
        <v>500</v>
      </c>
      <c r="C418" s="37" t="s">
        <v>501</v>
      </c>
      <c r="D418" s="41">
        <v>8.2899999999999991</v>
      </c>
      <c r="E418" s="43" t="s">
        <v>683</v>
      </c>
      <c r="F418" s="43" t="s">
        <v>701</v>
      </c>
      <c r="G418" s="43" t="s">
        <v>171</v>
      </c>
      <c r="H418" s="37" t="s">
        <v>49</v>
      </c>
      <c r="I418" s="39">
        <v>46227.792037037034</v>
      </c>
    </row>
    <row r="419" spans="1:9" ht="41.4" hidden="1">
      <c r="A419" s="37" t="s">
        <v>718</v>
      </c>
      <c r="B419" s="37" t="s">
        <v>504</v>
      </c>
      <c r="C419" s="37" t="s">
        <v>505</v>
      </c>
      <c r="D419" s="41">
        <v>9</v>
      </c>
      <c r="E419" s="43" t="s">
        <v>684</v>
      </c>
      <c r="F419" s="43" t="s">
        <v>701</v>
      </c>
      <c r="G419" s="43" t="s">
        <v>171</v>
      </c>
      <c r="H419" s="37" t="s">
        <v>49</v>
      </c>
      <c r="I419" s="39">
        <v>46227.792037037034</v>
      </c>
    </row>
    <row r="420" spans="1:9" ht="41.4" hidden="1">
      <c r="A420" s="37" t="s">
        <v>718</v>
      </c>
      <c r="B420" s="37" t="s">
        <v>509</v>
      </c>
      <c r="C420" s="37" t="s">
        <v>510</v>
      </c>
      <c r="D420" s="41">
        <v>3.46</v>
      </c>
      <c r="E420" s="43" t="s">
        <v>683</v>
      </c>
      <c r="F420" s="43" t="s">
        <v>701</v>
      </c>
      <c r="G420" s="43" t="s">
        <v>171</v>
      </c>
      <c r="H420" s="37" t="s">
        <v>49</v>
      </c>
      <c r="I420" s="39">
        <v>46227.792037037034</v>
      </c>
    </row>
    <row r="421" spans="1:9" ht="41.4" hidden="1">
      <c r="A421" s="37" t="s">
        <v>718</v>
      </c>
      <c r="B421" s="37" t="s">
        <v>513</v>
      </c>
      <c r="C421" s="37" t="s">
        <v>514</v>
      </c>
      <c r="D421" s="41">
        <v>9</v>
      </c>
      <c r="E421" s="43" t="s">
        <v>684</v>
      </c>
      <c r="F421" s="43" t="s">
        <v>701</v>
      </c>
      <c r="G421" s="43" t="s">
        <v>171</v>
      </c>
      <c r="H421" s="37" t="s">
        <v>49</v>
      </c>
      <c r="I421" s="39">
        <v>46227.792037037034</v>
      </c>
    </row>
    <row r="422" spans="1:9" ht="41.4" hidden="1">
      <c r="A422" s="37" t="s">
        <v>718</v>
      </c>
      <c r="B422" s="37" t="s">
        <v>517</v>
      </c>
      <c r="C422" s="37" t="s">
        <v>518</v>
      </c>
      <c r="D422" s="41">
        <v>9.49</v>
      </c>
      <c r="E422" s="43" t="s">
        <v>683</v>
      </c>
      <c r="F422" s="43" t="s">
        <v>701</v>
      </c>
      <c r="G422" s="43" t="s">
        <v>171</v>
      </c>
      <c r="H422" s="37" t="s">
        <v>49</v>
      </c>
      <c r="I422" s="39">
        <v>46227.792037037034</v>
      </c>
    </row>
    <row r="423" spans="1:9" ht="41.4" hidden="1">
      <c r="A423" s="37" t="s">
        <v>718</v>
      </c>
      <c r="B423" s="37" t="s">
        <v>520</v>
      </c>
      <c r="C423" s="37" t="s">
        <v>521</v>
      </c>
      <c r="D423" s="41">
        <v>8.99</v>
      </c>
      <c r="E423" s="43" t="s">
        <v>683</v>
      </c>
      <c r="F423" s="43" t="s">
        <v>701</v>
      </c>
      <c r="G423" s="43" t="s">
        <v>171</v>
      </c>
      <c r="H423" s="37" t="s">
        <v>49</v>
      </c>
      <c r="I423" s="39">
        <v>46227.792037037034</v>
      </c>
    </row>
    <row r="424" spans="1:9" ht="41.4" hidden="1">
      <c r="A424" s="37" t="s">
        <v>719</v>
      </c>
      <c r="B424" s="37" t="s">
        <v>483</v>
      </c>
      <c r="C424" s="37" t="s">
        <v>484</v>
      </c>
      <c r="D424" s="41">
        <v>9</v>
      </c>
      <c r="E424" s="43" t="s">
        <v>682</v>
      </c>
      <c r="F424" s="43" t="s">
        <v>701</v>
      </c>
      <c r="G424" s="43" t="s">
        <v>171</v>
      </c>
      <c r="H424" s="37" t="s">
        <v>49</v>
      </c>
      <c r="I424" s="39">
        <v>46227.792048611111</v>
      </c>
    </row>
    <row r="425" spans="1:9" ht="41.4" hidden="1">
      <c r="A425" s="37" t="s">
        <v>719</v>
      </c>
      <c r="B425" s="37" t="s">
        <v>488</v>
      </c>
      <c r="C425" s="37" t="s">
        <v>489</v>
      </c>
      <c r="D425" s="41">
        <v>9</v>
      </c>
      <c r="E425" s="43" t="s">
        <v>682</v>
      </c>
      <c r="F425" s="43" t="s">
        <v>701</v>
      </c>
      <c r="G425" s="43" t="s">
        <v>171</v>
      </c>
      <c r="H425" s="37" t="s">
        <v>49</v>
      </c>
      <c r="I425" s="39">
        <v>46227.792048611111</v>
      </c>
    </row>
    <row r="426" spans="1:9" ht="41.4" hidden="1">
      <c r="A426" s="37" t="s">
        <v>719</v>
      </c>
      <c r="B426" s="37" t="s">
        <v>491</v>
      </c>
      <c r="C426" s="37" t="s">
        <v>492</v>
      </c>
      <c r="D426" s="41">
        <v>9.89</v>
      </c>
      <c r="E426" s="43" t="s">
        <v>683</v>
      </c>
      <c r="F426" s="43" t="s">
        <v>701</v>
      </c>
      <c r="G426" s="43" t="s">
        <v>171</v>
      </c>
      <c r="H426" s="37" t="s">
        <v>49</v>
      </c>
      <c r="I426" s="39">
        <v>46227.792048611111</v>
      </c>
    </row>
    <row r="427" spans="1:9" ht="41.4" hidden="1">
      <c r="A427" s="37" t="s">
        <v>719</v>
      </c>
      <c r="B427" s="37" t="s">
        <v>496</v>
      </c>
      <c r="C427" s="37" t="s">
        <v>497</v>
      </c>
      <c r="D427" s="41">
        <v>8.8000000000000007</v>
      </c>
      <c r="E427" s="43" t="s">
        <v>683</v>
      </c>
      <c r="F427" s="43" t="s">
        <v>701</v>
      </c>
      <c r="G427" s="43" t="s">
        <v>171</v>
      </c>
      <c r="H427" s="37" t="s">
        <v>49</v>
      </c>
      <c r="I427" s="39">
        <v>46227.792048611111</v>
      </c>
    </row>
    <row r="428" spans="1:9" ht="41.4" hidden="1">
      <c r="A428" s="37" t="s">
        <v>719</v>
      </c>
      <c r="B428" s="37" t="s">
        <v>500</v>
      </c>
      <c r="C428" s="37" t="s">
        <v>501</v>
      </c>
      <c r="D428" s="41">
        <v>8.39</v>
      </c>
      <c r="E428" s="43" t="s">
        <v>683</v>
      </c>
      <c r="F428" s="43" t="s">
        <v>701</v>
      </c>
      <c r="G428" s="43" t="s">
        <v>171</v>
      </c>
      <c r="H428" s="37" t="s">
        <v>49</v>
      </c>
      <c r="I428" s="39">
        <v>46227.792048611111</v>
      </c>
    </row>
    <row r="429" spans="1:9" ht="41.4" hidden="1">
      <c r="A429" s="37" t="s">
        <v>719</v>
      </c>
      <c r="B429" s="37" t="s">
        <v>504</v>
      </c>
      <c r="C429" s="37" t="s">
        <v>505</v>
      </c>
      <c r="D429" s="41">
        <v>9</v>
      </c>
      <c r="E429" s="43" t="s">
        <v>684</v>
      </c>
      <c r="F429" s="43" t="s">
        <v>701</v>
      </c>
      <c r="G429" s="43" t="s">
        <v>171</v>
      </c>
      <c r="H429" s="37" t="s">
        <v>49</v>
      </c>
      <c r="I429" s="39">
        <v>46227.792048611111</v>
      </c>
    </row>
    <row r="430" spans="1:9" ht="41.4" hidden="1">
      <c r="A430" s="37" t="s">
        <v>719</v>
      </c>
      <c r="B430" s="37" t="s">
        <v>509</v>
      </c>
      <c r="C430" s="37" t="s">
        <v>510</v>
      </c>
      <c r="D430" s="41">
        <v>3.96</v>
      </c>
      <c r="E430" s="43" t="s">
        <v>683</v>
      </c>
      <c r="F430" s="43" t="s">
        <v>701</v>
      </c>
      <c r="G430" s="43" t="s">
        <v>171</v>
      </c>
      <c r="H430" s="37" t="s">
        <v>49</v>
      </c>
      <c r="I430" s="39">
        <v>46227.792048611111</v>
      </c>
    </row>
    <row r="431" spans="1:9" ht="41.4" hidden="1">
      <c r="A431" s="37" t="s">
        <v>719</v>
      </c>
      <c r="B431" s="37" t="s">
        <v>513</v>
      </c>
      <c r="C431" s="37" t="s">
        <v>514</v>
      </c>
      <c r="D431" s="41">
        <v>9</v>
      </c>
      <c r="E431" s="43" t="s">
        <v>684</v>
      </c>
      <c r="F431" s="43" t="s">
        <v>701</v>
      </c>
      <c r="G431" s="43" t="s">
        <v>171</v>
      </c>
      <c r="H431" s="37" t="s">
        <v>49</v>
      </c>
      <c r="I431" s="39">
        <v>46227.792048611111</v>
      </c>
    </row>
    <row r="432" spans="1:9" ht="41.4" hidden="1">
      <c r="A432" s="37" t="s">
        <v>719</v>
      </c>
      <c r="B432" s="37" t="s">
        <v>517</v>
      </c>
      <c r="C432" s="37" t="s">
        <v>518</v>
      </c>
      <c r="D432" s="41">
        <v>9.59</v>
      </c>
      <c r="E432" s="43" t="s">
        <v>683</v>
      </c>
      <c r="F432" s="43" t="s">
        <v>701</v>
      </c>
      <c r="G432" s="43" t="s">
        <v>171</v>
      </c>
      <c r="H432" s="37" t="s">
        <v>49</v>
      </c>
      <c r="I432" s="39">
        <v>46227.792048611111</v>
      </c>
    </row>
    <row r="433" spans="1:9" ht="41.4" hidden="1">
      <c r="A433" s="37" t="s">
        <v>719</v>
      </c>
      <c r="B433" s="37" t="s">
        <v>520</v>
      </c>
      <c r="C433" s="37" t="s">
        <v>521</v>
      </c>
      <c r="D433" s="41">
        <v>9.09</v>
      </c>
      <c r="E433" s="43" t="s">
        <v>683</v>
      </c>
      <c r="F433" s="43" t="s">
        <v>701</v>
      </c>
      <c r="G433" s="43" t="s">
        <v>171</v>
      </c>
      <c r="H433" s="37" t="s">
        <v>49</v>
      </c>
      <c r="I433" s="39">
        <v>46227.792048611111</v>
      </c>
    </row>
    <row r="434" spans="1:9" ht="41.4" hidden="1">
      <c r="A434" s="37" t="s">
        <v>720</v>
      </c>
      <c r="B434" s="37" t="s">
        <v>483</v>
      </c>
      <c r="C434" s="37" t="s">
        <v>484</v>
      </c>
      <c r="D434" s="41">
        <v>9</v>
      </c>
      <c r="E434" s="43" t="s">
        <v>682</v>
      </c>
      <c r="F434" s="43" t="s">
        <v>701</v>
      </c>
      <c r="G434" s="43" t="s">
        <v>171</v>
      </c>
      <c r="H434" s="37" t="s">
        <v>49</v>
      </c>
      <c r="I434" s="39">
        <v>46227.792060185187</v>
      </c>
    </row>
    <row r="435" spans="1:9" ht="41.4" hidden="1">
      <c r="A435" s="37" t="s">
        <v>720</v>
      </c>
      <c r="B435" s="37" t="s">
        <v>488</v>
      </c>
      <c r="C435" s="37" t="s">
        <v>489</v>
      </c>
      <c r="D435" s="41">
        <v>9</v>
      </c>
      <c r="E435" s="43" t="s">
        <v>682</v>
      </c>
      <c r="F435" s="43" t="s">
        <v>701</v>
      </c>
      <c r="G435" s="43" t="s">
        <v>171</v>
      </c>
      <c r="H435" s="37" t="s">
        <v>49</v>
      </c>
      <c r="I435" s="39">
        <v>46227.792060185187</v>
      </c>
    </row>
    <row r="436" spans="1:9" ht="41.4" hidden="1">
      <c r="A436" s="37" t="s">
        <v>720</v>
      </c>
      <c r="B436" s="37" t="s">
        <v>491</v>
      </c>
      <c r="C436" s="37" t="s">
        <v>492</v>
      </c>
      <c r="D436" s="41">
        <v>10</v>
      </c>
      <c r="E436" s="43" t="s">
        <v>683</v>
      </c>
      <c r="F436" s="43" t="s">
        <v>701</v>
      </c>
      <c r="G436" s="43" t="s">
        <v>171</v>
      </c>
      <c r="H436" s="37" t="s">
        <v>49</v>
      </c>
      <c r="I436" s="39">
        <v>46227.792060185187</v>
      </c>
    </row>
    <row r="437" spans="1:9" ht="41.4" hidden="1">
      <c r="A437" s="37" t="s">
        <v>720</v>
      </c>
      <c r="B437" s="37" t="s">
        <v>496</v>
      </c>
      <c r="C437" s="37" t="s">
        <v>497</v>
      </c>
      <c r="D437" s="41">
        <v>8.85</v>
      </c>
      <c r="E437" s="43" t="s">
        <v>683</v>
      </c>
      <c r="F437" s="43" t="s">
        <v>701</v>
      </c>
      <c r="G437" s="43" t="s">
        <v>171</v>
      </c>
      <c r="H437" s="37" t="s">
        <v>49</v>
      </c>
      <c r="I437" s="39">
        <v>46227.792060185187</v>
      </c>
    </row>
    <row r="438" spans="1:9" ht="41.4" hidden="1">
      <c r="A438" s="37" t="s">
        <v>720</v>
      </c>
      <c r="B438" s="37" t="s">
        <v>500</v>
      </c>
      <c r="C438" s="37" t="s">
        <v>501</v>
      </c>
      <c r="D438" s="41">
        <v>8.49</v>
      </c>
      <c r="E438" s="43" t="s">
        <v>683</v>
      </c>
      <c r="F438" s="43" t="s">
        <v>701</v>
      </c>
      <c r="G438" s="43" t="s">
        <v>171</v>
      </c>
      <c r="H438" s="37" t="s">
        <v>49</v>
      </c>
      <c r="I438" s="39">
        <v>46227.792060185187</v>
      </c>
    </row>
    <row r="439" spans="1:9" ht="41.4" hidden="1">
      <c r="A439" s="37" t="s">
        <v>720</v>
      </c>
      <c r="B439" s="37" t="s">
        <v>504</v>
      </c>
      <c r="C439" s="37" t="s">
        <v>505</v>
      </c>
      <c r="D439" s="41">
        <v>9</v>
      </c>
      <c r="E439" s="43" t="s">
        <v>684</v>
      </c>
      <c r="F439" s="43" t="s">
        <v>701</v>
      </c>
      <c r="G439" s="43" t="s">
        <v>171</v>
      </c>
      <c r="H439" s="37" t="s">
        <v>49</v>
      </c>
      <c r="I439" s="39">
        <v>46227.792060185187</v>
      </c>
    </row>
    <row r="440" spans="1:9" ht="41.4" hidden="1">
      <c r="A440" s="37" t="s">
        <v>720</v>
      </c>
      <c r="B440" s="37" t="s">
        <v>509</v>
      </c>
      <c r="C440" s="37" t="s">
        <v>510</v>
      </c>
      <c r="D440" s="41">
        <v>4.46</v>
      </c>
      <c r="E440" s="43" t="s">
        <v>683</v>
      </c>
      <c r="F440" s="43" t="s">
        <v>701</v>
      </c>
      <c r="G440" s="43" t="s">
        <v>171</v>
      </c>
      <c r="H440" s="37" t="s">
        <v>49</v>
      </c>
      <c r="I440" s="39">
        <v>46227.792060185187</v>
      </c>
    </row>
    <row r="441" spans="1:9" ht="41.4" hidden="1">
      <c r="A441" s="37" t="s">
        <v>720</v>
      </c>
      <c r="B441" s="37" t="s">
        <v>513</v>
      </c>
      <c r="C441" s="37" t="s">
        <v>514</v>
      </c>
      <c r="D441" s="41">
        <v>9</v>
      </c>
      <c r="E441" s="43" t="s">
        <v>684</v>
      </c>
      <c r="F441" s="43" t="s">
        <v>701</v>
      </c>
      <c r="G441" s="43" t="s">
        <v>171</v>
      </c>
      <c r="H441" s="37" t="s">
        <v>49</v>
      </c>
      <c r="I441" s="39">
        <v>46227.792060185187</v>
      </c>
    </row>
    <row r="442" spans="1:9" ht="41.4" hidden="1">
      <c r="A442" s="37" t="s">
        <v>720</v>
      </c>
      <c r="B442" s="37" t="s">
        <v>517</v>
      </c>
      <c r="C442" s="37" t="s">
        <v>518</v>
      </c>
      <c r="D442" s="41">
        <v>9.69</v>
      </c>
      <c r="E442" s="43" t="s">
        <v>683</v>
      </c>
      <c r="F442" s="43" t="s">
        <v>701</v>
      </c>
      <c r="G442" s="43" t="s">
        <v>171</v>
      </c>
      <c r="H442" s="37" t="s">
        <v>49</v>
      </c>
      <c r="I442" s="39">
        <v>46227.792060185187</v>
      </c>
    </row>
    <row r="443" spans="1:9" ht="41.4" hidden="1">
      <c r="A443" s="37" t="s">
        <v>720</v>
      </c>
      <c r="B443" s="37" t="s">
        <v>520</v>
      </c>
      <c r="C443" s="37" t="s">
        <v>521</v>
      </c>
      <c r="D443" s="41">
        <v>9.19</v>
      </c>
      <c r="E443" s="43" t="s">
        <v>683</v>
      </c>
      <c r="F443" s="43" t="s">
        <v>701</v>
      </c>
      <c r="G443" s="43" t="s">
        <v>171</v>
      </c>
      <c r="H443" s="37" t="s">
        <v>49</v>
      </c>
      <c r="I443" s="39">
        <v>46227.792060185187</v>
      </c>
    </row>
    <row r="444" spans="1:9" ht="27.6" hidden="1">
      <c r="A444" s="37" t="s">
        <v>721</v>
      </c>
      <c r="B444" s="37" t="s">
        <v>483</v>
      </c>
      <c r="C444" s="37" t="s">
        <v>484</v>
      </c>
      <c r="D444" s="41">
        <v>9</v>
      </c>
      <c r="E444" s="43" t="s">
        <v>682</v>
      </c>
      <c r="F444" s="43" t="s">
        <v>722</v>
      </c>
      <c r="G444" s="43" t="s">
        <v>171</v>
      </c>
      <c r="H444" s="37" t="s">
        <v>49</v>
      </c>
      <c r="I444" s="39">
        <v>46227.792071759257</v>
      </c>
    </row>
    <row r="445" spans="1:9" ht="27.6" hidden="1">
      <c r="A445" s="37" t="s">
        <v>721</v>
      </c>
      <c r="B445" s="37" t="s">
        <v>488</v>
      </c>
      <c r="C445" s="37" t="s">
        <v>489</v>
      </c>
      <c r="D445" s="41">
        <v>10</v>
      </c>
      <c r="E445" s="43" t="s">
        <v>779</v>
      </c>
      <c r="F445" s="43" t="s">
        <v>722</v>
      </c>
      <c r="G445" s="43" t="s">
        <v>171</v>
      </c>
      <c r="H445" s="37" t="s">
        <v>49</v>
      </c>
      <c r="I445" s="39">
        <v>46228.576238425929</v>
      </c>
    </row>
    <row r="446" spans="1:9" ht="27.6" hidden="1">
      <c r="A446" s="37" t="s">
        <v>721</v>
      </c>
      <c r="B446" s="37" t="s">
        <v>491</v>
      </c>
      <c r="C446" s="37" t="s">
        <v>492</v>
      </c>
      <c r="D446" s="41">
        <v>10</v>
      </c>
      <c r="E446" s="43" t="s">
        <v>683</v>
      </c>
      <c r="F446" s="43" t="s">
        <v>722</v>
      </c>
      <c r="G446" s="43" t="s">
        <v>171</v>
      </c>
      <c r="H446" s="37" t="s">
        <v>49</v>
      </c>
      <c r="I446" s="39">
        <v>46227.792071759257</v>
      </c>
    </row>
    <row r="447" spans="1:9" ht="41.4" hidden="1">
      <c r="A447" s="37" t="s">
        <v>721</v>
      </c>
      <c r="B447" s="37" t="s">
        <v>496</v>
      </c>
      <c r="C447" s="37" t="s">
        <v>497</v>
      </c>
      <c r="D447" s="41">
        <v>10</v>
      </c>
      <c r="E447" s="43" t="s">
        <v>776</v>
      </c>
      <c r="F447" s="43" t="s">
        <v>722</v>
      </c>
      <c r="G447" s="43" t="s">
        <v>171</v>
      </c>
      <c r="H447" s="37" t="s">
        <v>49</v>
      </c>
      <c r="I447" s="39">
        <v>46228.576238425929</v>
      </c>
    </row>
    <row r="448" spans="1:9" ht="27.6" hidden="1">
      <c r="A448" s="37" t="s">
        <v>721</v>
      </c>
      <c r="B448" s="37" t="s">
        <v>500</v>
      </c>
      <c r="C448" s="37" t="s">
        <v>501</v>
      </c>
      <c r="D448" s="41">
        <v>8.5399999999999991</v>
      </c>
      <c r="E448" s="43" t="s">
        <v>683</v>
      </c>
      <c r="F448" s="43" t="s">
        <v>722</v>
      </c>
      <c r="G448" s="43" t="s">
        <v>171</v>
      </c>
      <c r="H448" s="37" t="s">
        <v>49</v>
      </c>
      <c r="I448" s="39">
        <v>46227.792071759257</v>
      </c>
    </row>
    <row r="449" spans="1:9" ht="27.6" hidden="1">
      <c r="A449" s="37" t="s">
        <v>721</v>
      </c>
      <c r="B449" s="37" t="s">
        <v>504</v>
      </c>
      <c r="C449" s="37" t="s">
        <v>505</v>
      </c>
      <c r="D449" s="41">
        <v>10</v>
      </c>
      <c r="E449" s="43" t="s">
        <v>780</v>
      </c>
      <c r="F449" s="43" t="s">
        <v>722</v>
      </c>
      <c r="G449" s="43" t="s">
        <v>171</v>
      </c>
      <c r="H449" s="37" t="s">
        <v>49</v>
      </c>
      <c r="I449" s="39">
        <v>46228.576238425929</v>
      </c>
    </row>
    <row r="450" spans="1:9" ht="41.4" hidden="1">
      <c r="A450" s="37" t="s">
        <v>721</v>
      </c>
      <c r="B450" s="37" t="s">
        <v>509</v>
      </c>
      <c r="C450" s="37" t="s">
        <v>510</v>
      </c>
      <c r="D450" s="41">
        <v>10</v>
      </c>
      <c r="E450" s="43" t="s">
        <v>776</v>
      </c>
      <c r="F450" s="43" t="s">
        <v>722</v>
      </c>
      <c r="G450" s="43" t="s">
        <v>171</v>
      </c>
      <c r="H450" s="37" t="s">
        <v>49</v>
      </c>
      <c r="I450" s="39">
        <v>46228.576238425929</v>
      </c>
    </row>
    <row r="451" spans="1:9" ht="27.6" hidden="1">
      <c r="A451" s="37" t="s">
        <v>721</v>
      </c>
      <c r="B451" s="37" t="s">
        <v>513</v>
      </c>
      <c r="C451" s="37" t="s">
        <v>514</v>
      </c>
      <c r="D451" s="41">
        <v>10</v>
      </c>
      <c r="E451" s="43" t="s">
        <v>780</v>
      </c>
      <c r="F451" s="43" t="s">
        <v>722</v>
      </c>
      <c r="G451" s="43" t="s">
        <v>171</v>
      </c>
      <c r="H451" s="37" t="s">
        <v>49</v>
      </c>
      <c r="I451" s="39">
        <v>46228.576238425929</v>
      </c>
    </row>
    <row r="452" spans="1:9" ht="27.6" hidden="1">
      <c r="A452" s="37" t="s">
        <v>721</v>
      </c>
      <c r="B452" s="37" t="s">
        <v>517</v>
      </c>
      <c r="C452" s="37" t="s">
        <v>518</v>
      </c>
      <c r="D452" s="41">
        <v>9.74</v>
      </c>
      <c r="E452" s="43" t="s">
        <v>683</v>
      </c>
      <c r="F452" s="43" t="s">
        <v>722</v>
      </c>
      <c r="G452" s="43" t="s">
        <v>171</v>
      </c>
      <c r="H452" s="37" t="s">
        <v>49</v>
      </c>
      <c r="I452" s="39">
        <v>46227.792071759257</v>
      </c>
    </row>
    <row r="453" spans="1:9" ht="27.6" hidden="1">
      <c r="A453" s="37" t="s">
        <v>721</v>
      </c>
      <c r="B453" s="37" t="s">
        <v>520</v>
      </c>
      <c r="C453" s="37" t="s">
        <v>521</v>
      </c>
      <c r="D453" s="41">
        <v>9.24</v>
      </c>
      <c r="E453" s="43" t="s">
        <v>683</v>
      </c>
      <c r="F453" s="43" t="s">
        <v>722</v>
      </c>
      <c r="G453" s="43" t="s">
        <v>171</v>
      </c>
      <c r="H453" s="37" t="s">
        <v>49</v>
      </c>
      <c r="I453" s="39">
        <v>46227.792071759257</v>
      </c>
    </row>
    <row r="454" spans="1:9" ht="27.6" hidden="1">
      <c r="A454" s="37" t="s">
        <v>723</v>
      </c>
      <c r="B454" s="37" t="s">
        <v>483</v>
      </c>
      <c r="C454" s="37" t="s">
        <v>484</v>
      </c>
      <c r="D454" s="41">
        <v>9</v>
      </c>
      <c r="E454" s="43" t="s">
        <v>682</v>
      </c>
      <c r="F454" s="43" t="s">
        <v>753</v>
      </c>
      <c r="G454" s="43" t="s">
        <v>171</v>
      </c>
      <c r="H454" s="37" t="s">
        <v>49</v>
      </c>
      <c r="I454" s="39">
        <v>46227.792083333334</v>
      </c>
    </row>
    <row r="455" spans="1:9" ht="27.6" hidden="1">
      <c r="A455" s="37" t="s">
        <v>723</v>
      </c>
      <c r="B455" s="37" t="s">
        <v>488</v>
      </c>
      <c r="C455" s="37" t="s">
        <v>489</v>
      </c>
      <c r="D455" s="41">
        <v>8</v>
      </c>
      <c r="E455" s="43" t="s">
        <v>682</v>
      </c>
      <c r="F455" s="43" t="s">
        <v>753</v>
      </c>
      <c r="G455" s="43" t="s">
        <v>171</v>
      </c>
      <c r="H455" s="37" t="s">
        <v>49</v>
      </c>
      <c r="I455" s="39">
        <v>46227.792083333334</v>
      </c>
    </row>
    <row r="456" spans="1:9" ht="27.6" hidden="1">
      <c r="A456" s="37" t="s">
        <v>723</v>
      </c>
      <c r="B456" s="37" t="s">
        <v>491</v>
      </c>
      <c r="C456" s="37" t="s">
        <v>492</v>
      </c>
      <c r="D456" s="41">
        <v>6.5</v>
      </c>
      <c r="E456" s="43" t="s">
        <v>683</v>
      </c>
      <c r="F456" s="43" t="s">
        <v>753</v>
      </c>
      <c r="G456" s="43" t="s">
        <v>171</v>
      </c>
      <c r="H456" s="37" t="s">
        <v>49</v>
      </c>
      <c r="I456" s="39">
        <v>46227.792083333334</v>
      </c>
    </row>
    <row r="457" spans="1:9" ht="27.6" hidden="1">
      <c r="A457" s="37" t="s">
        <v>723</v>
      </c>
      <c r="B457" s="37" t="s">
        <v>496</v>
      </c>
      <c r="C457" s="37" t="s">
        <v>497</v>
      </c>
      <c r="D457" s="41">
        <v>7.5</v>
      </c>
      <c r="E457" s="43" t="s">
        <v>683</v>
      </c>
      <c r="F457" s="43" t="s">
        <v>753</v>
      </c>
      <c r="G457" s="43" t="s">
        <v>171</v>
      </c>
      <c r="H457" s="37" t="s">
        <v>49</v>
      </c>
      <c r="I457" s="39">
        <v>46227.792083333334</v>
      </c>
    </row>
    <row r="458" spans="1:9" ht="27.6" hidden="1">
      <c r="A458" s="37" t="s">
        <v>723</v>
      </c>
      <c r="B458" s="37" t="s">
        <v>500</v>
      </c>
      <c r="C458" s="37" t="s">
        <v>501</v>
      </c>
      <c r="D458" s="41">
        <v>7.5</v>
      </c>
      <c r="E458" s="43" t="s">
        <v>683</v>
      </c>
      <c r="F458" s="43" t="s">
        <v>753</v>
      </c>
      <c r="G458" s="43" t="s">
        <v>171</v>
      </c>
      <c r="H458" s="37" t="s">
        <v>49</v>
      </c>
      <c r="I458" s="39">
        <v>46227.792083333334</v>
      </c>
    </row>
    <row r="459" spans="1:9" ht="27.6" hidden="1">
      <c r="A459" s="37" t="s">
        <v>723</v>
      </c>
      <c r="B459" s="37" t="s">
        <v>504</v>
      </c>
      <c r="C459" s="37" t="s">
        <v>505</v>
      </c>
      <c r="D459" s="41">
        <v>7.5</v>
      </c>
      <c r="E459" s="43" t="s">
        <v>684</v>
      </c>
      <c r="F459" s="43" t="s">
        <v>753</v>
      </c>
      <c r="G459" s="43" t="s">
        <v>171</v>
      </c>
      <c r="H459" s="37" t="s">
        <v>49</v>
      </c>
      <c r="I459" s="39">
        <v>46227.792083333334</v>
      </c>
    </row>
    <row r="460" spans="1:9" ht="27.6" hidden="1">
      <c r="A460" s="37" t="s">
        <v>723</v>
      </c>
      <c r="B460" s="37" t="s">
        <v>509</v>
      </c>
      <c r="C460" s="37" t="s">
        <v>510</v>
      </c>
      <c r="D460" s="41">
        <v>1</v>
      </c>
      <c r="E460" s="43" t="s">
        <v>683</v>
      </c>
      <c r="F460" s="43" t="s">
        <v>753</v>
      </c>
      <c r="G460" s="43" t="s">
        <v>171</v>
      </c>
      <c r="H460" s="37" t="s">
        <v>49</v>
      </c>
      <c r="I460" s="39">
        <v>46227.792083333334</v>
      </c>
    </row>
    <row r="461" spans="1:9" ht="27.6" hidden="1">
      <c r="A461" s="37" t="s">
        <v>723</v>
      </c>
      <c r="B461" s="37" t="s">
        <v>513</v>
      </c>
      <c r="C461" s="37" t="s">
        <v>514</v>
      </c>
      <c r="D461" s="41">
        <v>7</v>
      </c>
      <c r="E461" s="43" t="s">
        <v>684</v>
      </c>
      <c r="F461" s="43" t="s">
        <v>753</v>
      </c>
      <c r="G461" s="43" t="s">
        <v>171</v>
      </c>
      <c r="H461" s="37" t="s">
        <v>49</v>
      </c>
      <c r="I461" s="39">
        <v>46227.792083333334</v>
      </c>
    </row>
    <row r="462" spans="1:9" ht="27.6" hidden="1">
      <c r="A462" s="37" t="s">
        <v>723</v>
      </c>
      <c r="B462" s="37" t="s">
        <v>517</v>
      </c>
      <c r="C462" s="37" t="s">
        <v>518</v>
      </c>
      <c r="D462" s="41">
        <v>7</v>
      </c>
      <c r="E462" s="43" t="s">
        <v>683</v>
      </c>
      <c r="F462" s="43" t="s">
        <v>753</v>
      </c>
      <c r="G462" s="43" t="s">
        <v>171</v>
      </c>
      <c r="H462" s="37" t="s">
        <v>49</v>
      </c>
      <c r="I462" s="39">
        <v>46227.792083333334</v>
      </c>
    </row>
    <row r="463" spans="1:9" ht="27.6" hidden="1">
      <c r="A463" s="37" t="s">
        <v>723</v>
      </c>
      <c r="B463" s="37" t="s">
        <v>520</v>
      </c>
      <c r="C463" s="37" t="s">
        <v>521</v>
      </c>
      <c r="D463" s="41">
        <v>6.5</v>
      </c>
      <c r="E463" s="43" t="s">
        <v>683</v>
      </c>
      <c r="F463" s="43" t="s">
        <v>753</v>
      </c>
      <c r="G463" s="43" t="s">
        <v>171</v>
      </c>
      <c r="H463" s="37" t="s">
        <v>49</v>
      </c>
      <c r="I463" s="39">
        <v>46227.792083333334</v>
      </c>
    </row>
    <row r="464" spans="1:9" ht="41.4" hidden="1">
      <c r="A464" s="37" t="s">
        <v>724</v>
      </c>
      <c r="B464" s="37" t="s">
        <v>483</v>
      </c>
      <c r="C464" s="37" t="s">
        <v>484</v>
      </c>
      <c r="D464" s="41">
        <v>9</v>
      </c>
      <c r="E464" s="43" t="s">
        <v>682</v>
      </c>
      <c r="F464" s="43" t="s">
        <v>701</v>
      </c>
      <c r="G464" s="43" t="s">
        <v>171</v>
      </c>
      <c r="H464" s="37" t="s">
        <v>49</v>
      </c>
      <c r="I464" s="39">
        <v>46227.792094907411</v>
      </c>
    </row>
    <row r="465" spans="1:9" ht="41.4" hidden="1">
      <c r="A465" s="37" t="s">
        <v>724</v>
      </c>
      <c r="B465" s="37" t="s">
        <v>488</v>
      </c>
      <c r="C465" s="37" t="s">
        <v>489</v>
      </c>
      <c r="D465" s="41">
        <v>8</v>
      </c>
      <c r="E465" s="43" t="s">
        <v>682</v>
      </c>
      <c r="F465" s="43" t="s">
        <v>701</v>
      </c>
      <c r="G465" s="43" t="s">
        <v>171</v>
      </c>
      <c r="H465" s="37" t="s">
        <v>49</v>
      </c>
      <c r="I465" s="39">
        <v>46227.792094907411</v>
      </c>
    </row>
    <row r="466" spans="1:9" ht="41.4" hidden="1">
      <c r="A466" s="37" t="s">
        <v>724</v>
      </c>
      <c r="B466" s="37" t="s">
        <v>491</v>
      </c>
      <c r="C466" s="37" t="s">
        <v>492</v>
      </c>
      <c r="D466" s="41">
        <v>6.64</v>
      </c>
      <c r="E466" s="43" t="s">
        <v>683</v>
      </c>
      <c r="F466" s="43" t="s">
        <v>701</v>
      </c>
      <c r="G466" s="43" t="s">
        <v>171</v>
      </c>
      <c r="H466" s="37" t="s">
        <v>49</v>
      </c>
      <c r="I466" s="39">
        <v>46227.792094907411</v>
      </c>
    </row>
    <row r="467" spans="1:9" ht="41.4" hidden="1">
      <c r="A467" s="37" t="s">
        <v>724</v>
      </c>
      <c r="B467" s="37" t="s">
        <v>496</v>
      </c>
      <c r="C467" s="37" t="s">
        <v>497</v>
      </c>
      <c r="D467" s="41">
        <v>7.55</v>
      </c>
      <c r="E467" s="43" t="s">
        <v>683</v>
      </c>
      <c r="F467" s="43" t="s">
        <v>701</v>
      </c>
      <c r="G467" s="43" t="s">
        <v>171</v>
      </c>
      <c r="H467" s="37" t="s">
        <v>49</v>
      </c>
      <c r="I467" s="39">
        <v>46227.792094907411</v>
      </c>
    </row>
    <row r="468" spans="1:9" ht="41.4" hidden="1">
      <c r="A468" s="37" t="s">
        <v>724</v>
      </c>
      <c r="B468" s="37" t="s">
        <v>500</v>
      </c>
      <c r="C468" s="37" t="s">
        <v>501</v>
      </c>
      <c r="D468" s="41">
        <v>7.59</v>
      </c>
      <c r="E468" s="43" t="s">
        <v>683</v>
      </c>
      <c r="F468" s="43" t="s">
        <v>701</v>
      </c>
      <c r="G468" s="43" t="s">
        <v>171</v>
      </c>
      <c r="H468" s="37" t="s">
        <v>49</v>
      </c>
      <c r="I468" s="39">
        <v>46227.792094907411</v>
      </c>
    </row>
    <row r="469" spans="1:9" ht="41.4" hidden="1">
      <c r="A469" s="37" t="s">
        <v>724</v>
      </c>
      <c r="B469" s="37" t="s">
        <v>504</v>
      </c>
      <c r="C469" s="37" t="s">
        <v>505</v>
      </c>
      <c r="D469" s="41">
        <v>7.5</v>
      </c>
      <c r="E469" s="43" t="s">
        <v>684</v>
      </c>
      <c r="F469" s="43" t="s">
        <v>701</v>
      </c>
      <c r="G469" s="43" t="s">
        <v>171</v>
      </c>
      <c r="H469" s="37" t="s">
        <v>49</v>
      </c>
      <c r="I469" s="39">
        <v>46227.792094907411</v>
      </c>
    </row>
    <row r="470" spans="1:9" ht="41.4" hidden="1">
      <c r="A470" s="37" t="s">
        <v>724</v>
      </c>
      <c r="B470" s="37" t="s">
        <v>509</v>
      </c>
      <c r="C470" s="37" t="s">
        <v>510</v>
      </c>
      <c r="D470" s="41">
        <v>1.46</v>
      </c>
      <c r="E470" s="43" t="s">
        <v>683</v>
      </c>
      <c r="F470" s="43" t="s">
        <v>701</v>
      </c>
      <c r="G470" s="43" t="s">
        <v>171</v>
      </c>
      <c r="H470" s="37" t="s">
        <v>49</v>
      </c>
      <c r="I470" s="39">
        <v>46227.792094907411</v>
      </c>
    </row>
    <row r="471" spans="1:9" ht="41.4" hidden="1">
      <c r="A471" s="37" t="s">
        <v>724</v>
      </c>
      <c r="B471" s="37" t="s">
        <v>513</v>
      </c>
      <c r="C471" s="37" t="s">
        <v>514</v>
      </c>
      <c r="D471" s="41">
        <v>7</v>
      </c>
      <c r="E471" s="43" t="s">
        <v>684</v>
      </c>
      <c r="F471" s="43" t="s">
        <v>701</v>
      </c>
      <c r="G471" s="43" t="s">
        <v>171</v>
      </c>
      <c r="H471" s="37" t="s">
        <v>49</v>
      </c>
      <c r="I471" s="39">
        <v>46227.792094907411</v>
      </c>
    </row>
    <row r="472" spans="1:9" ht="41.4" hidden="1">
      <c r="A472" s="37" t="s">
        <v>724</v>
      </c>
      <c r="B472" s="37" t="s">
        <v>517</v>
      </c>
      <c r="C472" s="37" t="s">
        <v>518</v>
      </c>
      <c r="D472" s="41">
        <v>7.09</v>
      </c>
      <c r="E472" s="43" t="s">
        <v>683</v>
      </c>
      <c r="F472" s="43" t="s">
        <v>701</v>
      </c>
      <c r="G472" s="43" t="s">
        <v>171</v>
      </c>
      <c r="H472" s="37" t="s">
        <v>49</v>
      </c>
      <c r="I472" s="39">
        <v>46227.792094907411</v>
      </c>
    </row>
    <row r="473" spans="1:9" ht="41.4" hidden="1">
      <c r="A473" s="37" t="s">
        <v>724</v>
      </c>
      <c r="B473" s="37" t="s">
        <v>520</v>
      </c>
      <c r="C473" s="37" t="s">
        <v>521</v>
      </c>
      <c r="D473" s="41">
        <v>6.59</v>
      </c>
      <c r="E473" s="43" t="s">
        <v>683</v>
      </c>
      <c r="F473" s="43" t="s">
        <v>701</v>
      </c>
      <c r="G473" s="43" t="s">
        <v>171</v>
      </c>
      <c r="H473" s="37" t="s">
        <v>49</v>
      </c>
      <c r="I473" s="39">
        <v>46227.792094907411</v>
      </c>
    </row>
    <row r="474" spans="1:9" ht="41.4" hidden="1">
      <c r="A474" s="37" t="s">
        <v>725</v>
      </c>
      <c r="B474" s="37" t="s">
        <v>483</v>
      </c>
      <c r="C474" s="37" t="s">
        <v>484</v>
      </c>
      <c r="D474" s="41">
        <v>9</v>
      </c>
      <c r="E474" s="43" t="s">
        <v>682</v>
      </c>
      <c r="F474" s="43" t="s">
        <v>701</v>
      </c>
      <c r="G474" s="43" t="s">
        <v>171</v>
      </c>
      <c r="H474" s="37" t="s">
        <v>49</v>
      </c>
      <c r="I474" s="39">
        <v>46227.79210648148</v>
      </c>
    </row>
    <row r="475" spans="1:9" ht="41.4" hidden="1">
      <c r="A475" s="37" t="s">
        <v>725</v>
      </c>
      <c r="B475" s="37" t="s">
        <v>488</v>
      </c>
      <c r="C475" s="37" t="s">
        <v>489</v>
      </c>
      <c r="D475" s="41">
        <v>8</v>
      </c>
      <c r="E475" s="43" t="s">
        <v>682</v>
      </c>
      <c r="F475" s="43" t="s">
        <v>701</v>
      </c>
      <c r="G475" s="43" t="s">
        <v>171</v>
      </c>
      <c r="H475" s="37" t="s">
        <v>49</v>
      </c>
      <c r="I475" s="39">
        <v>46227.79210648148</v>
      </c>
    </row>
    <row r="476" spans="1:9" ht="41.4" hidden="1">
      <c r="A476" s="37" t="s">
        <v>725</v>
      </c>
      <c r="B476" s="37" t="s">
        <v>491</v>
      </c>
      <c r="C476" s="37" t="s">
        <v>492</v>
      </c>
      <c r="D476" s="41">
        <v>6.79</v>
      </c>
      <c r="E476" s="43" t="s">
        <v>683</v>
      </c>
      <c r="F476" s="43" t="s">
        <v>701</v>
      </c>
      <c r="G476" s="43" t="s">
        <v>171</v>
      </c>
      <c r="H476" s="37" t="s">
        <v>49</v>
      </c>
      <c r="I476" s="39">
        <v>46227.79210648148</v>
      </c>
    </row>
    <row r="477" spans="1:9" ht="41.4" hidden="1">
      <c r="A477" s="37" t="s">
        <v>725</v>
      </c>
      <c r="B477" s="37" t="s">
        <v>496</v>
      </c>
      <c r="C477" s="37" t="s">
        <v>497</v>
      </c>
      <c r="D477" s="41">
        <v>7.6</v>
      </c>
      <c r="E477" s="43" t="s">
        <v>683</v>
      </c>
      <c r="F477" s="43" t="s">
        <v>701</v>
      </c>
      <c r="G477" s="43" t="s">
        <v>171</v>
      </c>
      <c r="H477" s="37" t="s">
        <v>49</v>
      </c>
      <c r="I477" s="39">
        <v>46227.79210648148</v>
      </c>
    </row>
    <row r="478" spans="1:9" ht="41.4" hidden="1">
      <c r="A478" s="37" t="s">
        <v>725</v>
      </c>
      <c r="B478" s="37" t="s">
        <v>500</v>
      </c>
      <c r="C478" s="37" t="s">
        <v>501</v>
      </c>
      <c r="D478" s="41">
        <v>7.69</v>
      </c>
      <c r="E478" s="43" t="s">
        <v>683</v>
      </c>
      <c r="F478" s="43" t="s">
        <v>701</v>
      </c>
      <c r="G478" s="43" t="s">
        <v>171</v>
      </c>
      <c r="H478" s="37" t="s">
        <v>49</v>
      </c>
      <c r="I478" s="39">
        <v>46227.79210648148</v>
      </c>
    </row>
    <row r="479" spans="1:9" ht="41.4" hidden="1">
      <c r="A479" s="37" t="s">
        <v>725</v>
      </c>
      <c r="B479" s="37" t="s">
        <v>504</v>
      </c>
      <c r="C479" s="37" t="s">
        <v>505</v>
      </c>
      <c r="D479" s="41">
        <v>7.5</v>
      </c>
      <c r="E479" s="43" t="s">
        <v>684</v>
      </c>
      <c r="F479" s="43" t="s">
        <v>701</v>
      </c>
      <c r="G479" s="43" t="s">
        <v>171</v>
      </c>
      <c r="H479" s="37" t="s">
        <v>49</v>
      </c>
      <c r="I479" s="39">
        <v>46227.79210648148</v>
      </c>
    </row>
    <row r="480" spans="1:9" ht="41.4" hidden="1">
      <c r="A480" s="37" t="s">
        <v>725</v>
      </c>
      <c r="B480" s="37" t="s">
        <v>509</v>
      </c>
      <c r="C480" s="37" t="s">
        <v>510</v>
      </c>
      <c r="D480" s="41">
        <v>1.96</v>
      </c>
      <c r="E480" s="43" t="s">
        <v>683</v>
      </c>
      <c r="F480" s="43" t="s">
        <v>701</v>
      </c>
      <c r="G480" s="43" t="s">
        <v>171</v>
      </c>
      <c r="H480" s="37" t="s">
        <v>49</v>
      </c>
      <c r="I480" s="39">
        <v>46227.79210648148</v>
      </c>
    </row>
    <row r="481" spans="1:9" ht="41.4" hidden="1">
      <c r="A481" s="37" t="s">
        <v>725</v>
      </c>
      <c r="B481" s="37" t="s">
        <v>513</v>
      </c>
      <c r="C481" s="37" t="s">
        <v>514</v>
      </c>
      <c r="D481" s="41">
        <v>7</v>
      </c>
      <c r="E481" s="43" t="s">
        <v>684</v>
      </c>
      <c r="F481" s="43" t="s">
        <v>701</v>
      </c>
      <c r="G481" s="43" t="s">
        <v>171</v>
      </c>
      <c r="H481" s="37" t="s">
        <v>49</v>
      </c>
      <c r="I481" s="39">
        <v>46227.79210648148</v>
      </c>
    </row>
    <row r="482" spans="1:9" ht="41.4" hidden="1">
      <c r="A482" s="37" t="s">
        <v>725</v>
      </c>
      <c r="B482" s="37" t="s">
        <v>517</v>
      </c>
      <c r="C482" s="37" t="s">
        <v>518</v>
      </c>
      <c r="D482" s="41">
        <v>7.19</v>
      </c>
      <c r="E482" s="43" t="s">
        <v>683</v>
      </c>
      <c r="F482" s="43" t="s">
        <v>701</v>
      </c>
      <c r="G482" s="43" t="s">
        <v>171</v>
      </c>
      <c r="H482" s="37" t="s">
        <v>49</v>
      </c>
      <c r="I482" s="39">
        <v>46227.79210648148</v>
      </c>
    </row>
    <row r="483" spans="1:9" ht="41.4" hidden="1">
      <c r="A483" s="37" t="s">
        <v>725</v>
      </c>
      <c r="B483" s="37" t="s">
        <v>520</v>
      </c>
      <c r="C483" s="37" t="s">
        <v>521</v>
      </c>
      <c r="D483" s="41">
        <v>6.69</v>
      </c>
      <c r="E483" s="43" t="s">
        <v>683</v>
      </c>
      <c r="F483" s="43" t="s">
        <v>701</v>
      </c>
      <c r="G483" s="43" t="s">
        <v>171</v>
      </c>
      <c r="H483" s="37" t="s">
        <v>49</v>
      </c>
      <c r="I483" s="39">
        <v>46227.79210648148</v>
      </c>
    </row>
    <row r="484" spans="1:9" ht="41.4" hidden="1">
      <c r="A484" s="37" t="s">
        <v>726</v>
      </c>
      <c r="B484" s="37" t="s">
        <v>483</v>
      </c>
      <c r="C484" s="37" t="s">
        <v>484</v>
      </c>
      <c r="D484" s="41">
        <v>9</v>
      </c>
      <c r="E484" s="43" t="s">
        <v>682</v>
      </c>
      <c r="F484" s="43" t="s">
        <v>701</v>
      </c>
      <c r="G484" s="43" t="s">
        <v>171</v>
      </c>
      <c r="H484" s="37" t="s">
        <v>49</v>
      </c>
      <c r="I484" s="39">
        <v>46227.792118055557</v>
      </c>
    </row>
    <row r="485" spans="1:9" ht="41.4" hidden="1">
      <c r="A485" s="37" t="s">
        <v>726</v>
      </c>
      <c r="B485" s="37" t="s">
        <v>488</v>
      </c>
      <c r="C485" s="37" t="s">
        <v>489</v>
      </c>
      <c r="D485" s="41">
        <v>8</v>
      </c>
      <c r="E485" s="43" t="s">
        <v>682</v>
      </c>
      <c r="F485" s="43" t="s">
        <v>701</v>
      </c>
      <c r="G485" s="43" t="s">
        <v>171</v>
      </c>
      <c r="H485" s="37" t="s">
        <v>49</v>
      </c>
      <c r="I485" s="39">
        <v>46227.792118055557</v>
      </c>
    </row>
    <row r="486" spans="1:9" ht="41.4" hidden="1">
      <c r="A486" s="37" t="s">
        <v>726</v>
      </c>
      <c r="B486" s="37" t="s">
        <v>491</v>
      </c>
      <c r="C486" s="37" t="s">
        <v>492</v>
      </c>
      <c r="D486" s="41">
        <v>6.94</v>
      </c>
      <c r="E486" s="43" t="s">
        <v>683</v>
      </c>
      <c r="F486" s="43" t="s">
        <v>701</v>
      </c>
      <c r="G486" s="43" t="s">
        <v>171</v>
      </c>
      <c r="H486" s="37" t="s">
        <v>49</v>
      </c>
      <c r="I486" s="39">
        <v>46227.792118055557</v>
      </c>
    </row>
    <row r="487" spans="1:9" ht="41.4" hidden="1">
      <c r="A487" s="37" t="s">
        <v>726</v>
      </c>
      <c r="B487" s="37" t="s">
        <v>496</v>
      </c>
      <c r="C487" s="37" t="s">
        <v>497</v>
      </c>
      <c r="D487" s="41">
        <v>7.65</v>
      </c>
      <c r="E487" s="43" t="s">
        <v>683</v>
      </c>
      <c r="F487" s="43" t="s">
        <v>701</v>
      </c>
      <c r="G487" s="43" t="s">
        <v>171</v>
      </c>
      <c r="H487" s="37" t="s">
        <v>49</v>
      </c>
      <c r="I487" s="39">
        <v>46227.792118055557</v>
      </c>
    </row>
    <row r="488" spans="1:9" ht="41.4" hidden="1">
      <c r="A488" s="37" t="s">
        <v>726</v>
      </c>
      <c r="B488" s="37" t="s">
        <v>500</v>
      </c>
      <c r="C488" s="37" t="s">
        <v>501</v>
      </c>
      <c r="D488" s="41">
        <v>7.79</v>
      </c>
      <c r="E488" s="43" t="s">
        <v>683</v>
      </c>
      <c r="F488" s="43" t="s">
        <v>701</v>
      </c>
      <c r="G488" s="43" t="s">
        <v>171</v>
      </c>
      <c r="H488" s="37" t="s">
        <v>49</v>
      </c>
      <c r="I488" s="39">
        <v>46227.792118055557</v>
      </c>
    </row>
    <row r="489" spans="1:9" ht="41.4" hidden="1">
      <c r="A489" s="37" t="s">
        <v>726</v>
      </c>
      <c r="B489" s="37" t="s">
        <v>504</v>
      </c>
      <c r="C489" s="37" t="s">
        <v>505</v>
      </c>
      <c r="D489" s="41">
        <v>7.5</v>
      </c>
      <c r="E489" s="43" t="s">
        <v>684</v>
      </c>
      <c r="F489" s="43" t="s">
        <v>701</v>
      </c>
      <c r="G489" s="43" t="s">
        <v>171</v>
      </c>
      <c r="H489" s="37" t="s">
        <v>49</v>
      </c>
      <c r="I489" s="39">
        <v>46227.792118055557</v>
      </c>
    </row>
    <row r="490" spans="1:9" ht="41.4" hidden="1">
      <c r="A490" s="37" t="s">
        <v>726</v>
      </c>
      <c r="B490" s="37" t="s">
        <v>509</v>
      </c>
      <c r="C490" s="37" t="s">
        <v>510</v>
      </c>
      <c r="D490" s="41">
        <v>2.46</v>
      </c>
      <c r="E490" s="43" t="s">
        <v>683</v>
      </c>
      <c r="F490" s="43" t="s">
        <v>701</v>
      </c>
      <c r="G490" s="43" t="s">
        <v>171</v>
      </c>
      <c r="H490" s="37" t="s">
        <v>49</v>
      </c>
      <c r="I490" s="39">
        <v>46227.792118055557</v>
      </c>
    </row>
    <row r="491" spans="1:9" ht="41.4" hidden="1">
      <c r="A491" s="37" t="s">
        <v>726</v>
      </c>
      <c r="B491" s="37" t="s">
        <v>513</v>
      </c>
      <c r="C491" s="37" t="s">
        <v>514</v>
      </c>
      <c r="D491" s="41">
        <v>7</v>
      </c>
      <c r="E491" s="43" t="s">
        <v>684</v>
      </c>
      <c r="F491" s="43" t="s">
        <v>701</v>
      </c>
      <c r="G491" s="43" t="s">
        <v>171</v>
      </c>
      <c r="H491" s="37" t="s">
        <v>49</v>
      </c>
      <c r="I491" s="39">
        <v>46227.792118055557</v>
      </c>
    </row>
    <row r="492" spans="1:9" ht="41.4" hidden="1">
      <c r="A492" s="37" t="s">
        <v>726</v>
      </c>
      <c r="B492" s="37" t="s">
        <v>517</v>
      </c>
      <c r="C492" s="37" t="s">
        <v>518</v>
      </c>
      <c r="D492" s="41">
        <v>7.29</v>
      </c>
      <c r="E492" s="43" t="s">
        <v>683</v>
      </c>
      <c r="F492" s="43" t="s">
        <v>701</v>
      </c>
      <c r="G492" s="43" t="s">
        <v>171</v>
      </c>
      <c r="H492" s="37" t="s">
        <v>49</v>
      </c>
      <c r="I492" s="39">
        <v>46227.792118055557</v>
      </c>
    </row>
    <row r="493" spans="1:9" ht="41.4" hidden="1">
      <c r="A493" s="37" t="s">
        <v>726</v>
      </c>
      <c r="B493" s="37" t="s">
        <v>520</v>
      </c>
      <c r="C493" s="37" t="s">
        <v>521</v>
      </c>
      <c r="D493" s="41">
        <v>6.79</v>
      </c>
      <c r="E493" s="43" t="s">
        <v>683</v>
      </c>
      <c r="F493" s="43" t="s">
        <v>701</v>
      </c>
      <c r="G493" s="43" t="s">
        <v>171</v>
      </c>
      <c r="H493" s="37" t="s">
        <v>49</v>
      </c>
      <c r="I493" s="39">
        <v>46227.792118055557</v>
      </c>
    </row>
    <row r="494" spans="1:9" ht="41.4" hidden="1">
      <c r="A494" s="37" t="s">
        <v>727</v>
      </c>
      <c r="B494" s="37" t="s">
        <v>483</v>
      </c>
      <c r="C494" s="37" t="s">
        <v>484</v>
      </c>
      <c r="D494" s="41">
        <v>9</v>
      </c>
      <c r="E494" s="43" t="s">
        <v>682</v>
      </c>
      <c r="F494" s="43" t="s">
        <v>701</v>
      </c>
      <c r="G494" s="43" t="s">
        <v>171</v>
      </c>
      <c r="H494" s="37" t="s">
        <v>49</v>
      </c>
      <c r="I494" s="39">
        <v>46227.792129629626</v>
      </c>
    </row>
    <row r="495" spans="1:9" ht="41.4" hidden="1">
      <c r="A495" s="37" t="s">
        <v>727</v>
      </c>
      <c r="B495" s="37" t="s">
        <v>488</v>
      </c>
      <c r="C495" s="37" t="s">
        <v>489</v>
      </c>
      <c r="D495" s="41">
        <v>8</v>
      </c>
      <c r="E495" s="43" t="s">
        <v>682</v>
      </c>
      <c r="F495" s="43" t="s">
        <v>701</v>
      </c>
      <c r="G495" s="43" t="s">
        <v>171</v>
      </c>
      <c r="H495" s="37" t="s">
        <v>49</v>
      </c>
      <c r="I495" s="39">
        <v>46227.792129629626</v>
      </c>
    </row>
    <row r="496" spans="1:9" ht="41.4" hidden="1">
      <c r="A496" s="37" t="s">
        <v>727</v>
      </c>
      <c r="B496" s="37" t="s">
        <v>491</v>
      </c>
      <c r="C496" s="37" t="s">
        <v>492</v>
      </c>
      <c r="D496" s="41">
        <v>7.09</v>
      </c>
      <c r="E496" s="43" t="s">
        <v>683</v>
      </c>
      <c r="F496" s="43" t="s">
        <v>701</v>
      </c>
      <c r="G496" s="43" t="s">
        <v>171</v>
      </c>
      <c r="H496" s="37" t="s">
        <v>49</v>
      </c>
      <c r="I496" s="39">
        <v>46227.792129629626</v>
      </c>
    </row>
    <row r="497" spans="1:9" ht="41.4" hidden="1">
      <c r="A497" s="37" t="s">
        <v>727</v>
      </c>
      <c r="B497" s="37" t="s">
        <v>496</v>
      </c>
      <c r="C497" s="37" t="s">
        <v>497</v>
      </c>
      <c r="D497" s="41">
        <v>7.7</v>
      </c>
      <c r="E497" s="43" t="s">
        <v>683</v>
      </c>
      <c r="F497" s="43" t="s">
        <v>701</v>
      </c>
      <c r="G497" s="43" t="s">
        <v>171</v>
      </c>
      <c r="H497" s="37" t="s">
        <v>49</v>
      </c>
      <c r="I497" s="39">
        <v>46227.792129629626</v>
      </c>
    </row>
    <row r="498" spans="1:9" ht="41.4" hidden="1">
      <c r="A498" s="37" t="s">
        <v>727</v>
      </c>
      <c r="B498" s="37" t="s">
        <v>500</v>
      </c>
      <c r="C498" s="37" t="s">
        <v>501</v>
      </c>
      <c r="D498" s="41">
        <v>7.89</v>
      </c>
      <c r="E498" s="43" t="s">
        <v>683</v>
      </c>
      <c r="F498" s="43" t="s">
        <v>701</v>
      </c>
      <c r="G498" s="43" t="s">
        <v>171</v>
      </c>
      <c r="H498" s="37" t="s">
        <v>49</v>
      </c>
      <c r="I498" s="39">
        <v>46227.792129629626</v>
      </c>
    </row>
    <row r="499" spans="1:9" ht="41.4" hidden="1">
      <c r="A499" s="37" t="s">
        <v>727</v>
      </c>
      <c r="B499" s="37" t="s">
        <v>504</v>
      </c>
      <c r="C499" s="37" t="s">
        <v>505</v>
      </c>
      <c r="D499" s="41">
        <v>7.5</v>
      </c>
      <c r="E499" s="43" t="s">
        <v>684</v>
      </c>
      <c r="F499" s="43" t="s">
        <v>701</v>
      </c>
      <c r="G499" s="43" t="s">
        <v>171</v>
      </c>
      <c r="H499" s="37" t="s">
        <v>49</v>
      </c>
      <c r="I499" s="39">
        <v>46227.792129629626</v>
      </c>
    </row>
    <row r="500" spans="1:9" ht="41.4" hidden="1">
      <c r="A500" s="37" t="s">
        <v>727</v>
      </c>
      <c r="B500" s="37" t="s">
        <v>509</v>
      </c>
      <c r="C500" s="37" t="s">
        <v>510</v>
      </c>
      <c r="D500" s="41">
        <v>2.96</v>
      </c>
      <c r="E500" s="43" t="s">
        <v>683</v>
      </c>
      <c r="F500" s="43" t="s">
        <v>701</v>
      </c>
      <c r="G500" s="43" t="s">
        <v>171</v>
      </c>
      <c r="H500" s="37" t="s">
        <v>49</v>
      </c>
      <c r="I500" s="39">
        <v>46227.792129629626</v>
      </c>
    </row>
    <row r="501" spans="1:9" ht="41.4" hidden="1">
      <c r="A501" s="37" t="s">
        <v>727</v>
      </c>
      <c r="B501" s="37" t="s">
        <v>513</v>
      </c>
      <c r="C501" s="37" t="s">
        <v>514</v>
      </c>
      <c r="D501" s="41">
        <v>7</v>
      </c>
      <c r="E501" s="43" t="s">
        <v>684</v>
      </c>
      <c r="F501" s="43" t="s">
        <v>701</v>
      </c>
      <c r="G501" s="43" t="s">
        <v>171</v>
      </c>
      <c r="H501" s="37" t="s">
        <v>49</v>
      </c>
      <c r="I501" s="39">
        <v>46227.792129629626</v>
      </c>
    </row>
    <row r="502" spans="1:9" ht="41.4" hidden="1">
      <c r="A502" s="37" t="s">
        <v>727</v>
      </c>
      <c r="B502" s="37" t="s">
        <v>517</v>
      </c>
      <c r="C502" s="37" t="s">
        <v>518</v>
      </c>
      <c r="D502" s="41">
        <v>7.39</v>
      </c>
      <c r="E502" s="43" t="s">
        <v>683</v>
      </c>
      <c r="F502" s="43" t="s">
        <v>701</v>
      </c>
      <c r="G502" s="43" t="s">
        <v>171</v>
      </c>
      <c r="H502" s="37" t="s">
        <v>49</v>
      </c>
      <c r="I502" s="39">
        <v>46227.792129629626</v>
      </c>
    </row>
    <row r="503" spans="1:9" ht="41.4" hidden="1">
      <c r="A503" s="37" t="s">
        <v>727</v>
      </c>
      <c r="B503" s="37" t="s">
        <v>520</v>
      </c>
      <c r="C503" s="37" t="s">
        <v>521</v>
      </c>
      <c r="D503" s="41">
        <v>6.89</v>
      </c>
      <c r="E503" s="43" t="s">
        <v>683</v>
      </c>
      <c r="F503" s="43" t="s">
        <v>701</v>
      </c>
      <c r="G503" s="43" t="s">
        <v>171</v>
      </c>
      <c r="H503" s="37" t="s">
        <v>49</v>
      </c>
      <c r="I503" s="39">
        <v>46227.792129629626</v>
      </c>
    </row>
    <row r="504" spans="1:9" ht="41.4" hidden="1">
      <c r="A504" s="37" t="s">
        <v>728</v>
      </c>
      <c r="B504" s="37" t="s">
        <v>483</v>
      </c>
      <c r="C504" s="37" t="s">
        <v>484</v>
      </c>
      <c r="D504" s="41">
        <v>9</v>
      </c>
      <c r="E504" s="43" t="s">
        <v>682</v>
      </c>
      <c r="F504" s="43" t="s">
        <v>701</v>
      </c>
      <c r="G504" s="43" t="s">
        <v>171</v>
      </c>
      <c r="H504" s="37" t="s">
        <v>49</v>
      </c>
      <c r="I504" s="39">
        <v>46227.792141203703</v>
      </c>
    </row>
    <row r="505" spans="1:9" ht="41.4" hidden="1">
      <c r="A505" s="37" t="s">
        <v>728</v>
      </c>
      <c r="B505" s="37" t="s">
        <v>488</v>
      </c>
      <c r="C505" s="37" t="s">
        <v>489</v>
      </c>
      <c r="D505" s="41">
        <v>8</v>
      </c>
      <c r="E505" s="43" t="s">
        <v>682</v>
      </c>
      <c r="F505" s="43" t="s">
        <v>701</v>
      </c>
      <c r="G505" s="43" t="s">
        <v>171</v>
      </c>
      <c r="H505" s="37" t="s">
        <v>49</v>
      </c>
      <c r="I505" s="39">
        <v>46227.792141203703</v>
      </c>
    </row>
    <row r="506" spans="1:9" ht="41.4" hidden="1">
      <c r="A506" s="37" t="s">
        <v>728</v>
      </c>
      <c r="B506" s="37" t="s">
        <v>491</v>
      </c>
      <c r="C506" s="37" t="s">
        <v>492</v>
      </c>
      <c r="D506" s="41">
        <v>7.24</v>
      </c>
      <c r="E506" s="43" t="s">
        <v>683</v>
      </c>
      <c r="F506" s="43" t="s">
        <v>701</v>
      </c>
      <c r="G506" s="43" t="s">
        <v>171</v>
      </c>
      <c r="H506" s="37" t="s">
        <v>49</v>
      </c>
      <c r="I506" s="39">
        <v>46227.792141203703</v>
      </c>
    </row>
    <row r="507" spans="1:9" ht="41.4" hidden="1">
      <c r="A507" s="37" t="s">
        <v>728</v>
      </c>
      <c r="B507" s="37" t="s">
        <v>496</v>
      </c>
      <c r="C507" s="37" t="s">
        <v>497</v>
      </c>
      <c r="D507" s="41">
        <v>7.75</v>
      </c>
      <c r="E507" s="43" t="s">
        <v>683</v>
      </c>
      <c r="F507" s="43" t="s">
        <v>701</v>
      </c>
      <c r="G507" s="43" t="s">
        <v>171</v>
      </c>
      <c r="H507" s="37" t="s">
        <v>49</v>
      </c>
      <c r="I507" s="39">
        <v>46227.792141203703</v>
      </c>
    </row>
    <row r="508" spans="1:9" ht="41.4" hidden="1">
      <c r="A508" s="37" t="s">
        <v>728</v>
      </c>
      <c r="B508" s="37" t="s">
        <v>500</v>
      </c>
      <c r="C508" s="37" t="s">
        <v>501</v>
      </c>
      <c r="D508" s="41">
        <v>7.99</v>
      </c>
      <c r="E508" s="43" t="s">
        <v>683</v>
      </c>
      <c r="F508" s="43" t="s">
        <v>701</v>
      </c>
      <c r="G508" s="43" t="s">
        <v>171</v>
      </c>
      <c r="H508" s="37" t="s">
        <v>49</v>
      </c>
      <c r="I508" s="39">
        <v>46227.792141203703</v>
      </c>
    </row>
    <row r="509" spans="1:9" ht="41.4" hidden="1">
      <c r="A509" s="37" t="s">
        <v>728</v>
      </c>
      <c r="B509" s="37" t="s">
        <v>504</v>
      </c>
      <c r="C509" s="37" t="s">
        <v>505</v>
      </c>
      <c r="D509" s="41">
        <v>7.5</v>
      </c>
      <c r="E509" s="43" t="s">
        <v>684</v>
      </c>
      <c r="F509" s="43" t="s">
        <v>701</v>
      </c>
      <c r="G509" s="43" t="s">
        <v>171</v>
      </c>
      <c r="H509" s="37" t="s">
        <v>49</v>
      </c>
      <c r="I509" s="39">
        <v>46227.792141203703</v>
      </c>
    </row>
    <row r="510" spans="1:9" ht="41.4" hidden="1">
      <c r="A510" s="37" t="s">
        <v>728</v>
      </c>
      <c r="B510" s="37" t="s">
        <v>509</v>
      </c>
      <c r="C510" s="37" t="s">
        <v>510</v>
      </c>
      <c r="D510" s="41">
        <v>3.46</v>
      </c>
      <c r="E510" s="43" t="s">
        <v>683</v>
      </c>
      <c r="F510" s="43" t="s">
        <v>701</v>
      </c>
      <c r="G510" s="43" t="s">
        <v>171</v>
      </c>
      <c r="H510" s="37" t="s">
        <v>49</v>
      </c>
      <c r="I510" s="39">
        <v>46227.792141203703</v>
      </c>
    </row>
    <row r="511" spans="1:9" ht="41.4" hidden="1">
      <c r="A511" s="37" t="s">
        <v>728</v>
      </c>
      <c r="B511" s="37" t="s">
        <v>513</v>
      </c>
      <c r="C511" s="37" t="s">
        <v>514</v>
      </c>
      <c r="D511" s="41">
        <v>7</v>
      </c>
      <c r="E511" s="43" t="s">
        <v>684</v>
      </c>
      <c r="F511" s="43" t="s">
        <v>701</v>
      </c>
      <c r="G511" s="43" t="s">
        <v>171</v>
      </c>
      <c r="H511" s="37" t="s">
        <v>49</v>
      </c>
      <c r="I511" s="39">
        <v>46227.792141203703</v>
      </c>
    </row>
    <row r="512" spans="1:9" ht="41.4" hidden="1">
      <c r="A512" s="37" t="s">
        <v>728</v>
      </c>
      <c r="B512" s="37" t="s">
        <v>517</v>
      </c>
      <c r="C512" s="37" t="s">
        <v>518</v>
      </c>
      <c r="D512" s="41">
        <v>7.49</v>
      </c>
      <c r="E512" s="43" t="s">
        <v>683</v>
      </c>
      <c r="F512" s="43" t="s">
        <v>701</v>
      </c>
      <c r="G512" s="43" t="s">
        <v>171</v>
      </c>
      <c r="H512" s="37" t="s">
        <v>49</v>
      </c>
      <c r="I512" s="39">
        <v>46227.792141203703</v>
      </c>
    </row>
    <row r="513" spans="1:9" ht="41.4" hidden="1">
      <c r="A513" s="37" t="s">
        <v>728</v>
      </c>
      <c r="B513" s="37" t="s">
        <v>520</v>
      </c>
      <c r="C513" s="37" t="s">
        <v>521</v>
      </c>
      <c r="D513" s="41">
        <v>6.99</v>
      </c>
      <c r="E513" s="43" t="s">
        <v>683</v>
      </c>
      <c r="F513" s="43" t="s">
        <v>701</v>
      </c>
      <c r="G513" s="43" t="s">
        <v>171</v>
      </c>
      <c r="H513" s="37" t="s">
        <v>49</v>
      </c>
      <c r="I513" s="39">
        <v>46227.792141203703</v>
      </c>
    </row>
    <row r="514" spans="1:9" ht="27.6" hidden="1">
      <c r="A514" s="37" t="s">
        <v>729</v>
      </c>
      <c r="B514" s="37" t="s">
        <v>483</v>
      </c>
      <c r="C514" s="37" t="s">
        <v>484</v>
      </c>
      <c r="D514" s="41">
        <v>9</v>
      </c>
      <c r="E514" s="43" t="s">
        <v>682</v>
      </c>
      <c r="F514" s="43" t="s">
        <v>722</v>
      </c>
      <c r="G514" s="43" t="s">
        <v>171</v>
      </c>
      <c r="H514" s="37" t="s">
        <v>49</v>
      </c>
      <c r="I514" s="39">
        <v>46227.79215277778</v>
      </c>
    </row>
    <row r="515" spans="1:9" ht="27.6" hidden="1">
      <c r="A515" s="37" t="s">
        <v>729</v>
      </c>
      <c r="B515" s="37" t="s">
        <v>488</v>
      </c>
      <c r="C515" s="37" t="s">
        <v>489</v>
      </c>
      <c r="D515" s="41">
        <v>8</v>
      </c>
      <c r="E515" s="43" t="s">
        <v>682</v>
      </c>
      <c r="F515" s="43" t="s">
        <v>722</v>
      </c>
      <c r="G515" s="43" t="s">
        <v>171</v>
      </c>
      <c r="H515" s="37" t="s">
        <v>49</v>
      </c>
      <c r="I515" s="39">
        <v>46227.79215277778</v>
      </c>
    </row>
    <row r="516" spans="1:9" ht="27.6" hidden="1">
      <c r="A516" s="37" t="s">
        <v>729</v>
      </c>
      <c r="B516" s="37" t="s">
        <v>491</v>
      </c>
      <c r="C516" s="37" t="s">
        <v>492</v>
      </c>
      <c r="D516" s="41">
        <v>7.31</v>
      </c>
      <c r="E516" s="43" t="s">
        <v>683</v>
      </c>
      <c r="F516" s="43" t="s">
        <v>722</v>
      </c>
      <c r="G516" s="43" t="s">
        <v>171</v>
      </c>
      <c r="H516" s="37" t="s">
        <v>49</v>
      </c>
      <c r="I516" s="39">
        <v>46227.79215277778</v>
      </c>
    </row>
    <row r="517" spans="1:9" ht="27.6" hidden="1">
      <c r="A517" s="37" t="s">
        <v>729</v>
      </c>
      <c r="B517" s="37" t="s">
        <v>496</v>
      </c>
      <c r="C517" s="37" t="s">
        <v>497</v>
      </c>
      <c r="D517" s="41">
        <v>7.77</v>
      </c>
      <c r="E517" s="43" t="s">
        <v>683</v>
      </c>
      <c r="F517" s="43" t="s">
        <v>722</v>
      </c>
      <c r="G517" s="43" t="s">
        <v>171</v>
      </c>
      <c r="H517" s="37" t="s">
        <v>49</v>
      </c>
      <c r="I517" s="39">
        <v>46227.79215277778</v>
      </c>
    </row>
    <row r="518" spans="1:9" ht="27.6" hidden="1">
      <c r="A518" s="37" t="s">
        <v>729</v>
      </c>
      <c r="B518" s="37" t="s">
        <v>500</v>
      </c>
      <c r="C518" s="37" t="s">
        <v>501</v>
      </c>
      <c r="D518" s="41">
        <v>8.0399999999999991</v>
      </c>
      <c r="E518" s="43" t="s">
        <v>683</v>
      </c>
      <c r="F518" s="43" t="s">
        <v>722</v>
      </c>
      <c r="G518" s="43" t="s">
        <v>171</v>
      </c>
      <c r="H518" s="37" t="s">
        <v>49</v>
      </c>
      <c r="I518" s="39">
        <v>46227.79215277778</v>
      </c>
    </row>
    <row r="519" spans="1:9" ht="27.6" hidden="1">
      <c r="A519" s="37" t="s">
        <v>729</v>
      </c>
      <c r="B519" s="37" t="s">
        <v>504</v>
      </c>
      <c r="C519" s="37" t="s">
        <v>505</v>
      </c>
      <c r="D519" s="41">
        <v>7.5</v>
      </c>
      <c r="E519" s="43" t="s">
        <v>684</v>
      </c>
      <c r="F519" s="43" t="s">
        <v>722</v>
      </c>
      <c r="G519" s="43" t="s">
        <v>171</v>
      </c>
      <c r="H519" s="37" t="s">
        <v>49</v>
      </c>
      <c r="I519" s="39">
        <v>46227.79215277778</v>
      </c>
    </row>
    <row r="520" spans="1:9" ht="41.4" hidden="1">
      <c r="A520" s="37" t="s">
        <v>729</v>
      </c>
      <c r="B520" s="37" t="s">
        <v>509</v>
      </c>
      <c r="C520" s="37" t="s">
        <v>510</v>
      </c>
      <c r="D520" s="41">
        <v>8</v>
      </c>
      <c r="E520" s="43" t="s">
        <v>776</v>
      </c>
      <c r="F520" s="43" t="s">
        <v>722</v>
      </c>
      <c r="G520" s="43" t="s">
        <v>171</v>
      </c>
      <c r="H520" s="37" t="s">
        <v>49</v>
      </c>
      <c r="I520" s="39">
        <v>46228.576238425929</v>
      </c>
    </row>
    <row r="521" spans="1:9" ht="27.6" hidden="1">
      <c r="A521" s="37" t="s">
        <v>729</v>
      </c>
      <c r="B521" s="37" t="s">
        <v>513</v>
      </c>
      <c r="C521" s="37" t="s">
        <v>514</v>
      </c>
      <c r="D521" s="41">
        <v>7</v>
      </c>
      <c r="E521" s="43" t="s">
        <v>684</v>
      </c>
      <c r="F521" s="43" t="s">
        <v>722</v>
      </c>
      <c r="G521" s="43" t="s">
        <v>171</v>
      </c>
      <c r="H521" s="37" t="s">
        <v>49</v>
      </c>
      <c r="I521" s="39">
        <v>46227.79215277778</v>
      </c>
    </row>
    <row r="522" spans="1:9" ht="27.6" hidden="1">
      <c r="A522" s="37" t="s">
        <v>729</v>
      </c>
      <c r="B522" s="37" t="s">
        <v>517</v>
      </c>
      <c r="C522" s="37" t="s">
        <v>518</v>
      </c>
      <c r="D522" s="41">
        <v>7.54</v>
      </c>
      <c r="E522" s="43" t="s">
        <v>683</v>
      </c>
      <c r="F522" s="43" t="s">
        <v>722</v>
      </c>
      <c r="G522" s="43" t="s">
        <v>171</v>
      </c>
      <c r="H522" s="37" t="s">
        <v>49</v>
      </c>
      <c r="I522" s="39">
        <v>46227.79215277778</v>
      </c>
    </row>
    <row r="523" spans="1:9" ht="27.6" hidden="1">
      <c r="A523" s="37" t="s">
        <v>729</v>
      </c>
      <c r="B523" s="37" t="s">
        <v>520</v>
      </c>
      <c r="C523" s="37" t="s">
        <v>521</v>
      </c>
      <c r="D523" s="41">
        <v>7.04</v>
      </c>
      <c r="E523" s="43" t="s">
        <v>683</v>
      </c>
      <c r="F523" s="43" t="s">
        <v>722</v>
      </c>
      <c r="G523" s="43" t="s">
        <v>171</v>
      </c>
      <c r="H523" s="37" t="s">
        <v>49</v>
      </c>
      <c r="I523" s="39">
        <v>46227.79215277778</v>
      </c>
    </row>
    <row r="524" spans="1:9" ht="27.6" hidden="1">
      <c r="A524" s="37" t="s">
        <v>730</v>
      </c>
      <c r="B524" s="37" t="s">
        <v>483</v>
      </c>
      <c r="C524" s="37" t="s">
        <v>484</v>
      </c>
      <c r="D524" s="41">
        <v>8.5</v>
      </c>
      <c r="E524" s="43" t="s">
        <v>682</v>
      </c>
      <c r="F524" s="43" t="s">
        <v>753</v>
      </c>
      <c r="G524" s="43" t="s">
        <v>171</v>
      </c>
      <c r="H524" s="37" t="s">
        <v>49</v>
      </c>
      <c r="I524" s="39">
        <v>46227.792164351849</v>
      </c>
    </row>
    <row r="525" spans="1:9" ht="27.6" hidden="1">
      <c r="A525" s="37" t="s">
        <v>730</v>
      </c>
      <c r="B525" s="37" t="s">
        <v>488</v>
      </c>
      <c r="C525" s="37" t="s">
        <v>489</v>
      </c>
      <c r="D525" s="41">
        <v>7.5</v>
      </c>
      <c r="E525" s="43" t="s">
        <v>682</v>
      </c>
      <c r="F525" s="43" t="s">
        <v>753</v>
      </c>
      <c r="G525" s="43" t="s">
        <v>171</v>
      </c>
      <c r="H525" s="37" t="s">
        <v>49</v>
      </c>
      <c r="I525" s="39">
        <v>46227.792164351849</v>
      </c>
    </row>
    <row r="526" spans="1:9" ht="27.6" hidden="1">
      <c r="A526" s="37" t="s">
        <v>730</v>
      </c>
      <c r="B526" s="37" t="s">
        <v>491</v>
      </c>
      <c r="C526" s="37" t="s">
        <v>492</v>
      </c>
      <c r="D526" s="41">
        <v>6.5</v>
      </c>
      <c r="E526" s="43" t="s">
        <v>683</v>
      </c>
      <c r="F526" s="43" t="s">
        <v>753</v>
      </c>
      <c r="G526" s="43" t="s">
        <v>171</v>
      </c>
      <c r="H526" s="37" t="s">
        <v>49</v>
      </c>
      <c r="I526" s="39">
        <v>46227.792164351849</v>
      </c>
    </row>
    <row r="527" spans="1:9" ht="27.6" hidden="1">
      <c r="A527" s="37" t="s">
        <v>730</v>
      </c>
      <c r="B527" s="37" t="s">
        <v>496</v>
      </c>
      <c r="C527" s="37" t="s">
        <v>497</v>
      </c>
      <c r="D527" s="41">
        <v>7</v>
      </c>
      <c r="E527" s="43" t="s">
        <v>683</v>
      </c>
      <c r="F527" s="43" t="s">
        <v>753</v>
      </c>
      <c r="G527" s="43" t="s">
        <v>171</v>
      </c>
      <c r="H527" s="37" t="s">
        <v>49</v>
      </c>
      <c r="I527" s="39">
        <v>46227.792164351849</v>
      </c>
    </row>
    <row r="528" spans="1:9" ht="27.6" hidden="1">
      <c r="A528" s="37" t="s">
        <v>730</v>
      </c>
      <c r="B528" s="37" t="s">
        <v>500</v>
      </c>
      <c r="C528" s="37" t="s">
        <v>501</v>
      </c>
      <c r="D528" s="41">
        <v>7.5</v>
      </c>
      <c r="E528" s="43" t="s">
        <v>683</v>
      </c>
      <c r="F528" s="43" t="s">
        <v>753</v>
      </c>
      <c r="G528" s="43" t="s">
        <v>171</v>
      </c>
      <c r="H528" s="37" t="s">
        <v>49</v>
      </c>
      <c r="I528" s="39">
        <v>46227.792164351849</v>
      </c>
    </row>
    <row r="529" spans="1:9" ht="27.6" hidden="1">
      <c r="A529" s="37" t="s">
        <v>730</v>
      </c>
      <c r="B529" s="37" t="s">
        <v>504</v>
      </c>
      <c r="C529" s="37" t="s">
        <v>505</v>
      </c>
      <c r="D529" s="41">
        <v>7</v>
      </c>
      <c r="E529" s="43" t="s">
        <v>684</v>
      </c>
      <c r="F529" s="43" t="s">
        <v>753</v>
      </c>
      <c r="G529" s="43" t="s">
        <v>171</v>
      </c>
      <c r="H529" s="37" t="s">
        <v>49</v>
      </c>
      <c r="I529" s="39">
        <v>46227.792164351849</v>
      </c>
    </row>
    <row r="530" spans="1:9" ht="27.6">
      <c r="A530" s="37" t="s">
        <v>730</v>
      </c>
      <c r="B530" s="37" t="s">
        <v>509</v>
      </c>
      <c r="C530" s="37" t="s">
        <v>510</v>
      </c>
      <c r="D530" s="41">
        <v>1</v>
      </c>
      <c r="E530" s="43" t="s">
        <v>683</v>
      </c>
      <c r="F530" s="43" t="s">
        <v>753</v>
      </c>
      <c r="G530" s="43" t="s">
        <v>171</v>
      </c>
      <c r="H530" s="37" t="s">
        <v>49</v>
      </c>
      <c r="I530" s="39">
        <v>46227.792164351849</v>
      </c>
    </row>
    <row r="531" spans="1:9" ht="27.6" hidden="1">
      <c r="A531" s="37" t="s">
        <v>730</v>
      </c>
      <c r="B531" s="37" t="s">
        <v>513</v>
      </c>
      <c r="C531" s="37" t="s">
        <v>514</v>
      </c>
      <c r="D531" s="41">
        <v>6.5</v>
      </c>
      <c r="E531" s="43" t="s">
        <v>684</v>
      </c>
      <c r="F531" s="43" t="s">
        <v>753</v>
      </c>
      <c r="G531" s="43" t="s">
        <v>171</v>
      </c>
      <c r="H531" s="37" t="s">
        <v>49</v>
      </c>
      <c r="I531" s="39">
        <v>46227.792164351849</v>
      </c>
    </row>
    <row r="532" spans="1:9" ht="27.6" hidden="1">
      <c r="A532" s="37" t="s">
        <v>730</v>
      </c>
      <c r="B532" s="37" t="s">
        <v>517</v>
      </c>
      <c r="C532" s="37" t="s">
        <v>518</v>
      </c>
      <c r="D532" s="41">
        <v>7</v>
      </c>
      <c r="E532" s="43" t="s">
        <v>683</v>
      </c>
      <c r="F532" s="43" t="s">
        <v>753</v>
      </c>
      <c r="G532" s="43" t="s">
        <v>171</v>
      </c>
      <c r="H532" s="37" t="s">
        <v>49</v>
      </c>
      <c r="I532" s="39">
        <v>46227.792164351849</v>
      </c>
    </row>
    <row r="533" spans="1:9" ht="27.6" hidden="1">
      <c r="A533" s="37" t="s">
        <v>730</v>
      </c>
      <c r="B533" s="37" t="s">
        <v>520</v>
      </c>
      <c r="C533" s="37" t="s">
        <v>521</v>
      </c>
      <c r="D533" s="41">
        <v>6.5</v>
      </c>
      <c r="E533" s="43" t="s">
        <v>683</v>
      </c>
      <c r="F533" s="43" t="s">
        <v>753</v>
      </c>
      <c r="G533" s="43" t="s">
        <v>171</v>
      </c>
      <c r="H533" s="37" t="s">
        <v>49</v>
      </c>
      <c r="I533" s="39">
        <v>46227.792164351849</v>
      </c>
    </row>
    <row r="534" spans="1:9" ht="41.4" hidden="1">
      <c r="A534" s="37" t="s">
        <v>731</v>
      </c>
      <c r="B534" s="37" t="s">
        <v>483</v>
      </c>
      <c r="C534" s="37" t="s">
        <v>484</v>
      </c>
      <c r="D534" s="41">
        <v>8.5</v>
      </c>
      <c r="E534" s="43" t="s">
        <v>682</v>
      </c>
      <c r="F534" s="43" t="s">
        <v>701</v>
      </c>
      <c r="G534" s="43" t="s">
        <v>171</v>
      </c>
      <c r="H534" s="37" t="s">
        <v>49</v>
      </c>
      <c r="I534" s="39">
        <v>46227.792175925926</v>
      </c>
    </row>
    <row r="535" spans="1:9" ht="41.4" hidden="1">
      <c r="A535" s="37" t="s">
        <v>731</v>
      </c>
      <c r="B535" s="37" t="s">
        <v>488</v>
      </c>
      <c r="C535" s="37" t="s">
        <v>489</v>
      </c>
      <c r="D535" s="41">
        <v>7.5</v>
      </c>
      <c r="E535" s="43" t="s">
        <v>682</v>
      </c>
      <c r="F535" s="43" t="s">
        <v>701</v>
      </c>
      <c r="G535" s="43" t="s">
        <v>171</v>
      </c>
      <c r="H535" s="37" t="s">
        <v>49</v>
      </c>
      <c r="I535" s="39">
        <v>46227.792175925926</v>
      </c>
    </row>
    <row r="536" spans="1:9" ht="41.4" hidden="1">
      <c r="A536" s="37" t="s">
        <v>731</v>
      </c>
      <c r="B536" s="37" t="s">
        <v>491</v>
      </c>
      <c r="C536" s="37" t="s">
        <v>492</v>
      </c>
      <c r="D536" s="41">
        <v>6.64</v>
      </c>
      <c r="E536" s="43" t="s">
        <v>683</v>
      </c>
      <c r="F536" s="43" t="s">
        <v>701</v>
      </c>
      <c r="G536" s="43" t="s">
        <v>171</v>
      </c>
      <c r="H536" s="37" t="s">
        <v>49</v>
      </c>
      <c r="I536" s="39">
        <v>46227.792175925926</v>
      </c>
    </row>
    <row r="537" spans="1:9" ht="41.4" hidden="1">
      <c r="A537" s="37" t="s">
        <v>731</v>
      </c>
      <c r="B537" s="37" t="s">
        <v>496</v>
      </c>
      <c r="C537" s="37" t="s">
        <v>497</v>
      </c>
      <c r="D537" s="41">
        <v>7.05</v>
      </c>
      <c r="E537" s="43" t="s">
        <v>683</v>
      </c>
      <c r="F537" s="43" t="s">
        <v>701</v>
      </c>
      <c r="G537" s="43" t="s">
        <v>171</v>
      </c>
      <c r="H537" s="37" t="s">
        <v>49</v>
      </c>
      <c r="I537" s="39">
        <v>46227.792175925926</v>
      </c>
    </row>
    <row r="538" spans="1:9" ht="41.4" hidden="1">
      <c r="A538" s="37" t="s">
        <v>731</v>
      </c>
      <c r="B538" s="37" t="s">
        <v>500</v>
      </c>
      <c r="C538" s="37" t="s">
        <v>501</v>
      </c>
      <c r="D538" s="41">
        <v>7.59</v>
      </c>
      <c r="E538" s="43" t="s">
        <v>683</v>
      </c>
      <c r="F538" s="43" t="s">
        <v>701</v>
      </c>
      <c r="G538" s="43" t="s">
        <v>171</v>
      </c>
      <c r="H538" s="37" t="s">
        <v>49</v>
      </c>
      <c r="I538" s="39">
        <v>46227.792175925926</v>
      </c>
    </row>
    <row r="539" spans="1:9" ht="41.4" hidden="1">
      <c r="A539" s="37" t="s">
        <v>731</v>
      </c>
      <c r="B539" s="37" t="s">
        <v>504</v>
      </c>
      <c r="C539" s="37" t="s">
        <v>505</v>
      </c>
      <c r="D539" s="41">
        <v>7</v>
      </c>
      <c r="E539" s="43" t="s">
        <v>684</v>
      </c>
      <c r="F539" s="43" t="s">
        <v>701</v>
      </c>
      <c r="G539" s="43" t="s">
        <v>171</v>
      </c>
      <c r="H539" s="37" t="s">
        <v>49</v>
      </c>
      <c r="I539" s="39">
        <v>46227.792175925926</v>
      </c>
    </row>
    <row r="540" spans="1:9" ht="41.4">
      <c r="A540" s="37" t="s">
        <v>731</v>
      </c>
      <c r="B540" s="37" t="s">
        <v>509</v>
      </c>
      <c r="C540" s="37" t="s">
        <v>510</v>
      </c>
      <c r="D540" s="41">
        <v>2</v>
      </c>
      <c r="E540" s="43" t="s">
        <v>683</v>
      </c>
      <c r="F540" s="43" t="s">
        <v>701</v>
      </c>
      <c r="G540" s="43" t="s">
        <v>171</v>
      </c>
      <c r="H540" s="37" t="s">
        <v>49</v>
      </c>
      <c r="I540" s="39">
        <v>46227.792175925926</v>
      </c>
    </row>
    <row r="541" spans="1:9" ht="41.4" hidden="1">
      <c r="A541" s="37" t="s">
        <v>731</v>
      </c>
      <c r="B541" s="37" t="s">
        <v>513</v>
      </c>
      <c r="C541" s="37" t="s">
        <v>514</v>
      </c>
      <c r="D541" s="41">
        <v>6.5</v>
      </c>
      <c r="E541" s="43" t="s">
        <v>684</v>
      </c>
      <c r="F541" s="43" t="s">
        <v>701</v>
      </c>
      <c r="G541" s="43" t="s">
        <v>171</v>
      </c>
      <c r="H541" s="37" t="s">
        <v>49</v>
      </c>
      <c r="I541" s="39">
        <v>46227.792175925926</v>
      </c>
    </row>
    <row r="542" spans="1:9" ht="41.4" hidden="1">
      <c r="A542" s="37" t="s">
        <v>731</v>
      </c>
      <c r="B542" s="37" t="s">
        <v>517</v>
      </c>
      <c r="C542" s="37" t="s">
        <v>518</v>
      </c>
      <c r="D542" s="41">
        <v>7.09</v>
      </c>
      <c r="E542" s="43" t="s">
        <v>683</v>
      </c>
      <c r="F542" s="43" t="s">
        <v>701</v>
      </c>
      <c r="G542" s="43" t="s">
        <v>171</v>
      </c>
      <c r="H542" s="37" t="s">
        <v>49</v>
      </c>
      <c r="I542" s="39">
        <v>46227.792175925926</v>
      </c>
    </row>
    <row r="543" spans="1:9" ht="41.4" hidden="1">
      <c r="A543" s="37" t="s">
        <v>731</v>
      </c>
      <c r="B543" s="37" t="s">
        <v>520</v>
      </c>
      <c r="C543" s="37" t="s">
        <v>521</v>
      </c>
      <c r="D543" s="41">
        <v>6.59</v>
      </c>
      <c r="E543" s="43" t="s">
        <v>683</v>
      </c>
      <c r="F543" s="43" t="s">
        <v>701</v>
      </c>
      <c r="G543" s="43" t="s">
        <v>171</v>
      </c>
      <c r="H543" s="37" t="s">
        <v>49</v>
      </c>
      <c r="I543" s="39">
        <v>46227.792175925926</v>
      </c>
    </row>
    <row r="544" spans="1:9" ht="41.4" hidden="1">
      <c r="A544" s="37" t="s">
        <v>732</v>
      </c>
      <c r="B544" s="37" t="s">
        <v>483</v>
      </c>
      <c r="C544" s="37" t="s">
        <v>484</v>
      </c>
      <c r="D544" s="41">
        <v>8.5</v>
      </c>
      <c r="E544" s="43" t="s">
        <v>682</v>
      </c>
      <c r="F544" s="43" t="s">
        <v>701</v>
      </c>
      <c r="G544" s="43" t="s">
        <v>171</v>
      </c>
      <c r="H544" s="37" t="s">
        <v>49</v>
      </c>
      <c r="I544" s="39">
        <v>46227.792187500003</v>
      </c>
    </row>
    <row r="545" spans="1:9" ht="41.4" hidden="1">
      <c r="A545" s="37" t="s">
        <v>732</v>
      </c>
      <c r="B545" s="37" t="s">
        <v>488</v>
      </c>
      <c r="C545" s="37" t="s">
        <v>489</v>
      </c>
      <c r="D545" s="41">
        <v>7.5</v>
      </c>
      <c r="E545" s="43" t="s">
        <v>682</v>
      </c>
      <c r="F545" s="43" t="s">
        <v>701</v>
      </c>
      <c r="G545" s="43" t="s">
        <v>171</v>
      </c>
      <c r="H545" s="37" t="s">
        <v>49</v>
      </c>
      <c r="I545" s="39">
        <v>46227.792187500003</v>
      </c>
    </row>
    <row r="546" spans="1:9" ht="41.4" hidden="1">
      <c r="A546" s="37" t="s">
        <v>732</v>
      </c>
      <c r="B546" s="37" t="s">
        <v>491</v>
      </c>
      <c r="C546" s="37" t="s">
        <v>492</v>
      </c>
      <c r="D546" s="41">
        <v>6.79</v>
      </c>
      <c r="E546" s="43" t="s">
        <v>683</v>
      </c>
      <c r="F546" s="43" t="s">
        <v>701</v>
      </c>
      <c r="G546" s="43" t="s">
        <v>171</v>
      </c>
      <c r="H546" s="37" t="s">
        <v>49</v>
      </c>
      <c r="I546" s="39">
        <v>46227.792187500003</v>
      </c>
    </row>
    <row r="547" spans="1:9" ht="41.4" hidden="1">
      <c r="A547" s="37" t="s">
        <v>732</v>
      </c>
      <c r="B547" s="37" t="s">
        <v>496</v>
      </c>
      <c r="C547" s="37" t="s">
        <v>497</v>
      </c>
      <c r="D547" s="41">
        <v>7.1</v>
      </c>
      <c r="E547" s="43" t="s">
        <v>683</v>
      </c>
      <c r="F547" s="43" t="s">
        <v>701</v>
      </c>
      <c r="G547" s="43" t="s">
        <v>171</v>
      </c>
      <c r="H547" s="37" t="s">
        <v>49</v>
      </c>
      <c r="I547" s="39">
        <v>46227.792187500003</v>
      </c>
    </row>
    <row r="548" spans="1:9" ht="41.4" hidden="1">
      <c r="A548" s="37" t="s">
        <v>732</v>
      </c>
      <c r="B548" s="37" t="s">
        <v>500</v>
      </c>
      <c r="C548" s="37" t="s">
        <v>501</v>
      </c>
      <c r="D548" s="41">
        <v>7.69</v>
      </c>
      <c r="E548" s="43" t="s">
        <v>683</v>
      </c>
      <c r="F548" s="43" t="s">
        <v>701</v>
      </c>
      <c r="G548" s="43" t="s">
        <v>171</v>
      </c>
      <c r="H548" s="37" t="s">
        <v>49</v>
      </c>
      <c r="I548" s="39">
        <v>46227.792187500003</v>
      </c>
    </row>
    <row r="549" spans="1:9" ht="41.4" hidden="1">
      <c r="A549" s="37" t="s">
        <v>732</v>
      </c>
      <c r="B549" s="37" t="s">
        <v>504</v>
      </c>
      <c r="C549" s="37" t="s">
        <v>505</v>
      </c>
      <c r="D549" s="41">
        <v>7</v>
      </c>
      <c r="E549" s="43" t="s">
        <v>684</v>
      </c>
      <c r="F549" s="43" t="s">
        <v>701</v>
      </c>
      <c r="G549" s="43" t="s">
        <v>171</v>
      </c>
      <c r="H549" s="37" t="s">
        <v>49</v>
      </c>
      <c r="I549" s="39">
        <v>46227.792187500003</v>
      </c>
    </row>
    <row r="550" spans="1:9" ht="41.4">
      <c r="A550" s="37" t="s">
        <v>732</v>
      </c>
      <c r="B550" s="37" t="s">
        <v>509</v>
      </c>
      <c r="C550" s="37" t="s">
        <v>510</v>
      </c>
      <c r="D550" s="41">
        <v>3</v>
      </c>
      <c r="E550" s="43" t="s">
        <v>683</v>
      </c>
      <c r="F550" s="43" t="s">
        <v>701</v>
      </c>
      <c r="G550" s="43" t="s">
        <v>171</v>
      </c>
      <c r="H550" s="37" t="s">
        <v>49</v>
      </c>
      <c r="I550" s="39">
        <v>46227.792187500003</v>
      </c>
    </row>
    <row r="551" spans="1:9" ht="41.4" hidden="1">
      <c r="A551" s="37" t="s">
        <v>732</v>
      </c>
      <c r="B551" s="37" t="s">
        <v>513</v>
      </c>
      <c r="C551" s="37" t="s">
        <v>514</v>
      </c>
      <c r="D551" s="41">
        <v>6.5</v>
      </c>
      <c r="E551" s="43" t="s">
        <v>684</v>
      </c>
      <c r="F551" s="43" t="s">
        <v>701</v>
      </c>
      <c r="G551" s="43" t="s">
        <v>171</v>
      </c>
      <c r="H551" s="37" t="s">
        <v>49</v>
      </c>
      <c r="I551" s="39">
        <v>46227.792187500003</v>
      </c>
    </row>
    <row r="552" spans="1:9" ht="41.4" hidden="1">
      <c r="A552" s="37" t="s">
        <v>732</v>
      </c>
      <c r="B552" s="37" t="s">
        <v>517</v>
      </c>
      <c r="C552" s="37" t="s">
        <v>518</v>
      </c>
      <c r="D552" s="41">
        <v>7.19</v>
      </c>
      <c r="E552" s="43" t="s">
        <v>683</v>
      </c>
      <c r="F552" s="43" t="s">
        <v>701</v>
      </c>
      <c r="G552" s="43" t="s">
        <v>171</v>
      </c>
      <c r="H552" s="37" t="s">
        <v>49</v>
      </c>
      <c r="I552" s="39">
        <v>46227.792187500003</v>
      </c>
    </row>
    <row r="553" spans="1:9" ht="41.4" hidden="1">
      <c r="A553" s="37" t="s">
        <v>732</v>
      </c>
      <c r="B553" s="37" t="s">
        <v>520</v>
      </c>
      <c r="C553" s="37" t="s">
        <v>521</v>
      </c>
      <c r="D553" s="41">
        <v>6.69</v>
      </c>
      <c r="E553" s="43" t="s">
        <v>683</v>
      </c>
      <c r="F553" s="43" t="s">
        <v>701</v>
      </c>
      <c r="G553" s="43" t="s">
        <v>171</v>
      </c>
      <c r="H553" s="37" t="s">
        <v>49</v>
      </c>
      <c r="I553" s="39">
        <v>46227.792187500003</v>
      </c>
    </row>
    <row r="554" spans="1:9" ht="41.4" hidden="1">
      <c r="A554" s="37" t="s">
        <v>733</v>
      </c>
      <c r="B554" s="37" t="s">
        <v>483</v>
      </c>
      <c r="C554" s="37" t="s">
        <v>484</v>
      </c>
      <c r="D554" s="41">
        <v>8.5</v>
      </c>
      <c r="E554" s="43" t="s">
        <v>682</v>
      </c>
      <c r="F554" s="43" t="s">
        <v>701</v>
      </c>
      <c r="G554" s="43" t="s">
        <v>171</v>
      </c>
      <c r="H554" s="37" t="s">
        <v>49</v>
      </c>
      <c r="I554" s="39">
        <v>46227.792199074072</v>
      </c>
    </row>
    <row r="555" spans="1:9" ht="41.4" hidden="1">
      <c r="A555" s="37" t="s">
        <v>733</v>
      </c>
      <c r="B555" s="37" t="s">
        <v>488</v>
      </c>
      <c r="C555" s="37" t="s">
        <v>489</v>
      </c>
      <c r="D555" s="41">
        <v>7.5</v>
      </c>
      <c r="E555" s="43" t="s">
        <v>682</v>
      </c>
      <c r="F555" s="43" t="s">
        <v>701</v>
      </c>
      <c r="G555" s="43" t="s">
        <v>171</v>
      </c>
      <c r="H555" s="37" t="s">
        <v>49</v>
      </c>
      <c r="I555" s="39">
        <v>46227.792199074072</v>
      </c>
    </row>
    <row r="556" spans="1:9" ht="41.4" hidden="1">
      <c r="A556" s="37" t="s">
        <v>733</v>
      </c>
      <c r="B556" s="37" t="s">
        <v>491</v>
      </c>
      <c r="C556" s="37" t="s">
        <v>492</v>
      </c>
      <c r="D556" s="41">
        <v>6.94</v>
      </c>
      <c r="E556" s="43" t="s">
        <v>683</v>
      </c>
      <c r="F556" s="43" t="s">
        <v>701</v>
      </c>
      <c r="G556" s="43" t="s">
        <v>171</v>
      </c>
      <c r="H556" s="37" t="s">
        <v>49</v>
      </c>
      <c r="I556" s="39">
        <v>46227.792199074072</v>
      </c>
    </row>
    <row r="557" spans="1:9" ht="41.4" hidden="1">
      <c r="A557" s="37" t="s">
        <v>733</v>
      </c>
      <c r="B557" s="37" t="s">
        <v>496</v>
      </c>
      <c r="C557" s="37" t="s">
        <v>497</v>
      </c>
      <c r="D557" s="41">
        <v>7.15</v>
      </c>
      <c r="E557" s="43" t="s">
        <v>683</v>
      </c>
      <c r="F557" s="43" t="s">
        <v>701</v>
      </c>
      <c r="G557" s="43" t="s">
        <v>171</v>
      </c>
      <c r="H557" s="37" t="s">
        <v>49</v>
      </c>
      <c r="I557" s="39">
        <v>46227.792199074072</v>
      </c>
    </row>
    <row r="558" spans="1:9" ht="41.4" hidden="1">
      <c r="A558" s="37" t="s">
        <v>733</v>
      </c>
      <c r="B558" s="37" t="s">
        <v>500</v>
      </c>
      <c r="C558" s="37" t="s">
        <v>501</v>
      </c>
      <c r="D558" s="41">
        <v>7.79</v>
      </c>
      <c r="E558" s="43" t="s">
        <v>683</v>
      </c>
      <c r="F558" s="43" t="s">
        <v>701</v>
      </c>
      <c r="G558" s="43" t="s">
        <v>171</v>
      </c>
      <c r="H558" s="37" t="s">
        <v>49</v>
      </c>
      <c r="I558" s="39">
        <v>46227.792199074072</v>
      </c>
    </row>
    <row r="559" spans="1:9" ht="41.4" hidden="1">
      <c r="A559" s="37" t="s">
        <v>733</v>
      </c>
      <c r="B559" s="37" t="s">
        <v>504</v>
      </c>
      <c r="C559" s="37" t="s">
        <v>505</v>
      </c>
      <c r="D559" s="41">
        <v>7</v>
      </c>
      <c r="E559" s="43" t="s">
        <v>684</v>
      </c>
      <c r="F559" s="43" t="s">
        <v>701</v>
      </c>
      <c r="G559" s="43" t="s">
        <v>171</v>
      </c>
      <c r="H559" s="37" t="s">
        <v>49</v>
      </c>
      <c r="I559" s="39">
        <v>46227.792199074072</v>
      </c>
    </row>
    <row r="560" spans="1:9" ht="41.4">
      <c r="A560" s="37" t="s">
        <v>733</v>
      </c>
      <c r="B560" s="37" t="s">
        <v>509</v>
      </c>
      <c r="C560" s="37" t="s">
        <v>510</v>
      </c>
      <c r="D560" s="41">
        <v>4</v>
      </c>
      <c r="E560" s="43" t="s">
        <v>683</v>
      </c>
      <c r="F560" s="43" t="s">
        <v>701</v>
      </c>
      <c r="G560" s="43" t="s">
        <v>171</v>
      </c>
      <c r="H560" s="37" t="s">
        <v>49</v>
      </c>
      <c r="I560" s="39">
        <v>46227.792199074072</v>
      </c>
    </row>
    <row r="561" spans="1:9" ht="41.4" hidden="1">
      <c r="A561" s="37" t="s">
        <v>733</v>
      </c>
      <c r="B561" s="37" t="s">
        <v>513</v>
      </c>
      <c r="C561" s="37" t="s">
        <v>514</v>
      </c>
      <c r="D561" s="41">
        <v>6.5</v>
      </c>
      <c r="E561" s="43" t="s">
        <v>684</v>
      </c>
      <c r="F561" s="43" t="s">
        <v>701</v>
      </c>
      <c r="G561" s="43" t="s">
        <v>171</v>
      </c>
      <c r="H561" s="37" t="s">
        <v>49</v>
      </c>
      <c r="I561" s="39">
        <v>46227.792199074072</v>
      </c>
    </row>
    <row r="562" spans="1:9" ht="41.4" hidden="1">
      <c r="A562" s="37" t="s">
        <v>733</v>
      </c>
      <c r="B562" s="37" t="s">
        <v>517</v>
      </c>
      <c r="C562" s="37" t="s">
        <v>518</v>
      </c>
      <c r="D562" s="41">
        <v>7.29</v>
      </c>
      <c r="E562" s="43" t="s">
        <v>683</v>
      </c>
      <c r="F562" s="43" t="s">
        <v>701</v>
      </c>
      <c r="G562" s="43" t="s">
        <v>171</v>
      </c>
      <c r="H562" s="37" t="s">
        <v>49</v>
      </c>
      <c r="I562" s="39">
        <v>46227.792199074072</v>
      </c>
    </row>
    <row r="563" spans="1:9" ht="41.4" hidden="1">
      <c r="A563" s="37" t="s">
        <v>733</v>
      </c>
      <c r="B563" s="37" t="s">
        <v>520</v>
      </c>
      <c r="C563" s="37" t="s">
        <v>521</v>
      </c>
      <c r="D563" s="41">
        <v>6.79</v>
      </c>
      <c r="E563" s="43" t="s">
        <v>683</v>
      </c>
      <c r="F563" s="43" t="s">
        <v>701</v>
      </c>
      <c r="G563" s="43" t="s">
        <v>171</v>
      </c>
      <c r="H563" s="37" t="s">
        <v>49</v>
      </c>
      <c r="I563" s="39">
        <v>46227.792199074072</v>
      </c>
    </row>
    <row r="564" spans="1:9" ht="41.4" hidden="1">
      <c r="A564" s="37" t="s">
        <v>734</v>
      </c>
      <c r="B564" s="37" t="s">
        <v>483</v>
      </c>
      <c r="C564" s="37" t="s">
        <v>484</v>
      </c>
      <c r="D564" s="41">
        <v>8.5</v>
      </c>
      <c r="E564" s="43" t="s">
        <v>682</v>
      </c>
      <c r="F564" s="43" t="s">
        <v>701</v>
      </c>
      <c r="G564" s="43" t="s">
        <v>171</v>
      </c>
      <c r="H564" s="37" t="s">
        <v>49</v>
      </c>
      <c r="I564" s="39">
        <v>46227.792210648149</v>
      </c>
    </row>
    <row r="565" spans="1:9" ht="41.4" hidden="1">
      <c r="A565" s="37" t="s">
        <v>734</v>
      </c>
      <c r="B565" s="37" t="s">
        <v>488</v>
      </c>
      <c r="C565" s="37" t="s">
        <v>489</v>
      </c>
      <c r="D565" s="41">
        <v>7.5</v>
      </c>
      <c r="E565" s="43" t="s">
        <v>682</v>
      </c>
      <c r="F565" s="43" t="s">
        <v>701</v>
      </c>
      <c r="G565" s="43" t="s">
        <v>171</v>
      </c>
      <c r="H565" s="37" t="s">
        <v>49</v>
      </c>
      <c r="I565" s="39">
        <v>46227.792210648149</v>
      </c>
    </row>
    <row r="566" spans="1:9" ht="41.4" hidden="1">
      <c r="A566" s="37" t="s">
        <v>734</v>
      </c>
      <c r="B566" s="37" t="s">
        <v>491</v>
      </c>
      <c r="C566" s="37" t="s">
        <v>492</v>
      </c>
      <c r="D566" s="41">
        <v>7.09</v>
      </c>
      <c r="E566" s="43" t="s">
        <v>683</v>
      </c>
      <c r="F566" s="43" t="s">
        <v>701</v>
      </c>
      <c r="G566" s="43" t="s">
        <v>171</v>
      </c>
      <c r="H566" s="37" t="s">
        <v>49</v>
      </c>
      <c r="I566" s="39">
        <v>46227.792210648149</v>
      </c>
    </row>
    <row r="567" spans="1:9" ht="41.4" hidden="1">
      <c r="A567" s="37" t="s">
        <v>734</v>
      </c>
      <c r="B567" s="37" t="s">
        <v>496</v>
      </c>
      <c r="C567" s="37" t="s">
        <v>497</v>
      </c>
      <c r="D567" s="41">
        <v>7.2</v>
      </c>
      <c r="E567" s="43" t="s">
        <v>683</v>
      </c>
      <c r="F567" s="43" t="s">
        <v>701</v>
      </c>
      <c r="G567" s="43" t="s">
        <v>171</v>
      </c>
      <c r="H567" s="37" t="s">
        <v>49</v>
      </c>
      <c r="I567" s="39">
        <v>46227.792210648149</v>
      </c>
    </row>
    <row r="568" spans="1:9" ht="41.4" hidden="1">
      <c r="A568" s="37" t="s">
        <v>734</v>
      </c>
      <c r="B568" s="37" t="s">
        <v>500</v>
      </c>
      <c r="C568" s="37" t="s">
        <v>501</v>
      </c>
      <c r="D568" s="41">
        <v>7.89</v>
      </c>
      <c r="E568" s="43" t="s">
        <v>683</v>
      </c>
      <c r="F568" s="43" t="s">
        <v>701</v>
      </c>
      <c r="G568" s="43" t="s">
        <v>171</v>
      </c>
      <c r="H568" s="37" t="s">
        <v>49</v>
      </c>
      <c r="I568" s="39">
        <v>46227.792210648149</v>
      </c>
    </row>
    <row r="569" spans="1:9" ht="41.4" hidden="1">
      <c r="A569" s="37" t="s">
        <v>734</v>
      </c>
      <c r="B569" s="37" t="s">
        <v>504</v>
      </c>
      <c r="C569" s="37" t="s">
        <v>505</v>
      </c>
      <c r="D569" s="41">
        <v>7</v>
      </c>
      <c r="E569" s="43" t="s">
        <v>684</v>
      </c>
      <c r="F569" s="43" t="s">
        <v>701</v>
      </c>
      <c r="G569" s="43" t="s">
        <v>171</v>
      </c>
      <c r="H569" s="37" t="s">
        <v>49</v>
      </c>
      <c r="I569" s="39">
        <v>46227.792210648149</v>
      </c>
    </row>
    <row r="570" spans="1:9" ht="41.4">
      <c r="A570" s="37" t="s">
        <v>734</v>
      </c>
      <c r="B570" s="37" t="s">
        <v>509</v>
      </c>
      <c r="C570" s="37" t="s">
        <v>510</v>
      </c>
      <c r="D570" s="41">
        <v>5</v>
      </c>
      <c r="E570" s="43" t="s">
        <v>683</v>
      </c>
      <c r="F570" s="43" t="s">
        <v>701</v>
      </c>
      <c r="G570" s="43" t="s">
        <v>171</v>
      </c>
      <c r="H570" s="37" t="s">
        <v>49</v>
      </c>
      <c r="I570" s="39">
        <v>46227.792210648149</v>
      </c>
    </row>
    <row r="571" spans="1:9" ht="41.4" hidden="1">
      <c r="A571" s="37" t="s">
        <v>734</v>
      </c>
      <c r="B571" s="37" t="s">
        <v>513</v>
      </c>
      <c r="C571" s="37" t="s">
        <v>514</v>
      </c>
      <c r="D571" s="41">
        <v>6.5</v>
      </c>
      <c r="E571" s="43" t="s">
        <v>684</v>
      </c>
      <c r="F571" s="43" t="s">
        <v>701</v>
      </c>
      <c r="G571" s="43" t="s">
        <v>171</v>
      </c>
      <c r="H571" s="37" t="s">
        <v>49</v>
      </c>
      <c r="I571" s="39">
        <v>46227.792210648149</v>
      </c>
    </row>
    <row r="572" spans="1:9" ht="41.4" hidden="1">
      <c r="A572" s="37" t="s">
        <v>734</v>
      </c>
      <c r="B572" s="37" t="s">
        <v>517</v>
      </c>
      <c r="C572" s="37" t="s">
        <v>518</v>
      </c>
      <c r="D572" s="41">
        <v>7.39</v>
      </c>
      <c r="E572" s="43" t="s">
        <v>683</v>
      </c>
      <c r="F572" s="43" t="s">
        <v>701</v>
      </c>
      <c r="G572" s="43" t="s">
        <v>171</v>
      </c>
      <c r="H572" s="37" t="s">
        <v>49</v>
      </c>
      <c r="I572" s="39">
        <v>46227.792210648149</v>
      </c>
    </row>
    <row r="573" spans="1:9" ht="41.4" hidden="1">
      <c r="A573" s="37" t="s">
        <v>734</v>
      </c>
      <c r="B573" s="37" t="s">
        <v>520</v>
      </c>
      <c r="C573" s="37" t="s">
        <v>521</v>
      </c>
      <c r="D573" s="41">
        <v>6.89</v>
      </c>
      <c r="E573" s="43" t="s">
        <v>683</v>
      </c>
      <c r="F573" s="43" t="s">
        <v>701</v>
      </c>
      <c r="G573" s="43" t="s">
        <v>171</v>
      </c>
      <c r="H573" s="37" t="s">
        <v>49</v>
      </c>
      <c r="I573" s="39">
        <v>46227.792210648149</v>
      </c>
    </row>
    <row r="574" spans="1:9" ht="27.6" hidden="1">
      <c r="A574" s="37" t="s">
        <v>735</v>
      </c>
      <c r="B574" s="37" t="s">
        <v>483</v>
      </c>
      <c r="C574" s="37" t="s">
        <v>484</v>
      </c>
      <c r="D574" s="41">
        <v>8.5</v>
      </c>
      <c r="E574" s="43" t="s">
        <v>682</v>
      </c>
      <c r="F574" s="43" t="s">
        <v>722</v>
      </c>
      <c r="G574" s="43" t="s">
        <v>171</v>
      </c>
      <c r="H574" s="37" t="s">
        <v>49</v>
      </c>
      <c r="I574" s="39">
        <v>46227.792222222219</v>
      </c>
    </row>
    <row r="575" spans="1:9" ht="27.6" hidden="1">
      <c r="A575" s="37" t="s">
        <v>735</v>
      </c>
      <c r="B575" s="37" t="s">
        <v>488</v>
      </c>
      <c r="C575" s="37" t="s">
        <v>489</v>
      </c>
      <c r="D575" s="41">
        <v>7.5</v>
      </c>
      <c r="E575" s="43" t="s">
        <v>682</v>
      </c>
      <c r="F575" s="43" t="s">
        <v>722</v>
      </c>
      <c r="G575" s="43" t="s">
        <v>171</v>
      </c>
      <c r="H575" s="37" t="s">
        <v>49</v>
      </c>
      <c r="I575" s="39">
        <v>46227.792222222219</v>
      </c>
    </row>
    <row r="576" spans="1:9" ht="27.6" hidden="1">
      <c r="A576" s="37" t="s">
        <v>735</v>
      </c>
      <c r="B576" s="37" t="s">
        <v>491</v>
      </c>
      <c r="C576" s="37" t="s">
        <v>492</v>
      </c>
      <c r="D576" s="41">
        <v>7.16</v>
      </c>
      <c r="E576" s="43" t="s">
        <v>683</v>
      </c>
      <c r="F576" s="43" t="s">
        <v>722</v>
      </c>
      <c r="G576" s="43" t="s">
        <v>171</v>
      </c>
      <c r="H576" s="37" t="s">
        <v>49</v>
      </c>
      <c r="I576" s="39">
        <v>46227.792222222219</v>
      </c>
    </row>
    <row r="577" spans="1:9" ht="27.6" hidden="1">
      <c r="A577" s="37" t="s">
        <v>735</v>
      </c>
      <c r="B577" s="37" t="s">
        <v>496</v>
      </c>
      <c r="C577" s="37" t="s">
        <v>497</v>
      </c>
      <c r="D577" s="41">
        <v>7.22</v>
      </c>
      <c r="E577" s="43" t="s">
        <v>683</v>
      </c>
      <c r="F577" s="43" t="s">
        <v>722</v>
      </c>
      <c r="G577" s="43" t="s">
        <v>171</v>
      </c>
      <c r="H577" s="37" t="s">
        <v>49</v>
      </c>
      <c r="I577" s="39">
        <v>46227.792222222219</v>
      </c>
    </row>
    <row r="578" spans="1:9" ht="27.6" hidden="1">
      <c r="A578" s="37" t="s">
        <v>735</v>
      </c>
      <c r="B578" s="37" t="s">
        <v>500</v>
      </c>
      <c r="C578" s="37" t="s">
        <v>501</v>
      </c>
      <c r="D578" s="41">
        <v>7.94</v>
      </c>
      <c r="E578" s="43" t="s">
        <v>683</v>
      </c>
      <c r="F578" s="43" t="s">
        <v>722</v>
      </c>
      <c r="G578" s="43" t="s">
        <v>171</v>
      </c>
      <c r="H578" s="37" t="s">
        <v>49</v>
      </c>
      <c r="I578" s="39">
        <v>46227.792222222219</v>
      </c>
    </row>
    <row r="579" spans="1:9" ht="27.6" hidden="1">
      <c r="A579" s="37" t="s">
        <v>735</v>
      </c>
      <c r="B579" s="37" t="s">
        <v>504</v>
      </c>
      <c r="C579" s="37" t="s">
        <v>505</v>
      </c>
      <c r="D579" s="41">
        <v>7</v>
      </c>
      <c r="E579" s="43" t="s">
        <v>684</v>
      </c>
      <c r="F579" s="43" t="s">
        <v>722</v>
      </c>
      <c r="G579" s="43" t="s">
        <v>171</v>
      </c>
      <c r="H579" s="37" t="s">
        <v>49</v>
      </c>
      <c r="I579" s="39">
        <v>46227.792222222219</v>
      </c>
    </row>
    <row r="580" spans="1:9" ht="41.4">
      <c r="A580" s="37" t="s">
        <v>735</v>
      </c>
      <c r="B580" s="37" t="s">
        <v>509</v>
      </c>
      <c r="C580" s="37" t="s">
        <v>510</v>
      </c>
      <c r="D580" s="41">
        <v>6.5</v>
      </c>
      <c r="E580" s="43" t="s">
        <v>776</v>
      </c>
      <c r="F580" s="43" t="s">
        <v>722</v>
      </c>
      <c r="G580" s="43" t="s">
        <v>171</v>
      </c>
      <c r="H580" s="37" t="s">
        <v>49</v>
      </c>
      <c r="I580" s="39">
        <v>46228.576238425929</v>
      </c>
    </row>
    <row r="581" spans="1:9" ht="27.6" hidden="1">
      <c r="A581" s="37" t="s">
        <v>735</v>
      </c>
      <c r="B581" s="37" t="s">
        <v>513</v>
      </c>
      <c r="C581" s="37" t="s">
        <v>514</v>
      </c>
      <c r="D581" s="41">
        <v>6.5</v>
      </c>
      <c r="E581" s="43" t="s">
        <v>684</v>
      </c>
      <c r="F581" s="43" t="s">
        <v>722</v>
      </c>
      <c r="G581" s="43" t="s">
        <v>171</v>
      </c>
      <c r="H581" s="37" t="s">
        <v>49</v>
      </c>
      <c r="I581" s="39">
        <v>46227.792222222219</v>
      </c>
    </row>
    <row r="582" spans="1:9" ht="27.6" hidden="1">
      <c r="A582" s="37" t="s">
        <v>735</v>
      </c>
      <c r="B582" s="37" t="s">
        <v>517</v>
      </c>
      <c r="C582" s="37" t="s">
        <v>518</v>
      </c>
      <c r="D582" s="41">
        <v>7.44</v>
      </c>
      <c r="E582" s="43" t="s">
        <v>683</v>
      </c>
      <c r="F582" s="43" t="s">
        <v>722</v>
      </c>
      <c r="G582" s="43" t="s">
        <v>171</v>
      </c>
      <c r="H582" s="37" t="s">
        <v>49</v>
      </c>
      <c r="I582" s="39">
        <v>46227.792222222219</v>
      </c>
    </row>
    <row r="583" spans="1:9" ht="27.6" hidden="1">
      <c r="A583" s="37" t="s">
        <v>735</v>
      </c>
      <c r="B583" s="37" t="s">
        <v>520</v>
      </c>
      <c r="C583" s="37" t="s">
        <v>521</v>
      </c>
      <c r="D583" s="41">
        <v>6.94</v>
      </c>
      <c r="E583" s="43" t="s">
        <v>683</v>
      </c>
      <c r="F583" s="43" t="s">
        <v>722</v>
      </c>
      <c r="G583" s="43" t="s">
        <v>171</v>
      </c>
      <c r="H583" s="37" t="s">
        <v>49</v>
      </c>
      <c r="I583" s="39">
        <v>46227.792222222219</v>
      </c>
    </row>
    <row r="584" spans="1:9" ht="27.6" hidden="1">
      <c r="A584" s="37" t="s">
        <v>736</v>
      </c>
      <c r="B584" s="37" t="s">
        <v>483</v>
      </c>
      <c r="C584" s="37" t="s">
        <v>484</v>
      </c>
      <c r="D584" s="41">
        <v>8.5</v>
      </c>
      <c r="E584" s="43" t="s">
        <v>682</v>
      </c>
      <c r="F584" s="43" t="s">
        <v>753</v>
      </c>
      <c r="G584" s="43" t="s">
        <v>171</v>
      </c>
      <c r="H584" s="37" t="s">
        <v>49</v>
      </c>
      <c r="I584" s="39">
        <v>46227.792233796295</v>
      </c>
    </row>
    <row r="585" spans="1:9" ht="27.6" hidden="1">
      <c r="A585" s="37" t="s">
        <v>736</v>
      </c>
      <c r="B585" s="37" t="s">
        <v>488</v>
      </c>
      <c r="C585" s="37" t="s">
        <v>489</v>
      </c>
      <c r="D585" s="41">
        <v>8</v>
      </c>
      <c r="E585" s="43" t="s">
        <v>682</v>
      </c>
      <c r="F585" s="43" t="s">
        <v>753</v>
      </c>
      <c r="G585" s="43" t="s">
        <v>171</v>
      </c>
      <c r="H585" s="37" t="s">
        <v>49</v>
      </c>
      <c r="I585" s="39">
        <v>46227.792233796295</v>
      </c>
    </row>
    <row r="586" spans="1:9" ht="27.6" hidden="1">
      <c r="A586" s="37" t="s">
        <v>736</v>
      </c>
      <c r="B586" s="37" t="s">
        <v>491</v>
      </c>
      <c r="C586" s="37" t="s">
        <v>492</v>
      </c>
      <c r="D586" s="41">
        <v>6.5</v>
      </c>
      <c r="E586" s="43" t="s">
        <v>683</v>
      </c>
      <c r="F586" s="43" t="s">
        <v>753</v>
      </c>
      <c r="G586" s="43" t="s">
        <v>171</v>
      </c>
      <c r="H586" s="37" t="s">
        <v>49</v>
      </c>
      <c r="I586" s="39">
        <v>46227.792233796295</v>
      </c>
    </row>
    <row r="587" spans="1:9" ht="27.6" hidden="1">
      <c r="A587" s="37" t="s">
        <v>736</v>
      </c>
      <c r="B587" s="37" t="s">
        <v>496</v>
      </c>
      <c r="C587" s="37" t="s">
        <v>497</v>
      </c>
      <c r="D587" s="41">
        <v>7.5</v>
      </c>
      <c r="E587" s="43" t="s">
        <v>683</v>
      </c>
      <c r="F587" s="43" t="s">
        <v>753</v>
      </c>
      <c r="G587" s="43" t="s">
        <v>171</v>
      </c>
      <c r="H587" s="37" t="s">
        <v>49</v>
      </c>
      <c r="I587" s="39">
        <v>46227.792233796295</v>
      </c>
    </row>
    <row r="588" spans="1:9" ht="27.6" hidden="1">
      <c r="A588" s="37" t="s">
        <v>736</v>
      </c>
      <c r="B588" s="37" t="s">
        <v>500</v>
      </c>
      <c r="C588" s="37" t="s">
        <v>501</v>
      </c>
      <c r="D588" s="41">
        <v>7.5</v>
      </c>
      <c r="E588" s="43" t="s">
        <v>683</v>
      </c>
      <c r="F588" s="43" t="s">
        <v>753</v>
      </c>
      <c r="G588" s="43" t="s">
        <v>171</v>
      </c>
      <c r="H588" s="37" t="s">
        <v>49</v>
      </c>
      <c r="I588" s="39">
        <v>46227.792233796295</v>
      </c>
    </row>
    <row r="589" spans="1:9" ht="27.6" hidden="1">
      <c r="A589" s="37" t="s">
        <v>736</v>
      </c>
      <c r="B589" s="37" t="s">
        <v>504</v>
      </c>
      <c r="C589" s="37" t="s">
        <v>505</v>
      </c>
      <c r="D589" s="41">
        <v>7.5</v>
      </c>
      <c r="E589" s="43" t="s">
        <v>684</v>
      </c>
      <c r="F589" s="43" t="s">
        <v>753</v>
      </c>
      <c r="G589" s="43" t="s">
        <v>171</v>
      </c>
      <c r="H589" s="37" t="s">
        <v>49</v>
      </c>
      <c r="I589" s="39">
        <v>46227.792233796295</v>
      </c>
    </row>
    <row r="590" spans="1:9" ht="27.6" hidden="1">
      <c r="A590" s="37" t="s">
        <v>736</v>
      </c>
      <c r="B590" s="37" t="s">
        <v>509</v>
      </c>
      <c r="C590" s="37" t="s">
        <v>510</v>
      </c>
      <c r="D590" s="41">
        <v>1</v>
      </c>
      <c r="E590" s="43" t="s">
        <v>683</v>
      </c>
      <c r="F590" s="43" t="s">
        <v>753</v>
      </c>
      <c r="G590" s="43" t="s">
        <v>171</v>
      </c>
      <c r="H590" s="37" t="s">
        <v>49</v>
      </c>
      <c r="I590" s="39">
        <v>46227.792233796295</v>
      </c>
    </row>
    <row r="591" spans="1:9" ht="27.6" hidden="1">
      <c r="A591" s="37" t="s">
        <v>736</v>
      </c>
      <c r="B591" s="37" t="s">
        <v>513</v>
      </c>
      <c r="C591" s="37" t="s">
        <v>514</v>
      </c>
      <c r="D591" s="41">
        <v>7</v>
      </c>
      <c r="E591" s="43" t="s">
        <v>684</v>
      </c>
      <c r="F591" s="43" t="s">
        <v>753</v>
      </c>
      <c r="G591" s="43" t="s">
        <v>171</v>
      </c>
      <c r="H591" s="37" t="s">
        <v>49</v>
      </c>
      <c r="I591" s="39">
        <v>46227.792233796295</v>
      </c>
    </row>
    <row r="592" spans="1:9" ht="27.6" hidden="1">
      <c r="A592" s="37" t="s">
        <v>736</v>
      </c>
      <c r="B592" s="37" t="s">
        <v>517</v>
      </c>
      <c r="C592" s="37" t="s">
        <v>518</v>
      </c>
      <c r="D592" s="41">
        <v>7</v>
      </c>
      <c r="E592" s="43" t="s">
        <v>683</v>
      </c>
      <c r="F592" s="43" t="s">
        <v>753</v>
      </c>
      <c r="G592" s="43" t="s">
        <v>171</v>
      </c>
      <c r="H592" s="37" t="s">
        <v>49</v>
      </c>
      <c r="I592" s="39">
        <v>46227.792233796295</v>
      </c>
    </row>
    <row r="593" spans="1:9" ht="27.6" hidden="1">
      <c r="A593" s="37" t="s">
        <v>736</v>
      </c>
      <c r="B593" s="37" t="s">
        <v>520</v>
      </c>
      <c r="C593" s="37" t="s">
        <v>521</v>
      </c>
      <c r="D593" s="41">
        <v>6.5</v>
      </c>
      <c r="E593" s="43" t="s">
        <v>683</v>
      </c>
      <c r="F593" s="43" t="s">
        <v>753</v>
      </c>
      <c r="G593" s="43" t="s">
        <v>171</v>
      </c>
      <c r="H593" s="37" t="s">
        <v>49</v>
      </c>
      <c r="I593" s="39">
        <v>46227.792233796295</v>
      </c>
    </row>
    <row r="594" spans="1:9" ht="41.4" hidden="1">
      <c r="A594" s="37" t="s">
        <v>737</v>
      </c>
      <c r="B594" s="37" t="s">
        <v>483</v>
      </c>
      <c r="C594" s="37" t="s">
        <v>484</v>
      </c>
      <c r="D594" s="41">
        <v>8.5</v>
      </c>
      <c r="E594" s="43" t="s">
        <v>682</v>
      </c>
      <c r="F594" s="43" t="s">
        <v>701</v>
      </c>
      <c r="G594" s="43" t="s">
        <v>171</v>
      </c>
      <c r="H594" s="37" t="s">
        <v>49</v>
      </c>
      <c r="I594" s="39">
        <v>46227.792245370372</v>
      </c>
    </row>
    <row r="595" spans="1:9" ht="41.4" hidden="1">
      <c r="A595" s="37" t="s">
        <v>737</v>
      </c>
      <c r="B595" s="37" t="s">
        <v>488</v>
      </c>
      <c r="C595" s="37" t="s">
        <v>489</v>
      </c>
      <c r="D595" s="41">
        <v>8</v>
      </c>
      <c r="E595" s="43" t="s">
        <v>682</v>
      </c>
      <c r="F595" s="43" t="s">
        <v>701</v>
      </c>
      <c r="G595" s="43" t="s">
        <v>171</v>
      </c>
      <c r="H595" s="37" t="s">
        <v>49</v>
      </c>
      <c r="I595" s="39">
        <v>46227.792245370372</v>
      </c>
    </row>
    <row r="596" spans="1:9" ht="41.4" hidden="1">
      <c r="A596" s="37" t="s">
        <v>737</v>
      </c>
      <c r="B596" s="37" t="s">
        <v>491</v>
      </c>
      <c r="C596" s="37" t="s">
        <v>492</v>
      </c>
      <c r="D596" s="41">
        <v>6.64</v>
      </c>
      <c r="E596" s="43" t="s">
        <v>683</v>
      </c>
      <c r="F596" s="43" t="s">
        <v>701</v>
      </c>
      <c r="G596" s="43" t="s">
        <v>171</v>
      </c>
      <c r="H596" s="37" t="s">
        <v>49</v>
      </c>
      <c r="I596" s="39">
        <v>46227.792245370372</v>
      </c>
    </row>
    <row r="597" spans="1:9" ht="41.4" hidden="1">
      <c r="A597" s="37" t="s">
        <v>737</v>
      </c>
      <c r="B597" s="37" t="s">
        <v>496</v>
      </c>
      <c r="C597" s="37" t="s">
        <v>497</v>
      </c>
      <c r="D597" s="41">
        <v>7.55</v>
      </c>
      <c r="E597" s="43" t="s">
        <v>683</v>
      </c>
      <c r="F597" s="43" t="s">
        <v>701</v>
      </c>
      <c r="G597" s="43" t="s">
        <v>171</v>
      </c>
      <c r="H597" s="37" t="s">
        <v>49</v>
      </c>
      <c r="I597" s="39">
        <v>46227.792245370372</v>
      </c>
    </row>
    <row r="598" spans="1:9" ht="41.4" hidden="1">
      <c r="A598" s="37" t="s">
        <v>737</v>
      </c>
      <c r="B598" s="37" t="s">
        <v>500</v>
      </c>
      <c r="C598" s="37" t="s">
        <v>501</v>
      </c>
      <c r="D598" s="41">
        <v>7.59</v>
      </c>
      <c r="E598" s="43" t="s">
        <v>683</v>
      </c>
      <c r="F598" s="43" t="s">
        <v>701</v>
      </c>
      <c r="G598" s="43" t="s">
        <v>171</v>
      </c>
      <c r="H598" s="37" t="s">
        <v>49</v>
      </c>
      <c r="I598" s="39">
        <v>46227.792245370372</v>
      </c>
    </row>
    <row r="599" spans="1:9" ht="41.4" hidden="1">
      <c r="A599" s="37" t="s">
        <v>737</v>
      </c>
      <c r="B599" s="37" t="s">
        <v>504</v>
      </c>
      <c r="C599" s="37" t="s">
        <v>505</v>
      </c>
      <c r="D599" s="41">
        <v>7.5</v>
      </c>
      <c r="E599" s="43" t="s">
        <v>684</v>
      </c>
      <c r="F599" s="43" t="s">
        <v>701</v>
      </c>
      <c r="G599" s="43" t="s">
        <v>171</v>
      </c>
      <c r="H599" s="37" t="s">
        <v>49</v>
      </c>
      <c r="I599" s="39">
        <v>46227.792245370372</v>
      </c>
    </row>
    <row r="600" spans="1:9" ht="41.4" hidden="1">
      <c r="A600" s="37" t="s">
        <v>737</v>
      </c>
      <c r="B600" s="37" t="s">
        <v>509</v>
      </c>
      <c r="C600" s="37" t="s">
        <v>510</v>
      </c>
      <c r="D600" s="41">
        <v>1.46</v>
      </c>
      <c r="E600" s="43" t="s">
        <v>683</v>
      </c>
      <c r="F600" s="43" t="s">
        <v>701</v>
      </c>
      <c r="G600" s="43" t="s">
        <v>171</v>
      </c>
      <c r="H600" s="37" t="s">
        <v>49</v>
      </c>
      <c r="I600" s="39">
        <v>46227.792245370372</v>
      </c>
    </row>
    <row r="601" spans="1:9" ht="41.4" hidden="1">
      <c r="A601" s="37" t="s">
        <v>737</v>
      </c>
      <c r="B601" s="37" t="s">
        <v>513</v>
      </c>
      <c r="C601" s="37" t="s">
        <v>514</v>
      </c>
      <c r="D601" s="41">
        <v>7</v>
      </c>
      <c r="E601" s="43" t="s">
        <v>684</v>
      </c>
      <c r="F601" s="43" t="s">
        <v>701</v>
      </c>
      <c r="G601" s="43" t="s">
        <v>171</v>
      </c>
      <c r="H601" s="37" t="s">
        <v>49</v>
      </c>
      <c r="I601" s="39">
        <v>46227.792245370372</v>
      </c>
    </row>
    <row r="602" spans="1:9" ht="41.4" hidden="1">
      <c r="A602" s="37" t="s">
        <v>737</v>
      </c>
      <c r="B602" s="37" t="s">
        <v>517</v>
      </c>
      <c r="C602" s="37" t="s">
        <v>518</v>
      </c>
      <c r="D602" s="41">
        <v>7.09</v>
      </c>
      <c r="E602" s="43" t="s">
        <v>683</v>
      </c>
      <c r="F602" s="43" t="s">
        <v>701</v>
      </c>
      <c r="G602" s="43" t="s">
        <v>171</v>
      </c>
      <c r="H602" s="37" t="s">
        <v>49</v>
      </c>
      <c r="I602" s="39">
        <v>46227.792245370372</v>
      </c>
    </row>
    <row r="603" spans="1:9" ht="41.4" hidden="1">
      <c r="A603" s="37" t="s">
        <v>737</v>
      </c>
      <c r="B603" s="37" t="s">
        <v>520</v>
      </c>
      <c r="C603" s="37" t="s">
        <v>521</v>
      </c>
      <c r="D603" s="41">
        <v>6.59</v>
      </c>
      <c r="E603" s="43" t="s">
        <v>683</v>
      </c>
      <c r="F603" s="43" t="s">
        <v>701</v>
      </c>
      <c r="G603" s="43" t="s">
        <v>171</v>
      </c>
      <c r="H603" s="37" t="s">
        <v>49</v>
      </c>
      <c r="I603" s="39">
        <v>46227.792245370372</v>
      </c>
    </row>
    <row r="604" spans="1:9" ht="41.4" hidden="1">
      <c r="A604" s="37" t="s">
        <v>738</v>
      </c>
      <c r="B604" s="37" t="s">
        <v>483</v>
      </c>
      <c r="C604" s="37" t="s">
        <v>484</v>
      </c>
      <c r="D604" s="41">
        <v>8.5</v>
      </c>
      <c r="E604" s="43" t="s">
        <v>682</v>
      </c>
      <c r="F604" s="43" t="s">
        <v>701</v>
      </c>
      <c r="G604" s="43" t="s">
        <v>171</v>
      </c>
      <c r="H604" s="37" t="s">
        <v>49</v>
      </c>
      <c r="I604" s="39">
        <v>46227.792256944442</v>
      </c>
    </row>
    <row r="605" spans="1:9" ht="41.4" hidden="1">
      <c r="A605" s="37" t="s">
        <v>738</v>
      </c>
      <c r="B605" s="37" t="s">
        <v>488</v>
      </c>
      <c r="C605" s="37" t="s">
        <v>489</v>
      </c>
      <c r="D605" s="41">
        <v>8</v>
      </c>
      <c r="E605" s="43" t="s">
        <v>682</v>
      </c>
      <c r="F605" s="43" t="s">
        <v>701</v>
      </c>
      <c r="G605" s="43" t="s">
        <v>171</v>
      </c>
      <c r="H605" s="37" t="s">
        <v>49</v>
      </c>
      <c r="I605" s="39">
        <v>46227.792256944442</v>
      </c>
    </row>
    <row r="606" spans="1:9" ht="41.4" hidden="1">
      <c r="A606" s="37" t="s">
        <v>738</v>
      </c>
      <c r="B606" s="37" t="s">
        <v>491</v>
      </c>
      <c r="C606" s="37" t="s">
        <v>492</v>
      </c>
      <c r="D606" s="41">
        <v>6.79</v>
      </c>
      <c r="E606" s="43" t="s">
        <v>683</v>
      </c>
      <c r="F606" s="43" t="s">
        <v>701</v>
      </c>
      <c r="G606" s="43" t="s">
        <v>171</v>
      </c>
      <c r="H606" s="37" t="s">
        <v>49</v>
      </c>
      <c r="I606" s="39">
        <v>46227.792256944442</v>
      </c>
    </row>
    <row r="607" spans="1:9" ht="41.4" hidden="1">
      <c r="A607" s="37" t="s">
        <v>738</v>
      </c>
      <c r="B607" s="37" t="s">
        <v>496</v>
      </c>
      <c r="C607" s="37" t="s">
        <v>497</v>
      </c>
      <c r="D607" s="41">
        <v>7.6</v>
      </c>
      <c r="E607" s="43" t="s">
        <v>683</v>
      </c>
      <c r="F607" s="43" t="s">
        <v>701</v>
      </c>
      <c r="G607" s="43" t="s">
        <v>171</v>
      </c>
      <c r="H607" s="37" t="s">
        <v>49</v>
      </c>
      <c r="I607" s="39">
        <v>46227.792256944442</v>
      </c>
    </row>
    <row r="608" spans="1:9" ht="41.4" hidden="1">
      <c r="A608" s="37" t="s">
        <v>738</v>
      </c>
      <c r="B608" s="37" t="s">
        <v>500</v>
      </c>
      <c r="C608" s="37" t="s">
        <v>501</v>
      </c>
      <c r="D608" s="41">
        <v>7.69</v>
      </c>
      <c r="E608" s="43" t="s">
        <v>683</v>
      </c>
      <c r="F608" s="43" t="s">
        <v>701</v>
      </c>
      <c r="G608" s="43" t="s">
        <v>171</v>
      </c>
      <c r="H608" s="37" t="s">
        <v>49</v>
      </c>
      <c r="I608" s="39">
        <v>46227.792256944442</v>
      </c>
    </row>
    <row r="609" spans="1:9" ht="41.4" hidden="1">
      <c r="A609" s="37" t="s">
        <v>738</v>
      </c>
      <c r="B609" s="37" t="s">
        <v>504</v>
      </c>
      <c r="C609" s="37" t="s">
        <v>505</v>
      </c>
      <c r="D609" s="41">
        <v>7.5</v>
      </c>
      <c r="E609" s="43" t="s">
        <v>684</v>
      </c>
      <c r="F609" s="43" t="s">
        <v>701</v>
      </c>
      <c r="G609" s="43" t="s">
        <v>171</v>
      </c>
      <c r="H609" s="37" t="s">
        <v>49</v>
      </c>
      <c r="I609" s="39">
        <v>46227.792256944442</v>
      </c>
    </row>
    <row r="610" spans="1:9" ht="41.4" hidden="1">
      <c r="A610" s="37" t="s">
        <v>738</v>
      </c>
      <c r="B610" s="37" t="s">
        <v>509</v>
      </c>
      <c r="C610" s="37" t="s">
        <v>510</v>
      </c>
      <c r="D610" s="41">
        <v>1.96</v>
      </c>
      <c r="E610" s="43" t="s">
        <v>683</v>
      </c>
      <c r="F610" s="43" t="s">
        <v>701</v>
      </c>
      <c r="G610" s="43" t="s">
        <v>171</v>
      </c>
      <c r="H610" s="37" t="s">
        <v>49</v>
      </c>
      <c r="I610" s="39">
        <v>46227.792256944442</v>
      </c>
    </row>
    <row r="611" spans="1:9" ht="41.4" hidden="1">
      <c r="A611" s="37" t="s">
        <v>738</v>
      </c>
      <c r="B611" s="37" t="s">
        <v>513</v>
      </c>
      <c r="C611" s="37" t="s">
        <v>514</v>
      </c>
      <c r="D611" s="41">
        <v>7</v>
      </c>
      <c r="E611" s="43" t="s">
        <v>684</v>
      </c>
      <c r="F611" s="43" t="s">
        <v>701</v>
      </c>
      <c r="G611" s="43" t="s">
        <v>171</v>
      </c>
      <c r="H611" s="37" t="s">
        <v>49</v>
      </c>
      <c r="I611" s="39">
        <v>46227.792256944442</v>
      </c>
    </row>
    <row r="612" spans="1:9" ht="41.4" hidden="1">
      <c r="A612" s="37" t="s">
        <v>738</v>
      </c>
      <c r="B612" s="37" t="s">
        <v>517</v>
      </c>
      <c r="C612" s="37" t="s">
        <v>518</v>
      </c>
      <c r="D612" s="41">
        <v>7.19</v>
      </c>
      <c r="E612" s="43" t="s">
        <v>683</v>
      </c>
      <c r="F612" s="43" t="s">
        <v>701</v>
      </c>
      <c r="G612" s="43" t="s">
        <v>171</v>
      </c>
      <c r="H612" s="37" t="s">
        <v>49</v>
      </c>
      <c r="I612" s="39">
        <v>46227.792256944442</v>
      </c>
    </row>
    <row r="613" spans="1:9" ht="41.4" hidden="1">
      <c r="A613" s="37" t="s">
        <v>738</v>
      </c>
      <c r="B613" s="37" t="s">
        <v>520</v>
      </c>
      <c r="C613" s="37" t="s">
        <v>521</v>
      </c>
      <c r="D613" s="41">
        <v>6.69</v>
      </c>
      <c r="E613" s="43" t="s">
        <v>683</v>
      </c>
      <c r="F613" s="43" t="s">
        <v>701</v>
      </c>
      <c r="G613" s="43" t="s">
        <v>171</v>
      </c>
      <c r="H613" s="37" t="s">
        <v>49</v>
      </c>
      <c r="I613" s="39">
        <v>46227.792256944442</v>
      </c>
    </row>
    <row r="614" spans="1:9" ht="41.4" hidden="1">
      <c r="A614" s="37" t="s">
        <v>739</v>
      </c>
      <c r="B614" s="37" t="s">
        <v>483</v>
      </c>
      <c r="C614" s="37" t="s">
        <v>484</v>
      </c>
      <c r="D614" s="41">
        <v>8.5</v>
      </c>
      <c r="E614" s="43" t="s">
        <v>682</v>
      </c>
      <c r="F614" s="43" t="s">
        <v>701</v>
      </c>
      <c r="G614" s="43" t="s">
        <v>171</v>
      </c>
      <c r="H614" s="37" t="s">
        <v>49</v>
      </c>
      <c r="I614" s="39">
        <v>46227.792268518519</v>
      </c>
    </row>
    <row r="615" spans="1:9" ht="41.4" hidden="1">
      <c r="A615" s="37" t="s">
        <v>739</v>
      </c>
      <c r="B615" s="37" t="s">
        <v>488</v>
      </c>
      <c r="C615" s="37" t="s">
        <v>489</v>
      </c>
      <c r="D615" s="41">
        <v>8</v>
      </c>
      <c r="E615" s="43" t="s">
        <v>682</v>
      </c>
      <c r="F615" s="43" t="s">
        <v>701</v>
      </c>
      <c r="G615" s="43" t="s">
        <v>171</v>
      </c>
      <c r="H615" s="37" t="s">
        <v>49</v>
      </c>
      <c r="I615" s="39">
        <v>46227.792268518519</v>
      </c>
    </row>
    <row r="616" spans="1:9" ht="41.4" hidden="1">
      <c r="A616" s="37" t="s">
        <v>739</v>
      </c>
      <c r="B616" s="37" t="s">
        <v>491</v>
      </c>
      <c r="C616" s="37" t="s">
        <v>492</v>
      </c>
      <c r="D616" s="41">
        <v>6.94</v>
      </c>
      <c r="E616" s="43" t="s">
        <v>683</v>
      </c>
      <c r="F616" s="43" t="s">
        <v>701</v>
      </c>
      <c r="G616" s="43" t="s">
        <v>171</v>
      </c>
      <c r="H616" s="37" t="s">
        <v>49</v>
      </c>
      <c r="I616" s="39">
        <v>46227.792268518519</v>
      </c>
    </row>
    <row r="617" spans="1:9" ht="41.4" hidden="1">
      <c r="A617" s="37" t="s">
        <v>739</v>
      </c>
      <c r="B617" s="37" t="s">
        <v>496</v>
      </c>
      <c r="C617" s="37" t="s">
        <v>497</v>
      </c>
      <c r="D617" s="41">
        <v>7.65</v>
      </c>
      <c r="E617" s="43" t="s">
        <v>683</v>
      </c>
      <c r="F617" s="43" t="s">
        <v>701</v>
      </c>
      <c r="G617" s="43" t="s">
        <v>171</v>
      </c>
      <c r="H617" s="37" t="s">
        <v>49</v>
      </c>
      <c r="I617" s="39">
        <v>46227.792268518519</v>
      </c>
    </row>
    <row r="618" spans="1:9" ht="41.4" hidden="1">
      <c r="A618" s="37" t="s">
        <v>739</v>
      </c>
      <c r="B618" s="37" t="s">
        <v>500</v>
      </c>
      <c r="C618" s="37" t="s">
        <v>501</v>
      </c>
      <c r="D618" s="41">
        <v>7.79</v>
      </c>
      <c r="E618" s="43" t="s">
        <v>683</v>
      </c>
      <c r="F618" s="43" t="s">
        <v>701</v>
      </c>
      <c r="G618" s="43" t="s">
        <v>171</v>
      </c>
      <c r="H618" s="37" t="s">
        <v>49</v>
      </c>
      <c r="I618" s="39">
        <v>46227.792268518519</v>
      </c>
    </row>
    <row r="619" spans="1:9" ht="41.4" hidden="1">
      <c r="A619" s="37" t="s">
        <v>739</v>
      </c>
      <c r="B619" s="37" t="s">
        <v>504</v>
      </c>
      <c r="C619" s="37" t="s">
        <v>505</v>
      </c>
      <c r="D619" s="41">
        <v>7.5</v>
      </c>
      <c r="E619" s="43" t="s">
        <v>684</v>
      </c>
      <c r="F619" s="43" t="s">
        <v>701</v>
      </c>
      <c r="G619" s="43" t="s">
        <v>171</v>
      </c>
      <c r="H619" s="37" t="s">
        <v>49</v>
      </c>
      <c r="I619" s="39">
        <v>46227.792268518519</v>
      </c>
    </row>
    <row r="620" spans="1:9" ht="41.4" hidden="1">
      <c r="A620" s="37" t="s">
        <v>739</v>
      </c>
      <c r="B620" s="37" t="s">
        <v>509</v>
      </c>
      <c r="C620" s="37" t="s">
        <v>510</v>
      </c>
      <c r="D620" s="41">
        <v>2.46</v>
      </c>
      <c r="E620" s="43" t="s">
        <v>683</v>
      </c>
      <c r="F620" s="43" t="s">
        <v>701</v>
      </c>
      <c r="G620" s="43" t="s">
        <v>171</v>
      </c>
      <c r="H620" s="37" t="s">
        <v>49</v>
      </c>
      <c r="I620" s="39">
        <v>46227.792268518519</v>
      </c>
    </row>
    <row r="621" spans="1:9" ht="41.4" hidden="1">
      <c r="A621" s="37" t="s">
        <v>739</v>
      </c>
      <c r="B621" s="37" t="s">
        <v>513</v>
      </c>
      <c r="C621" s="37" t="s">
        <v>514</v>
      </c>
      <c r="D621" s="41">
        <v>7</v>
      </c>
      <c r="E621" s="43" t="s">
        <v>684</v>
      </c>
      <c r="F621" s="43" t="s">
        <v>701</v>
      </c>
      <c r="G621" s="43" t="s">
        <v>171</v>
      </c>
      <c r="H621" s="37" t="s">
        <v>49</v>
      </c>
      <c r="I621" s="39">
        <v>46227.792268518519</v>
      </c>
    </row>
    <row r="622" spans="1:9" ht="41.4" hidden="1">
      <c r="A622" s="37" t="s">
        <v>739</v>
      </c>
      <c r="B622" s="37" t="s">
        <v>517</v>
      </c>
      <c r="C622" s="37" t="s">
        <v>518</v>
      </c>
      <c r="D622" s="41">
        <v>7.29</v>
      </c>
      <c r="E622" s="43" t="s">
        <v>683</v>
      </c>
      <c r="F622" s="43" t="s">
        <v>701</v>
      </c>
      <c r="G622" s="43" t="s">
        <v>171</v>
      </c>
      <c r="H622" s="37" t="s">
        <v>49</v>
      </c>
      <c r="I622" s="39">
        <v>46227.792268518519</v>
      </c>
    </row>
    <row r="623" spans="1:9" ht="41.4" hidden="1">
      <c r="A623" s="37" t="s">
        <v>739</v>
      </c>
      <c r="B623" s="37" t="s">
        <v>520</v>
      </c>
      <c r="C623" s="37" t="s">
        <v>521</v>
      </c>
      <c r="D623" s="41">
        <v>6.79</v>
      </c>
      <c r="E623" s="43" t="s">
        <v>683</v>
      </c>
      <c r="F623" s="43" t="s">
        <v>701</v>
      </c>
      <c r="G623" s="43" t="s">
        <v>171</v>
      </c>
      <c r="H623" s="37" t="s">
        <v>49</v>
      </c>
      <c r="I623" s="39">
        <v>46227.792268518519</v>
      </c>
    </row>
    <row r="624" spans="1:9" ht="27.6" hidden="1">
      <c r="A624" s="37" t="s">
        <v>740</v>
      </c>
      <c r="B624" s="37" t="s">
        <v>483</v>
      </c>
      <c r="C624" s="37" t="s">
        <v>484</v>
      </c>
      <c r="D624" s="41">
        <v>8.5</v>
      </c>
      <c r="E624" s="43" t="s">
        <v>682</v>
      </c>
      <c r="F624" s="43" t="s">
        <v>722</v>
      </c>
      <c r="G624" s="43" t="s">
        <v>171</v>
      </c>
      <c r="H624" s="37" t="s">
        <v>49</v>
      </c>
      <c r="I624" s="39">
        <v>46227.792280092595</v>
      </c>
    </row>
    <row r="625" spans="1:9" ht="27.6" hidden="1">
      <c r="A625" s="37" t="s">
        <v>740</v>
      </c>
      <c r="B625" s="37" t="s">
        <v>488</v>
      </c>
      <c r="C625" s="37" t="s">
        <v>489</v>
      </c>
      <c r="D625" s="41">
        <v>8</v>
      </c>
      <c r="E625" s="43" t="s">
        <v>682</v>
      </c>
      <c r="F625" s="43" t="s">
        <v>722</v>
      </c>
      <c r="G625" s="43" t="s">
        <v>171</v>
      </c>
      <c r="H625" s="37" t="s">
        <v>49</v>
      </c>
      <c r="I625" s="39">
        <v>46227.792280092595</v>
      </c>
    </row>
    <row r="626" spans="1:9" ht="27.6" hidden="1">
      <c r="A626" s="37" t="s">
        <v>740</v>
      </c>
      <c r="B626" s="37" t="s">
        <v>491</v>
      </c>
      <c r="C626" s="37" t="s">
        <v>492</v>
      </c>
      <c r="D626" s="41">
        <v>7.01</v>
      </c>
      <c r="E626" s="43" t="s">
        <v>683</v>
      </c>
      <c r="F626" s="43" t="s">
        <v>722</v>
      </c>
      <c r="G626" s="43" t="s">
        <v>171</v>
      </c>
      <c r="H626" s="37" t="s">
        <v>49</v>
      </c>
      <c r="I626" s="39">
        <v>46227.792280092595</v>
      </c>
    </row>
    <row r="627" spans="1:9" ht="27.6" hidden="1">
      <c r="A627" s="37" t="s">
        <v>740</v>
      </c>
      <c r="B627" s="37" t="s">
        <v>496</v>
      </c>
      <c r="C627" s="37" t="s">
        <v>497</v>
      </c>
      <c r="D627" s="41">
        <v>7.67</v>
      </c>
      <c r="E627" s="43" t="s">
        <v>683</v>
      </c>
      <c r="F627" s="43" t="s">
        <v>722</v>
      </c>
      <c r="G627" s="43" t="s">
        <v>171</v>
      </c>
      <c r="H627" s="37" t="s">
        <v>49</v>
      </c>
      <c r="I627" s="39">
        <v>46227.792280092595</v>
      </c>
    </row>
    <row r="628" spans="1:9" ht="27.6" hidden="1">
      <c r="A628" s="37" t="s">
        <v>740</v>
      </c>
      <c r="B628" s="37" t="s">
        <v>500</v>
      </c>
      <c r="C628" s="37" t="s">
        <v>501</v>
      </c>
      <c r="D628" s="41">
        <v>7.84</v>
      </c>
      <c r="E628" s="43" t="s">
        <v>683</v>
      </c>
      <c r="F628" s="43" t="s">
        <v>722</v>
      </c>
      <c r="G628" s="43" t="s">
        <v>171</v>
      </c>
      <c r="H628" s="37" t="s">
        <v>49</v>
      </c>
      <c r="I628" s="39">
        <v>46227.792280092595</v>
      </c>
    </row>
    <row r="629" spans="1:9" ht="27.6" hidden="1">
      <c r="A629" s="37" t="s">
        <v>740</v>
      </c>
      <c r="B629" s="37" t="s">
        <v>504</v>
      </c>
      <c r="C629" s="37" t="s">
        <v>505</v>
      </c>
      <c r="D629" s="41">
        <v>7.5</v>
      </c>
      <c r="E629" s="43" t="s">
        <v>684</v>
      </c>
      <c r="F629" s="43" t="s">
        <v>722</v>
      </c>
      <c r="G629" s="43" t="s">
        <v>171</v>
      </c>
      <c r="H629" s="37" t="s">
        <v>49</v>
      </c>
      <c r="I629" s="39">
        <v>46227.792280092595</v>
      </c>
    </row>
    <row r="630" spans="1:9" ht="41.4" hidden="1">
      <c r="A630" s="37" t="s">
        <v>740</v>
      </c>
      <c r="B630" s="37" t="s">
        <v>509</v>
      </c>
      <c r="C630" s="37" t="s">
        <v>510</v>
      </c>
      <c r="D630" s="41">
        <v>6.5</v>
      </c>
      <c r="E630" s="43" t="s">
        <v>776</v>
      </c>
      <c r="F630" s="43" t="s">
        <v>722</v>
      </c>
      <c r="G630" s="43" t="s">
        <v>171</v>
      </c>
      <c r="H630" s="37" t="s">
        <v>49</v>
      </c>
      <c r="I630" s="39">
        <v>46228.576249999998</v>
      </c>
    </row>
    <row r="631" spans="1:9" ht="27.6" hidden="1">
      <c r="A631" s="37" t="s">
        <v>740</v>
      </c>
      <c r="B631" s="37" t="s">
        <v>513</v>
      </c>
      <c r="C631" s="37" t="s">
        <v>514</v>
      </c>
      <c r="D631" s="41">
        <v>7</v>
      </c>
      <c r="E631" s="43" t="s">
        <v>684</v>
      </c>
      <c r="F631" s="43" t="s">
        <v>722</v>
      </c>
      <c r="G631" s="43" t="s">
        <v>171</v>
      </c>
      <c r="H631" s="37" t="s">
        <v>49</v>
      </c>
      <c r="I631" s="39">
        <v>46227.792280092595</v>
      </c>
    </row>
    <row r="632" spans="1:9" ht="27.6" hidden="1">
      <c r="A632" s="37" t="s">
        <v>740</v>
      </c>
      <c r="B632" s="37" t="s">
        <v>517</v>
      </c>
      <c r="C632" s="37" t="s">
        <v>518</v>
      </c>
      <c r="D632" s="41">
        <v>7.34</v>
      </c>
      <c r="E632" s="43" t="s">
        <v>683</v>
      </c>
      <c r="F632" s="43" t="s">
        <v>722</v>
      </c>
      <c r="G632" s="43" t="s">
        <v>171</v>
      </c>
      <c r="H632" s="37" t="s">
        <v>49</v>
      </c>
      <c r="I632" s="39">
        <v>46227.792280092595</v>
      </c>
    </row>
    <row r="633" spans="1:9" ht="27.6" hidden="1">
      <c r="A633" s="37" t="s">
        <v>740</v>
      </c>
      <c r="B633" s="37" t="s">
        <v>520</v>
      </c>
      <c r="C633" s="37" t="s">
        <v>521</v>
      </c>
      <c r="D633" s="41">
        <v>6.84</v>
      </c>
      <c r="E633" s="43" t="s">
        <v>683</v>
      </c>
      <c r="F633" s="43" t="s">
        <v>722</v>
      </c>
      <c r="G633" s="43" t="s">
        <v>171</v>
      </c>
      <c r="H633" s="37" t="s">
        <v>49</v>
      </c>
      <c r="I633" s="39">
        <v>46227.792280092595</v>
      </c>
    </row>
    <row r="634" spans="1:9" ht="27.6" hidden="1">
      <c r="A634" s="37" t="s">
        <v>741</v>
      </c>
      <c r="B634" s="37" t="s">
        <v>483</v>
      </c>
      <c r="C634" s="37" t="s">
        <v>484</v>
      </c>
      <c r="D634" s="41">
        <v>9</v>
      </c>
      <c r="E634" s="43" t="s">
        <v>682</v>
      </c>
      <c r="F634" s="43" t="s">
        <v>753</v>
      </c>
      <c r="G634" s="43" t="s">
        <v>171</v>
      </c>
      <c r="H634" s="37" t="s">
        <v>49</v>
      </c>
      <c r="I634" s="39">
        <v>46227.792291666665</v>
      </c>
    </row>
    <row r="635" spans="1:9" ht="27.6" hidden="1">
      <c r="A635" s="37" t="s">
        <v>741</v>
      </c>
      <c r="B635" s="37" t="s">
        <v>488</v>
      </c>
      <c r="C635" s="37" t="s">
        <v>489</v>
      </c>
      <c r="D635" s="41">
        <v>9.5</v>
      </c>
      <c r="E635" s="43" t="s">
        <v>682</v>
      </c>
      <c r="F635" s="43" t="s">
        <v>753</v>
      </c>
      <c r="G635" s="43" t="s">
        <v>171</v>
      </c>
      <c r="H635" s="37" t="s">
        <v>49</v>
      </c>
      <c r="I635" s="39">
        <v>46227.792291666665</v>
      </c>
    </row>
    <row r="636" spans="1:9" ht="27.6" hidden="1">
      <c r="A636" s="37" t="s">
        <v>741</v>
      </c>
      <c r="B636" s="37" t="s">
        <v>491</v>
      </c>
      <c r="C636" s="37" t="s">
        <v>492</v>
      </c>
      <c r="D636" s="41">
        <v>9</v>
      </c>
      <c r="E636" s="43" t="s">
        <v>683</v>
      </c>
      <c r="F636" s="43" t="s">
        <v>753</v>
      </c>
      <c r="G636" s="43" t="s">
        <v>171</v>
      </c>
      <c r="H636" s="37" t="s">
        <v>49</v>
      </c>
      <c r="I636" s="39">
        <v>46227.792291666665</v>
      </c>
    </row>
    <row r="637" spans="1:9" ht="27.6" hidden="1">
      <c r="A637" s="37" t="s">
        <v>741</v>
      </c>
      <c r="B637" s="37" t="s">
        <v>496</v>
      </c>
      <c r="C637" s="37" t="s">
        <v>497</v>
      </c>
      <c r="D637" s="41">
        <v>8.5</v>
      </c>
      <c r="E637" s="43" t="s">
        <v>683</v>
      </c>
      <c r="F637" s="43" t="s">
        <v>753</v>
      </c>
      <c r="G637" s="43" t="s">
        <v>171</v>
      </c>
      <c r="H637" s="37" t="s">
        <v>49</v>
      </c>
      <c r="I637" s="39">
        <v>46227.792291666665</v>
      </c>
    </row>
    <row r="638" spans="1:9" ht="27.6" hidden="1">
      <c r="A638" s="37" t="s">
        <v>741</v>
      </c>
      <c r="B638" s="37" t="s">
        <v>500</v>
      </c>
      <c r="C638" s="37" t="s">
        <v>501</v>
      </c>
      <c r="D638" s="41">
        <v>7.5</v>
      </c>
      <c r="E638" s="43" t="s">
        <v>683</v>
      </c>
      <c r="F638" s="43" t="s">
        <v>753</v>
      </c>
      <c r="G638" s="43" t="s">
        <v>171</v>
      </c>
      <c r="H638" s="37" t="s">
        <v>49</v>
      </c>
      <c r="I638" s="39">
        <v>46227.792291666665</v>
      </c>
    </row>
    <row r="639" spans="1:9" ht="27.6" hidden="1">
      <c r="A639" s="37" t="s">
        <v>741</v>
      </c>
      <c r="B639" s="37" t="s">
        <v>504</v>
      </c>
      <c r="C639" s="37" t="s">
        <v>505</v>
      </c>
      <c r="D639" s="41">
        <v>9</v>
      </c>
      <c r="E639" s="43" t="s">
        <v>684</v>
      </c>
      <c r="F639" s="43" t="s">
        <v>753</v>
      </c>
      <c r="G639" s="43" t="s">
        <v>171</v>
      </c>
      <c r="H639" s="37" t="s">
        <v>49</v>
      </c>
      <c r="I639" s="39">
        <v>46227.792291666665</v>
      </c>
    </row>
    <row r="640" spans="1:9" ht="27.6" hidden="1">
      <c r="A640" s="37" t="s">
        <v>741</v>
      </c>
      <c r="B640" s="37" t="s">
        <v>509</v>
      </c>
      <c r="C640" s="37" t="s">
        <v>510</v>
      </c>
      <c r="D640" s="41">
        <v>9</v>
      </c>
      <c r="E640" s="43" t="s">
        <v>683</v>
      </c>
      <c r="F640" s="43" t="s">
        <v>753</v>
      </c>
      <c r="G640" s="43" t="s">
        <v>171</v>
      </c>
      <c r="H640" s="37" t="s">
        <v>49</v>
      </c>
      <c r="I640" s="39">
        <v>46227.792291666665</v>
      </c>
    </row>
    <row r="641" spans="1:9" ht="27.6" hidden="1">
      <c r="A641" s="37" t="s">
        <v>741</v>
      </c>
      <c r="B641" s="37" t="s">
        <v>513</v>
      </c>
      <c r="C641" s="37" t="s">
        <v>514</v>
      </c>
      <c r="D641" s="41">
        <v>9</v>
      </c>
      <c r="E641" s="43" t="s">
        <v>684</v>
      </c>
      <c r="F641" s="43" t="s">
        <v>753</v>
      </c>
      <c r="G641" s="43" t="s">
        <v>171</v>
      </c>
      <c r="H641" s="37" t="s">
        <v>49</v>
      </c>
      <c r="I641" s="39">
        <v>46227.792291666665</v>
      </c>
    </row>
    <row r="642" spans="1:9" ht="27.6" hidden="1">
      <c r="A642" s="37" t="s">
        <v>741</v>
      </c>
      <c r="B642" s="37" t="s">
        <v>517</v>
      </c>
      <c r="C642" s="37" t="s">
        <v>518</v>
      </c>
      <c r="D642" s="41">
        <v>7.5</v>
      </c>
      <c r="E642" s="43" t="s">
        <v>683</v>
      </c>
      <c r="F642" s="43" t="s">
        <v>753</v>
      </c>
      <c r="G642" s="43" t="s">
        <v>171</v>
      </c>
      <c r="H642" s="37" t="s">
        <v>49</v>
      </c>
      <c r="I642" s="39">
        <v>46227.792291666665</v>
      </c>
    </row>
    <row r="643" spans="1:9" ht="27.6" hidden="1">
      <c r="A643" s="37" t="s">
        <v>741</v>
      </c>
      <c r="B643" s="37" t="s">
        <v>520</v>
      </c>
      <c r="C643" s="37" t="s">
        <v>521</v>
      </c>
      <c r="D643" s="41">
        <v>7</v>
      </c>
      <c r="E643" s="43" t="s">
        <v>683</v>
      </c>
      <c r="F643" s="43" t="s">
        <v>753</v>
      </c>
      <c r="G643" s="43" t="s">
        <v>171</v>
      </c>
      <c r="H643" s="37" t="s">
        <v>49</v>
      </c>
      <c r="I643" s="39">
        <v>46227.792291666665</v>
      </c>
    </row>
    <row r="644" spans="1:9" ht="41.4" hidden="1">
      <c r="A644" s="37" t="s">
        <v>742</v>
      </c>
      <c r="B644" s="37" t="s">
        <v>483</v>
      </c>
      <c r="C644" s="37" t="s">
        <v>484</v>
      </c>
      <c r="D644" s="41">
        <v>9</v>
      </c>
      <c r="E644" s="43" t="s">
        <v>682</v>
      </c>
      <c r="F644" s="43" t="s">
        <v>701</v>
      </c>
      <c r="G644" s="43" t="s">
        <v>171</v>
      </c>
      <c r="H644" s="37" t="s">
        <v>49</v>
      </c>
      <c r="I644" s="39">
        <v>46227.792303240742</v>
      </c>
    </row>
    <row r="645" spans="1:9" ht="41.4" hidden="1">
      <c r="A645" s="37" t="s">
        <v>742</v>
      </c>
      <c r="B645" s="37" t="s">
        <v>488</v>
      </c>
      <c r="C645" s="37" t="s">
        <v>489</v>
      </c>
      <c r="D645" s="41">
        <v>9.5</v>
      </c>
      <c r="E645" s="43" t="s">
        <v>682</v>
      </c>
      <c r="F645" s="43" t="s">
        <v>701</v>
      </c>
      <c r="G645" s="43" t="s">
        <v>171</v>
      </c>
      <c r="H645" s="37" t="s">
        <v>49</v>
      </c>
      <c r="I645" s="39">
        <v>46227.792303240742</v>
      </c>
    </row>
    <row r="646" spans="1:9" ht="41.4" hidden="1">
      <c r="A646" s="37" t="s">
        <v>742</v>
      </c>
      <c r="B646" s="37" t="s">
        <v>491</v>
      </c>
      <c r="C646" s="37" t="s">
        <v>492</v>
      </c>
      <c r="D646" s="41">
        <v>9.1300000000000008</v>
      </c>
      <c r="E646" s="43" t="s">
        <v>683</v>
      </c>
      <c r="F646" s="43" t="s">
        <v>701</v>
      </c>
      <c r="G646" s="43" t="s">
        <v>171</v>
      </c>
      <c r="H646" s="37" t="s">
        <v>49</v>
      </c>
      <c r="I646" s="39">
        <v>46227.792303240742</v>
      </c>
    </row>
    <row r="647" spans="1:9" ht="41.4" hidden="1">
      <c r="A647" s="37" t="s">
        <v>742</v>
      </c>
      <c r="B647" s="37" t="s">
        <v>496</v>
      </c>
      <c r="C647" s="37" t="s">
        <v>497</v>
      </c>
      <c r="D647" s="41">
        <v>8.5399999999999991</v>
      </c>
      <c r="E647" s="43" t="s">
        <v>683</v>
      </c>
      <c r="F647" s="43" t="s">
        <v>701</v>
      </c>
      <c r="G647" s="43" t="s">
        <v>171</v>
      </c>
      <c r="H647" s="37" t="s">
        <v>49</v>
      </c>
      <c r="I647" s="39">
        <v>46227.792303240742</v>
      </c>
    </row>
    <row r="648" spans="1:9" ht="41.4" hidden="1">
      <c r="A648" s="37" t="s">
        <v>742</v>
      </c>
      <c r="B648" s="37" t="s">
        <v>500</v>
      </c>
      <c r="C648" s="37" t="s">
        <v>501</v>
      </c>
      <c r="D648" s="41">
        <v>7.58</v>
      </c>
      <c r="E648" s="43" t="s">
        <v>683</v>
      </c>
      <c r="F648" s="43" t="s">
        <v>701</v>
      </c>
      <c r="G648" s="43" t="s">
        <v>171</v>
      </c>
      <c r="H648" s="37" t="s">
        <v>49</v>
      </c>
      <c r="I648" s="39">
        <v>46227.792303240742</v>
      </c>
    </row>
    <row r="649" spans="1:9" ht="41.4" hidden="1">
      <c r="A649" s="37" t="s">
        <v>742</v>
      </c>
      <c r="B649" s="37" t="s">
        <v>504</v>
      </c>
      <c r="C649" s="37" t="s">
        <v>505</v>
      </c>
      <c r="D649" s="41">
        <v>9</v>
      </c>
      <c r="E649" s="43" t="s">
        <v>684</v>
      </c>
      <c r="F649" s="43" t="s">
        <v>701</v>
      </c>
      <c r="G649" s="43" t="s">
        <v>171</v>
      </c>
      <c r="H649" s="37" t="s">
        <v>49</v>
      </c>
      <c r="I649" s="39">
        <v>46227.792303240742</v>
      </c>
    </row>
    <row r="650" spans="1:9" ht="41.4" hidden="1">
      <c r="A650" s="37" t="s">
        <v>742</v>
      </c>
      <c r="B650" s="37" t="s">
        <v>509</v>
      </c>
      <c r="C650" s="37" t="s">
        <v>510</v>
      </c>
      <c r="D650" s="41">
        <v>9.42</v>
      </c>
      <c r="E650" s="43" t="s">
        <v>683</v>
      </c>
      <c r="F650" s="43" t="s">
        <v>701</v>
      </c>
      <c r="G650" s="43" t="s">
        <v>171</v>
      </c>
      <c r="H650" s="37" t="s">
        <v>49</v>
      </c>
      <c r="I650" s="39">
        <v>46227.792303240742</v>
      </c>
    </row>
    <row r="651" spans="1:9" ht="41.4" hidden="1">
      <c r="A651" s="37" t="s">
        <v>742</v>
      </c>
      <c r="B651" s="37" t="s">
        <v>513</v>
      </c>
      <c r="C651" s="37" t="s">
        <v>514</v>
      </c>
      <c r="D651" s="41">
        <v>9</v>
      </c>
      <c r="E651" s="43" t="s">
        <v>684</v>
      </c>
      <c r="F651" s="43" t="s">
        <v>701</v>
      </c>
      <c r="G651" s="43" t="s">
        <v>171</v>
      </c>
      <c r="H651" s="37" t="s">
        <v>49</v>
      </c>
      <c r="I651" s="39">
        <v>46227.792303240742</v>
      </c>
    </row>
    <row r="652" spans="1:9" ht="41.4" hidden="1">
      <c r="A652" s="37" t="s">
        <v>742</v>
      </c>
      <c r="B652" s="37" t="s">
        <v>517</v>
      </c>
      <c r="C652" s="37" t="s">
        <v>518</v>
      </c>
      <c r="D652" s="41">
        <v>7.58</v>
      </c>
      <c r="E652" s="43" t="s">
        <v>683</v>
      </c>
      <c r="F652" s="43" t="s">
        <v>701</v>
      </c>
      <c r="G652" s="43" t="s">
        <v>171</v>
      </c>
      <c r="H652" s="37" t="s">
        <v>49</v>
      </c>
      <c r="I652" s="39">
        <v>46227.792303240742</v>
      </c>
    </row>
    <row r="653" spans="1:9" ht="41.4" hidden="1">
      <c r="A653" s="37" t="s">
        <v>742</v>
      </c>
      <c r="B653" s="37" t="s">
        <v>520</v>
      </c>
      <c r="C653" s="37" t="s">
        <v>521</v>
      </c>
      <c r="D653" s="41">
        <v>7.08</v>
      </c>
      <c r="E653" s="43" t="s">
        <v>683</v>
      </c>
      <c r="F653" s="43" t="s">
        <v>701</v>
      </c>
      <c r="G653" s="43" t="s">
        <v>171</v>
      </c>
      <c r="H653" s="37" t="s">
        <v>49</v>
      </c>
      <c r="I653" s="39">
        <v>46227.792303240742</v>
      </c>
    </row>
    <row r="654" spans="1:9" ht="27.6" hidden="1">
      <c r="A654" s="37" t="s">
        <v>743</v>
      </c>
      <c r="B654" s="37" t="s">
        <v>483</v>
      </c>
      <c r="C654" s="37" t="s">
        <v>484</v>
      </c>
      <c r="D654" s="41">
        <v>9</v>
      </c>
      <c r="E654" s="43" t="s">
        <v>682</v>
      </c>
      <c r="F654" s="43" t="s">
        <v>722</v>
      </c>
      <c r="G654" s="43" t="s">
        <v>171</v>
      </c>
      <c r="H654" s="37" t="s">
        <v>49</v>
      </c>
      <c r="I654" s="39">
        <v>46227.792314814818</v>
      </c>
    </row>
    <row r="655" spans="1:9" ht="27.6" hidden="1">
      <c r="A655" s="37" t="s">
        <v>743</v>
      </c>
      <c r="B655" s="37" t="s">
        <v>488</v>
      </c>
      <c r="C655" s="37" t="s">
        <v>489</v>
      </c>
      <c r="D655" s="41">
        <v>9.5</v>
      </c>
      <c r="E655" s="43" t="s">
        <v>682</v>
      </c>
      <c r="F655" s="43" t="s">
        <v>722</v>
      </c>
      <c r="G655" s="43" t="s">
        <v>171</v>
      </c>
      <c r="H655" s="37" t="s">
        <v>49</v>
      </c>
      <c r="I655" s="39">
        <v>46227.792314814818</v>
      </c>
    </row>
    <row r="656" spans="1:9" ht="27.6" hidden="1">
      <c r="A656" s="37" t="s">
        <v>743</v>
      </c>
      <c r="B656" s="37" t="s">
        <v>491</v>
      </c>
      <c r="C656" s="37" t="s">
        <v>492</v>
      </c>
      <c r="D656" s="41">
        <v>9.1999999999999993</v>
      </c>
      <c r="E656" s="43" t="s">
        <v>683</v>
      </c>
      <c r="F656" s="43" t="s">
        <v>722</v>
      </c>
      <c r="G656" s="43" t="s">
        <v>171</v>
      </c>
      <c r="H656" s="37" t="s">
        <v>49</v>
      </c>
      <c r="I656" s="39">
        <v>46227.792314814818</v>
      </c>
    </row>
    <row r="657" spans="1:9" ht="27.6" hidden="1">
      <c r="A657" s="37" t="s">
        <v>743</v>
      </c>
      <c r="B657" s="37" t="s">
        <v>496</v>
      </c>
      <c r="C657" s="37" t="s">
        <v>497</v>
      </c>
      <c r="D657" s="41">
        <v>8.57</v>
      </c>
      <c r="E657" s="43" t="s">
        <v>683</v>
      </c>
      <c r="F657" s="43" t="s">
        <v>722</v>
      </c>
      <c r="G657" s="43" t="s">
        <v>171</v>
      </c>
      <c r="H657" s="37" t="s">
        <v>49</v>
      </c>
      <c r="I657" s="39">
        <v>46227.792314814818</v>
      </c>
    </row>
    <row r="658" spans="1:9" ht="27.6" hidden="1">
      <c r="A658" s="37" t="s">
        <v>743</v>
      </c>
      <c r="B658" s="37" t="s">
        <v>500</v>
      </c>
      <c r="C658" s="37" t="s">
        <v>501</v>
      </c>
      <c r="D658" s="41">
        <v>7.63</v>
      </c>
      <c r="E658" s="43" t="s">
        <v>683</v>
      </c>
      <c r="F658" s="43" t="s">
        <v>722</v>
      </c>
      <c r="G658" s="43" t="s">
        <v>171</v>
      </c>
      <c r="H658" s="37" t="s">
        <v>49</v>
      </c>
      <c r="I658" s="39">
        <v>46227.792314814818</v>
      </c>
    </row>
    <row r="659" spans="1:9" ht="27.6" hidden="1">
      <c r="A659" s="37" t="s">
        <v>743</v>
      </c>
      <c r="B659" s="37" t="s">
        <v>504</v>
      </c>
      <c r="C659" s="37" t="s">
        <v>505</v>
      </c>
      <c r="D659" s="41">
        <v>9</v>
      </c>
      <c r="E659" s="43" t="s">
        <v>684</v>
      </c>
      <c r="F659" s="43" t="s">
        <v>722</v>
      </c>
      <c r="G659" s="43" t="s">
        <v>171</v>
      </c>
      <c r="H659" s="37" t="s">
        <v>49</v>
      </c>
      <c r="I659" s="39">
        <v>46227.792314814818</v>
      </c>
    </row>
    <row r="660" spans="1:9" ht="41.4" hidden="1">
      <c r="A660" s="37" t="s">
        <v>743</v>
      </c>
      <c r="B660" s="37" t="s">
        <v>509</v>
      </c>
      <c r="C660" s="37" t="s">
        <v>510</v>
      </c>
      <c r="D660" s="41">
        <v>10</v>
      </c>
      <c r="E660" s="43" t="s">
        <v>776</v>
      </c>
      <c r="F660" s="43" t="s">
        <v>722</v>
      </c>
      <c r="G660" s="43" t="s">
        <v>171</v>
      </c>
      <c r="H660" s="37" t="s">
        <v>49</v>
      </c>
      <c r="I660" s="39">
        <v>46228.576249999998</v>
      </c>
    </row>
    <row r="661" spans="1:9" ht="27.6" hidden="1">
      <c r="A661" s="37" t="s">
        <v>743</v>
      </c>
      <c r="B661" s="37" t="s">
        <v>513</v>
      </c>
      <c r="C661" s="37" t="s">
        <v>514</v>
      </c>
      <c r="D661" s="41">
        <v>9</v>
      </c>
      <c r="E661" s="43" t="s">
        <v>684</v>
      </c>
      <c r="F661" s="43" t="s">
        <v>722</v>
      </c>
      <c r="G661" s="43" t="s">
        <v>171</v>
      </c>
      <c r="H661" s="37" t="s">
        <v>49</v>
      </c>
      <c r="I661" s="39">
        <v>46227.792314814818</v>
      </c>
    </row>
    <row r="662" spans="1:9" ht="41.4" hidden="1">
      <c r="A662" s="37" t="s">
        <v>743</v>
      </c>
      <c r="B662" s="37" t="s">
        <v>517</v>
      </c>
      <c r="C662" s="37" t="s">
        <v>518</v>
      </c>
      <c r="D662" s="41">
        <v>8</v>
      </c>
      <c r="E662" s="43" t="s">
        <v>776</v>
      </c>
      <c r="F662" s="43" t="s">
        <v>722</v>
      </c>
      <c r="G662" s="43" t="s">
        <v>171</v>
      </c>
      <c r="H662" s="37" t="s">
        <v>49</v>
      </c>
      <c r="I662" s="39">
        <v>46228.576249999998</v>
      </c>
    </row>
    <row r="663" spans="1:9" ht="41.4" hidden="1">
      <c r="A663" s="37" t="s">
        <v>743</v>
      </c>
      <c r="B663" s="37" t="s">
        <v>520</v>
      </c>
      <c r="C663" s="37" t="s">
        <v>521</v>
      </c>
      <c r="D663" s="41">
        <v>8</v>
      </c>
      <c r="E663" s="43" t="s">
        <v>776</v>
      </c>
      <c r="F663" s="43" t="s">
        <v>722</v>
      </c>
      <c r="G663" s="43" t="s">
        <v>171</v>
      </c>
      <c r="H663" s="37" t="s">
        <v>49</v>
      </c>
      <c r="I663" s="39">
        <v>46228.576249999998</v>
      </c>
    </row>
    <row r="664" spans="1:9">
      <c r="E664" s="35"/>
      <c r="F664" s="35"/>
      <c r="G664" s="35"/>
    </row>
    <row r="665" spans="1:9">
      <c r="E665" s="35"/>
      <c r="F665" s="35"/>
      <c r="G665" s="35"/>
    </row>
    <row r="666" spans="1:9">
      <c r="E666" s="35"/>
      <c r="F666" s="35"/>
      <c r="G666" s="35"/>
    </row>
    <row r="667" spans="1:9">
      <c r="E667" s="35"/>
      <c r="F667" s="35"/>
      <c r="G667" s="35"/>
    </row>
    <row r="668" spans="1:9">
      <c r="E668" s="35"/>
      <c r="F668" s="35"/>
      <c r="G668" s="35"/>
    </row>
    <row r="669" spans="1:9">
      <c r="E669" s="35"/>
      <c r="F669" s="35"/>
      <c r="G669" s="35"/>
    </row>
    <row r="670" spans="1:9">
      <c r="E670" s="35"/>
      <c r="F670" s="35"/>
      <c r="G670" s="35"/>
    </row>
    <row r="671" spans="1:9">
      <c r="E671" s="35"/>
      <c r="F671" s="35"/>
      <c r="G671" s="35"/>
    </row>
    <row r="672" spans="1:9">
      <c r="E672" s="35"/>
      <c r="F672" s="35"/>
      <c r="G672" s="35"/>
    </row>
    <row r="673" spans="5:7">
      <c r="E673" s="35"/>
      <c r="F673" s="35"/>
      <c r="G673" s="35"/>
    </row>
    <row r="674" spans="5:7">
      <c r="E674" s="35"/>
      <c r="F674" s="35"/>
      <c r="G674" s="35"/>
    </row>
    <row r="675" spans="5:7">
      <c r="E675" s="35"/>
      <c r="F675" s="35"/>
      <c r="G675" s="35"/>
    </row>
    <row r="676" spans="5:7">
      <c r="E676" s="35"/>
      <c r="F676" s="35"/>
      <c r="G676" s="35"/>
    </row>
    <row r="677" spans="5:7">
      <c r="E677" s="35"/>
      <c r="F677" s="35"/>
      <c r="G677" s="35"/>
    </row>
    <row r="678" spans="5:7">
      <c r="E678" s="35"/>
      <c r="F678" s="35"/>
      <c r="G678" s="35"/>
    </row>
    <row r="679" spans="5:7">
      <c r="E679" s="35"/>
      <c r="F679" s="35"/>
      <c r="G679" s="35"/>
    </row>
    <row r="680" spans="5:7">
      <c r="E680" s="35"/>
      <c r="F680" s="35"/>
      <c r="G680" s="35"/>
    </row>
    <row r="681" spans="5:7">
      <c r="E681" s="35"/>
      <c r="F681" s="35"/>
      <c r="G681" s="35"/>
    </row>
    <row r="682" spans="5:7">
      <c r="E682" s="35"/>
      <c r="F682" s="35"/>
      <c r="G682" s="35"/>
    </row>
    <row r="683" spans="5:7">
      <c r="E683" s="35"/>
      <c r="F683" s="35"/>
      <c r="G683" s="35"/>
    </row>
    <row r="684" spans="5:7">
      <c r="E684" s="35"/>
      <c r="F684" s="35"/>
      <c r="G684" s="35"/>
    </row>
    <row r="685" spans="5:7">
      <c r="E685" s="35"/>
      <c r="F685" s="35"/>
      <c r="G685" s="35"/>
    </row>
    <row r="686" spans="5:7">
      <c r="E686" s="35"/>
      <c r="F686" s="35"/>
      <c r="G686" s="35"/>
    </row>
    <row r="687" spans="5:7">
      <c r="E687" s="35"/>
      <c r="F687" s="35"/>
      <c r="G687" s="35"/>
    </row>
    <row r="688" spans="5:7">
      <c r="E688" s="35"/>
      <c r="F688" s="35"/>
      <c r="G688" s="35"/>
    </row>
    <row r="689" spans="5:7">
      <c r="E689" s="35"/>
      <c r="F689" s="35"/>
      <c r="G689" s="35"/>
    </row>
    <row r="690" spans="5:7">
      <c r="E690" s="35"/>
      <c r="F690" s="35"/>
      <c r="G690" s="35"/>
    </row>
    <row r="691" spans="5:7">
      <c r="E691" s="35"/>
      <c r="F691" s="35"/>
      <c r="G691" s="35"/>
    </row>
    <row r="692" spans="5:7">
      <c r="E692" s="35"/>
      <c r="F692" s="35"/>
      <c r="G692" s="35"/>
    </row>
    <row r="693" spans="5:7">
      <c r="E693" s="35"/>
      <c r="F693" s="35"/>
      <c r="G693" s="35"/>
    </row>
    <row r="694" spans="5:7">
      <c r="E694" s="35"/>
      <c r="F694" s="35"/>
      <c r="G694" s="35"/>
    </row>
    <row r="695" spans="5:7">
      <c r="E695" s="35"/>
      <c r="F695" s="35"/>
      <c r="G695" s="35"/>
    </row>
    <row r="696" spans="5:7">
      <c r="E696" s="35"/>
      <c r="F696" s="35"/>
      <c r="G696" s="35"/>
    </row>
    <row r="697" spans="5:7">
      <c r="E697" s="35"/>
      <c r="F697" s="35"/>
      <c r="G697" s="35"/>
    </row>
    <row r="698" spans="5:7">
      <c r="E698" s="35"/>
      <c r="F698" s="35"/>
      <c r="G698" s="35"/>
    </row>
    <row r="699" spans="5:7">
      <c r="E699" s="35"/>
      <c r="F699" s="35"/>
      <c r="G699" s="35"/>
    </row>
    <row r="700" spans="5:7">
      <c r="E700" s="35"/>
      <c r="F700" s="35"/>
      <c r="G700" s="35"/>
    </row>
    <row r="701" spans="5:7">
      <c r="E701" s="35"/>
      <c r="F701" s="35"/>
      <c r="G701" s="35"/>
    </row>
    <row r="702" spans="5:7">
      <c r="E702" s="35"/>
      <c r="F702" s="35"/>
      <c r="G702" s="35"/>
    </row>
    <row r="703" spans="5:7">
      <c r="E703" s="35"/>
      <c r="F703" s="35"/>
      <c r="G703" s="35"/>
    </row>
    <row r="704" spans="5:7">
      <c r="E704" s="35"/>
      <c r="F704" s="35"/>
      <c r="G704" s="35"/>
    </row>
    <row r="705" spans="5:7">
      <c r="E705" s="35"/>
      <c r="F705" s="35"/>
      <c r="G705" s="35"/>
    </row>
    <row r="706" spans="5:7">
      <c r="E706" s="35"/>
      <c r="F706" s="35"/>
      <c r="G706" s="35"/>
    </row>
    <row r="707" spans="5:7">
      <c r="E707" s="35"/>
      <c r="F707" s="35"/>
      <c r="G707" s="35"/>
    </row>
    <row r="708" spans="5:7">
      <c r="E708" s="35"/>
      <c r="F708" s="35"/>
      <c r="G708" s="35"/>
    </row>
    <row r="709" spans="5:7">
      <c r="E709" s="35"/>
      <c r="F709" s="35"/>
      <c r="G709" s="35"/>
    </row>
    <row r="710" spans="5:7">
      <c r="E710" s="35"/>
      <c r="F710" s="35"/>
      <c r="G710" s="35"/>
    </row>
    <row r="711" spans="5:7">
      <c r="E711" s="35"/>
      <c r="F711" s="35"/>
      <c r="G711" s="35"/>
    </row>
    <row r="712" spans="5:7">
      <c r="E712" s="35"/>
      <c r="F712" s="35"/>
      <c r="G712" s="35"/>
    </row>
    <row r="713" spans="5:7">
      <c r="E713" s="35"/>
      <c r="F713" s="35"/>
      <c r="G713" s="35"/>
    </row>
    <row r="714" spans="5:7">
      <c r="E714" s="35"/>
      <c r="F714" s="35"/>
      <c r="G714" s="35"/>
    </row>
    <row r="715" spans="5:7">
      <c r="E715" s="35"/>
      <c r="F715" s="35"/>
      <c r="G715" s="35"/>
    </row>
    <row r="716" spans="5:7">
      <c r="E716" s="35"/>
      <c r="F716" s="35"/>
      <c r="G716" s="35"/>
    </row>
    <row r="717" spans="5:7">
      <c r="E717" s="35"/>
      <c r="F717" s="35"/>
      <c r="G717" s="35"/>
    </row>
    <row r="718" spans="5:7">
      <c r="E718" s="35"/>
      <c r="F718" s="35"/>
      <c r="G718" s="35"/>
    </row>
    <row r="719" spans="5:7">
      <c r="E719" s="35"/>
      <c r="F719" s="35"/>
      <c r="G719" s="35"/>
    </row>
    <row r="720" spans="5:7">
      <c r="E720" s="35"/>
      <c r="F720" s="35"/>
      <c r="G720" s="35"/>
    </row>
    <row r="721" spans="5:7">
      <c r="E721" s="35"/>
      <c r="F721" s="35"/>
      <c r="G721" s="35"/>
    </row>
    <row r="722" spans="5:7">
      <c r="E722" s="35"/>
      <c r="F722" s="35"/>
      <c r="G722" s="35"/>
    </row>
    <row r="723" spans="5:7">
      <c r="E723" s="35"/>
      <c r="F723" s="35"/>
      <c r="G723" s="35"/>
    </row>
    <row r="724" spans="5:7">
      <c r="E724" s="35"/>
      <c r="F724" s="35"/>
      <c r="G724" s="35"/>
    </row>
    <row r="725" spans="5:7">
      <c r="E725" s="35"/>
      <c r="F725" s="35"/>
      <c r="G725" s="35"/>
    </row>
    <row r="726" spans="5:7">
      <c r="E726" s="35"/>
      <c r="F726" s="35"/>
      <c r="G726" s="35"/>
    </row>
    <row r="727" spans="5:7">
      <c r="E727" s="35"/>
      <c r="F727" s="35"/>
      <c r="G727" s="35"/>
    </row>
    <row r="728" spans="5:7">
      <c r="E728" s="35"/>
      <c r="F728" s="35"/>
      <c r="G728" s="35"/>
    </row>
    <row r="729" spans="5:7">
      <c r="E729" s="35"/>
      <c r="F729" s="35"/>
      <c r="G729" s="35"/>
    </row>
    <row r="730" spans="5:7">
      <c r="E730" s="35"/>
      <c r="F730" s="35"/>
      <c r="G730" s="35"/>
    </row>
    <row r="731" spans="5:7">
      <c r="E731" s="35"/>
      <c r="F731" s="35"/>
      <c r="G731" s="35"/>
    </row>
    <row r="732" spans="5:7">
      <c r="E732" s="35"/>
      <c r="F732" s="35"/>
      <c r="G732" s="35"/>
    </row>
    <row r="733" spans="5:7">
      <c r="E733" s="35"/>
      <c r="F733" s="35"/>
      <c r="G733" s="35"/>
    </row>
    <row r="734" spans="5:7">
      <c r="E734" s="35"/>
      <c r="F734" s="35"/>
      <c r="G734" s="35"/>
    </row>
    <row r="735" spans="5:7">
      <c r="E735" s="35"/>
      <c r="F735" s="35"/>
      <c r="G735" s="35"/>
    </row>
    <row r="736" spans="5:7">
      <c r="E736" s="35"/>
      <c r="F736" s="35"/>
      <c r="G736" s="35"/>
    </row>
    <row r="737" spans="5:7">
      <c r="E737" s="35"/>
      <c r="F737" s="35"/>
      <c r="G737" s="35"/>
    </row>
    <row r="738" spans="5:7">
      <c r="E738" s="35"/>
      <c r="F738" s="35"/>
      <c r="G738" s="35"/>
    </row>
    <row r="739" spans="5:7">
      <c r="E739" s="35"/>
      <c r="F739" s="35"/>
      <c r="G739" s="35"/>
    </row>
    <row r="740" spans="5:7">
      <c r="E740" s="35"/>
      <c r="F740" s="35"/>
      <c r="G740" s="35"/>
    </row>
    <row r="741" spans="5:7">
      <c r="E741" s="35"/>
      <c r="F741" s="35"/>
      <c r="G741" s="35"/>
    </row>
    <row r="742" spans="5:7">
      <c r="E742" s="35"/>
      <c r="F742" s="35"/>
      <c r="G742" s="35"/>
    </row>
    <row r="743" spans="5:7">
      <c r="E743" s="35"/>
      <c r="F743" s="35"/>
      <c r="G743" s="35"/>
    </row>
    <row r="744" spans="5:7">
      <c r="E744" s="35"/>
      <c r="F744" s="35"/>
      <c r="G744" s="35"/>
    </row>
    <row r="745" spans="5:7">
      <c r="E745" s="35"/>
      <c r="F745" s="35"/>
      <c r="G745" s="35"/>
    </row>
    <row r="746" spans="5:7">
      <c r="E746" s="35"/>
      <c r="F746" s="35"/>
      <c r="G746" s="35"/>
    </row>
    <row r="747" spans="5:7">
      <c r="E747" s="35"/>
      <c r="F747" s="35"/>
      <c r="G747" s="35"/>
    </row>
    <row r="748" spans="5:7">
      <c r="E748" s="35"/>
      <c r="F748" s="35"/>
      <c r="G748" s="35"/>
    </row>
    <row r="749" spans="5:7">
      <c r="E749" s="35"/>
      <c r="F749" s="35"/>
      <c r="G749" s="35"/>
    </row>
    <row r="750" spans="5:7">
      <c r="E750" s="35"/>
      <c r="F750" s="35"/>
      <c r="G750" s="35"/>
    </row>
    <row r="751" spans="5:7">
      <c r="E751" s="35"/>
      <c r="F751" s="35"/>
      <c r="G751" s="35"/>
    </row>
    <row r="752" spans="5:7">
      <c r="E752" s="35"/>
      <c r="F752" s="35"/>
      <c r="G752" s="35"/>
    </row>
    <row r="753" spans="5:7">
      <c r="E753" s="35"/>
      <c r="F753" s="35"/>
      <c r="G753" s="35"/>
    </row>
    <row r="754" spans="5:7">
      <c r="E754" s="35"/>
      <c r="F754" s="35"/>
      <c r="G754" s="35"/>
    </row>
    <row r="755" spans="5:7">
      <c r="E755" s="35"/>
      <c r="F755" s="35"/>
      <c r="G755" s="35"/>
    </row>
    <row r="756" spans="5:7">
      <c r="E756" s="35"/>
      <c r="F756" s="35"/>
      <c r="G756" s="35"/>
    </row>
    <row r="757" spans="5:7">
      <c r="E757" s="35"/>
      <c r="F757" s="35"/>
      <c r="G757" s="35"/>
    </row>
    <row r="758" spans="5:7">
      <c r="E758" s="35"/>
      <c r="F758" s="35"/>
      <c r="G758" s="35"/>
    </row>
    <row r="759" spans="5:7">
      <c r="E759" s="35"/>
      <c r="F759" s="35"/>
      <c r="G759" s="35"/>
    </row>
    <row r="760" spans="5:7">
      <c r="E760" s="35"/>
      <c r="F760" s="35"/>
      <c r="G760" s="35"/>
    </row>
    <row r="761" spans="5:7">
      <c r="E761" s="35"/>
      <c r="F761" s="35"/>
      <c r="G761" s="35"/>
    </row>
    <row r="762" spans="5:7">
      <c r="E762" s="35"/>
      <c r="F762" s="35"/>
      <c r="G762" s="35"/>
    </row>
    <row r="763" spans="5:7">
      <c r="E763" s="35"/>
      <c r="F763" s="35"/>
      <c r="G763" s="35"/>
    </row>
    <row r="764" spans="5:7">
      <c r="E764" s="35"/>
      <c r="F764" s="35"/>
      <c r="G764" s="35"/>
    </row>
    <row r="765" spans="5:7">
      <c r="E765" s="35"/>
      <c r="F765" s="35"/>
      <c r="G765" s="35"/>
    </row>
    <row r="766" spans="5:7">
      <c r="E766" s="35"/>
      <c r="F766" s="35"/>
      <c r="G766" s="35"/>
    </row>
    <row r="767" spans="5:7">
      <c r="E767" s="35"/>
      <c r="F767" s="35"/>
      <c r="G767" s="35"/>
    </row>
    <row r="768" spans="5:7">
      <c r="E768" s="35"/>
      <c r="F768" s="35"/>
      <c r="G768" s="35"/>
    </row>
    <row r="769" spans="5:7">
      <c r="E769" s="35"/>
      <c r="F769" s="35"/>
      <c r="G769" s="35"/>
    </row>
    <row r="770" spans="5:7">
      <c r="E770" s="35"/>
      <c r="F770" s="35"/>
      <c r="G770" s="35"/>
    </row>
    <row r="771" spans="5:7">
      <c r="E771" s="35"/>
      <c r="F771" s="35"/>
      <c r="G771" s="35"/>
    </row>
    <row r="772" spans="5:7">
      <c r="E772" s="35"/>
      <c r="F772" s="35"/>
      <c r="G772" s="35"/>
    </row>
    <row r="773" spans="5:7">
      <c r="E773" s="35"/>
      <c r="F773" s="35"/>
      <c r="G773" s="35"/>
    </row>
    <row r="774" spans="5:7">
      <c r="E774" s="35"/>
      <c r="F774" s="35"/>
      <c r="G774" s="35"/>
    </row>
    <row r="775" spans="5:7">
      <c r="E775" s="35"/>
      <c r="F775" s="35"/>
      <c r="G775" s="35"/>
    </row>
    <row r="776" spans="5:7">
      <c r="E776" s="35"/>
      <c r="F776" s="35"/>
      <c r="G776" s="35"/>
    </row>
    <row r="777" spans="5:7">
      <c r="E777" s="35"/>
      <c r="F777" s="35"/>
      <c r="G777" s="35"/>
    </row>
    <row r="778" spans="5:7">
      <c r="E778" s="35"/>
      <c r="F778" s="35"/>
      <c r="G778" s="35"/>
    </row>
    <row r="779" spans="5:7">
      <c r="E779" s="35"/>
      <c r="F779" s="35"/>
      <c r="G779" s="35"/>
    </row>
    <row r="780" spans="5:7">
      <c r="E780" s="35"/>
      <c r="F780" s="35"/>
      <c r="G780" s="35"/>
    </row>
    <row r="781" spans="5:7">
      <c r="E781" s="35"/>
      <c r="F781" s="35"/>
      <c r="G781" s="35"/>
    </row>
    <row r="782" spans="5:7">
      <c r="E782" s="35"/>
      <c r="F782" s="35"/>
      <c r="G782" s="35"/>
    </row>
    <row r="783" spans="5:7">
      <c r="E783" s="35"/>
      <c r="F783" s="35"/>
      <c r="G783" s="35"/>
    </row>
    <row r="784" spans="5:7">
      <c r="E784" s="35"/>
      <c r="F784" s="35"/>
      <c r="G784" s="35"/>
    </row>
    <row r="785" spans="5:7">
      <c r="E785" s="35"/>
      <c r="F785" s="35"/>
      <c r="G785" s="35"/>
    </row>
    <row r="786" spans="5:7">
      <c r="E786" s="35"/>
      <c r="F786" s="35"/>
      <c r="G786" s="35"/>
    </row>
    <row r="787" spans="5:7">
      <c r="E787" s="35"/>
      <c r="F787" s="35"/>
      <c r="G787" s="35"/>
    </row>
    <row r="788" spans="5:7">
      <c r="E788" s="35"/>
      <c r="F788" s="35"/>
      <c r="G788" s="35"/>
    </row>
    <row r="789" spans="5:7">
      <c r="E789" s="35"/>
      <c r="F789" s="35"/>
      <c r="G789" s="35"/>
    </row>
    <row r="790" spans="5:7">
      <c r="E790" s="35"/>
      <c r="F790" s="35"/>
      <c r="G790" s="35"/>
    </row>
    <row r="791" spans="5:7">
      <c r="E791" s="35"/>
      <c r="F791" s="35"/>
      <c r="G791" s="35"/>
    </row>
    <row r="792" spans="5:7">
      <c r="E792" s="35"/>
      <c r="F792" s="35"/>
      <c r="G792" s="35"/>
    </row>
    <row r="793" spans="5:7">
      <c r="E793" s="35"/>
      <c r="F793" s="35"/>
      <c r="G793" s="35"/>
    </row>
    <row r="794" spans="5:7">
      <c r="E794" s="35"/>
      <c r="F794" s="35"/>
      <c r="G794" s="35"/>
    </row>
    <row r="795" spans="5:7">
      <c r="E795" s="35"/>
      <c r="F795" s="35"/>
      <c r="G795" s="35"/>
    </row>
    <row r="796" spans="5:7">
      <c r="E796" s="35"/>
      <c r="F796" s="35"/>
      <c r="G796" s="35"/>
    </row>
    <row r="797" spans="5:7">
      <c r="E797" s="35"/>
      <c r="F797" s="35"/>
      <c r="G797" s="35"/>
    </row>
    <row r="798" spans="5:7">
      <c r="E798" s="35"/>
      <c r="F798" s="35"/>
      <c r="G798" s="35"/>
    </row>
    <row r="799" spans="5:7">
      <c r="E799" s="35"/>
      <c r="F799" s="35"/>
      <c r="G799" s="35"/>
    </row>
    <row r="800" spans="5:7">
      <c r="E800" s="35"/>
      <c r="F800" s="35"/>
      <c r="G800" s="35"/>
    </row>
    <row r="801" spans="5:7">
      <c r="E801" s="35"/>
      <c r="F801" s="35"/>
      <c r="G801" s="35"/>
    </row>
    <row r="802" spans="5:7">
      <c r="E802" s="35"/>
      <c r="F802" s="35"/>
      <c r="G802" s="35"/>
    </row>
    <row r="803" spans="5:7">
      <c r="E803" s="35"/>
      <c r="F803" s="35"/>
      <c r="G803" s="35"/>
    </row>
    <row r="804" spans="5:7">
      <c r="E804" s="35"/>
      <c r="F804" s="35"/>
      <c r="G804" s="35"/>
    </row>
    <row r="805" spans="5:7">
      <c r="E805" s="35"/>
      <c r="F805" s="35"/>
      <c r="G805" s="35"/>
    </row>
    <row r="806" spans="5:7">
      <c r="E806" s="35"/>
      <c r="F806" s="35"/>
      <c r="G806" s="35"/>
    </row>
    <row r="807" spans="5:7">
      <c r="E807" s="35"/>
      <c r="F807" s="35"/>
      <c r="G807" s="35"/>
    </row>
    <row r="808" spans="5:7">
      <c r="E808" s="35"/>
      <c r="F808" s="35"/>
      <c r="G808" s="35"/>
    </row>
    <row r="809" spans="5:7">
      <c r="E809" s="35"/>
      <c r="F809" s="35"/>
      <c r="G809" s="35"/>
    </row>
    <row r="810" spans="5:7">
      <c r="E810" s="35"/>
      <c r="F810" s="35"/>
      <c r="G810" s="35"/>
    </row>
    <row r="811" spans="5:7">
      <c r="E811" s="35"/>
      <c r="F811" s="35"/>
      <c r="G811" s="35"/>
    </row>
    <row r="812" spans="5:7">
      <c r="E812" s="35"/>
      <c r="F812" s="35"/>
      <c r="G812" s="35"/>
    </row>
    <row r="813" spans="5:7">
      <c r="E813" s="35"/>
      <c r="F813" s="35"/>
      <c r="G813" s="35"/>
    </row>
    <row r="814" spans="5:7">
      <c r="E814" s="35"/>
      <c r="F814" s="35"/>
      <c r="G814" s="35"/>
    </row>
    <row r="815" spans="5:7">
      <c r="E815" s="35"/>
      <c r="F815" s="35"/>
      <c r="G815" s="35"/>
    </row>
    <row r="816" spans="5:7">
      <c r="E816" s="35"/>
      <c r="F816" s="35"/>
      <c r="G816" s="35"/>
    </row>
    <row r="817" spans="5:7">
      <c r="E817" s="35"/>
      <c r="F817" s="35"/>
      <c r="G817" s="35"/>
    </row>
    <row r="818" spans="5:7">
      <c r="E818" s="35"/>
      <c r="F818" s="35"/>
      <c r="G818" s="35"/>
    </row>
    <row r="819" spans="5:7">
      <c r="E819" s="35"/>
      <c r="F819" s="35"/>
      <c r="G819" s="35"/>
    </row>
    <row r="820" spans="5:7">
      <c r="E820" s="35"/>
      <c r="F820" s="35"/>
      <c r="G820" s="35"/>
    </row>
    <row r="821" spans="5:7">
      <c r="E821" s="35"/>
      <c r="F821" s="35"/>
      <c r="G821" s="35"/>
    </row>
    <row r="822" spans="5:7">
      <c r="E822" s="35"/>
      <c r="F822" s="35"/>
      <c r="G822" s="35"/>
    </row>
    <row r="823" spans="5:7">
      <c r="E823" s="35"/>
      <c r="F823" s="35"/>
      <c r="G823" s="35"/>
    </row>
    <row r="824" spans="5:7">
      <c r="E824" s="35"/>
      <c r="F824" s="35"/>
      <c r="G824" s="35"/>
    </row>
    <row r="825" spans="5:7">
      <c r="E825" s="35"/>
      <c r="F825" s="35"/>
      <c r="G825" s="35"/>
    </row>
    <row r="826" spans="5:7">
      <c r="E826" s="35"/>
      <c r="F826" s="35"/>
      <c r="G826" s="35"/>
    </row>
    <row r="827" spans="5:7">
      <c r="E827" s="35"/>
      <c r="F827" s="35"/>
      <c r="G827" s="35"/>
    </row>
    <row r="828" spans="5:7">
      <c r="E828" s="35"/>
      <c r="F828" s="35"/>
      <c r="G828" s="35"/>
    </row>
    <row r="829" spans="5:7">
      <c r="E829" s="35"/>
      <c r="F829" s="35"/>
      <c r="G829" s="35"/>
    </row>
    <row r="830" spans="5:7">
      <c r="E830" s="35"/>
      <c r="F830" s="35"/>
      <c r="G830" s="35"/>
    </row>
    <row r="831" spans="5:7">
      <c r="E831" s="35"/>
      <c r="F831" s="35"/>
      <c r="G831" s="35"/>
    </row>
    <row r="832" spans="5:7">
      <c r="E832" s="35"/>
      <c r="F832" s="35"/>
      <c r="G832" s="35"/>
    </row>
    <row r="833" spans="5:7">
      <c r="E833" s="35"/>
      <c r="F833" s="35"/>
      <c r="G833" s="35"/>
    </row>
    <row r="834" spans="5:7">
      <c r="E834" s="35"/>
      <c r="F834" s="35"/>
      <c r="G834" s="35"/>
    </row>
    <row r="835" spans="5:7">
      <c r="E835" s="35"/>
      <c r="F835" s="35"/>
      <c r="G835" s="35"/>
    </row>
    <row r="836" spans="5:7">
      <c r="E836" s="35"/>
      <c r="F836" s="35"/>
      <c r="G836" s="35"/>
    </row>
    <row r="837" spans="5:7">
      <c r="E837" s="35"/>
      <c r="F837" s="35"/>
      <c r="G837" s="35"/>
    </row>
    <row r="838" spans="5:7">
      <c r="E838" s="35"/>
      <c r="F838" s="35"/>
      <c r="G838" s="35"/>
    </row>
    <row r="839" spans="5:7">
      <c r="E839" s="35"/>
      <c r="F839" s="35"/>
      <c r="G839" s="35"/>
    </row>
    <row r="840" spans="5:7">
      <c r="E840" s="35"/>
      <c r="F840" s="35"/>
      <c r="G840" s="35"/>
    </row>
    <row r="841" spans="5:7">
      <c r="E841" s="35"/>
      <c r="F841" s="35"/>
      <c r="G841" s="35"/>
    </row>
    <row r="842" spans="5:7">
      <c r="E842" s="35"/>
      <c r="F842" s="35"/>
      <c r="G842" s="35"/>
    </row>
    <row r="843" spans="5:7">
      <c r="E843" s="35"/>
      <c r="F843" s="35"/>
      <c r="G843" s="35"/>
    </row>
    <row r="844" spans="5:7">
      <c r="E844" s="35"/>
      <c r="F844" s="35"/>
      <c r="G844" s="35"/>
    </row>
    <row r="845" spans="5:7">
      <c r="E845" s="35"/>
      <c r="F845" s="35"/>
      <c r="G845" s="35"/>
    </row>
    <row r="846" spans="5:7">
      <c r="E846" s="35"/>
      <c r="F846" s="35"/>
      <c r="G846" s="35"/>
    </row>
    <row r="847" spans="5:7">
      <c r="E847" s="35"/>
      <c r="F847" s="35"/>
      <c r="G847" s="35"/>
    </row>
    <row r="848" spans="5:7">
      <c r="E848" s="35"/>
      <c r="F848" s="35"/>
      <c r="G848" s="35"/>
    </row>
    <row r="849" spans="5:7">
      <c r="E849" s="35"/>
      <c r="F849" s="35"/>
      <c r="G849" s="35"/>
    </row>
    <row r="850" spans="5:7">
      <c r="E850" s="35"/>
      <c r="F850" s="35"/>
      <c r="G850" s="35"/>
    </row>
    <row r="851" spans="5:7">
      <c r="E851" s="35"/>
      <c r="F851" s="35"/>
      <c r="G851" s="35"/>
    </row>
    <row r="852" spans="5:7">
      <c r="E852" s="35"/>
      <c r="F852" s="35"/>
      <c r="G852" s="35"/>
    </row>
    <row r="853" spans="5:7">
      <c r="E853" s="35"/>
      <c r="F853" s="35"/>
      <c r="G853" s="35"/>
    </row>
    <row r="854" spans="5:7">
      <c r="E854" s="35"/>
      <c r="F854" s="35"/>
      <c r="G854" s="35"/>
    </row>
    <row r="855" spans="5:7">
      <c r="E855" s="35"/>
      <c r="F855" s="35"/>
      <c r="G855" s="35"/>
    </row>
    <row r="856" spans="5:7">
      <c r="E856" s="35"/>
      <c r="F856" s="35"/>
      <c r="G856" s="35"/>
    </row>
    <row r="857" spans="5:7">
      <c r="E857" s="35"/>
      <c r="F857" s="35"/>
      <c r="G857" s="35"/>
    </row>
    <row r="858" spans="5:7">
      <c r="E858" s="35"/>
      <c r="F858" s="35"/>
      <c r="G858" s="35"/>
    </row>
    <row r="859" spans="5:7">
      <c r="E859" s="35"/>
      <c r="F859" s="35"/>
      <c r="G859" s="35"/>
    </row>
    <row r="860" spans="5:7">
      <c r="E860" s="35"/>
      <c r="F860" s="35"/>
      <c r="G860" s="35"/>
    </row>
    <row r="861" spans="5:7">
      <c r="E861" s="35"/>
      <c r="F861" s="35"/>
      <c r="G861" s="35"/>
    </row>
    <row r="862" spans="5:7">
      <c r="E862" s="35"/>
      <c r="F862" s="35"/>
      <c r="G862" s="35"/>
    </row>
    <row r="863" spans="5:7">
      <c r="E863" s="35"/>
      <c r="F863" s="35"/>
      <c r="G863" s="35"/>
    </row>
    <row r="864" spans="5:7">
      <c r="E864" s="35"/>
      <c r="F864" s="35"/>
      <c r="G864" s="35"/>
    </row>
    <row r="865" spans="5:7">
      <c r="E865" s="35"/>
      <c r="F865" s="35"/>
      <c r="G865" s="35"/>
    </row>
    <row r="866" spans="5:7">
      <c r="E866" s="35"/>
      <c r="F866" s="35"/>
      <c r="G866" s="35"/>
    </row>
    <row r="867" spans="5:7">
      <c r="E867" s="35"/>
      <c r="F867" s="35"/>
      <c r="G867" s="35"/>
    </row>
    <row r="868" spans="5:7">
      <c r="E868" s="35"/>
      <c r="F868" s="35"/>
      <c r="G868" s="35"/>
    </row>
    <row r="869" spans="5:7">
      <c r="E869" s="35"/>
      <c r="F869" s="35"/>
      <c r="G869" s="35"/>
    </row>
    <row r="870" spans="5:7">
      <c r="E870" s="35"/>
      <c r="F870" s="35"/>
      <c r="G870" s="35"/>
    </row>
    <row r="871" spans="5:7">
      <c r="E871" s="35"/>
      <c r="F871" s="35"/>
      <c r="G871" s="35"/>
    </row>
    <row r="872" spans="5:7">
      <c r="E872" s="35"/>
      <c r="F872" s="35"/>
      <c r="G872" s="35"/>
    </row>
    <row r="873" spans="5:7">
      <c r="E873" s="35"/>
      <c r="F873" s="35"/>
      <c r="G873" s="35"/>
    </row>
    <row r="874" spans="5:7">
      <c r="E874" s="35"/>
      <c r="F874" s="35"/>
      <c r="G874" s="35"/>
    </row>
    <row r="875" spans="5:7">
      <c r="E875" s="35"/>
      <c r="F875" s="35"/>
      <c r="G875" s="35"/>
    </row>
    <row r="876" spans="5:7">
      <c r="E876" s="35"/>
      <c r="F876" s="35"/>
      <c r="G876" s="35"/>
    </row>
    <row r="877" spans="5:7">
      <c r="E877" s="35"/>
      <c r="F877" s="35"/>
      <c r="G877" s="35"/>
    </row>
    <row r="878" spans="5:7">
      <c r="E878" s="35"/>
      <c r="F878" s="35"/>
      <c r="G878" s="35"/>
    </row>
    <row r="879" spans="5:7">
      <c r="E879" s="35"/>
      <c r="F879" s="35"/>
      <c r="G879" s="35"/>
    </row>
    <row r="880" spans="5:7">
      <c r="E880" s="35"/>
      <c r="F880" s="35"/>
      <c r="G880" s="35"/>
    </row>
    <row r="881" spans="5:7">
      <c r="E881" s="35"/>
      <c r="F881" s="35"/>
      <c r="G881" s="35"/>
    </row>
    <row r="882" spans="5:7">
      <c r="E882" s="35"/>
      <c r="F882" s="35"/>
      <c r="G882" s="35"/>
    </row>
    <row r="883" spans="5:7">
      <c r="E883" s="35"/>
      <c r="F883" s="35"/>
      <c r="G883" s="35"/>
    </row>
    <row r="884" spans="5:7">
      <c r="E884" s="35"/>
      <c r="F884" s="35"/>
      <c r="G884" s="35"/>
    </row>
    <row r="885" spans="5:7">
      <c r="E885" s="35"/>
      <c r="F885" s="35"/>
      <c r="G885" s="35"/>
    </row>
    <row r="886" spans="5:7">
      <c r="E886" s="35"/>
      <c r="F886" s="35"/>
      <c r="G886" s="35"/>
    </row>
    <row r="887" spans="5:7">
      <c r="E887" s="35"/>
      <c r="F887" s="35"/>
      <c r="G887" s="35"/>
    </row>
    <row r="888" spans="5:7">
      <c r="E888" s="35"/>
      <c r="F888" s="35"/>
      <c r="G888" s="35"/>
    </row>
    <row r="889" spans="5:7">
      <c r="E889" s="35"/>
      <c r="F889" s="35"/>
      <c r="G889" s="35"/>
    </row>
    <row r="890" spans="5:7">
      <c r="E890" s="35"/>
      <c r="F890" s="35"/>
      <c r="G890" s="35"/>
    </row>
    <row r="891" spans="5:7">
      <c r="E891" s="35"/>
      <c r="F891" s="35"/>
      <c r="G891" s="35"/>
    </row>
    <row r="892" spans="5:7">
      <c r="E892" s="35"/>
      <c r="F892" s="35"/>
      <c r="G892" s="35"/>
    </row>
    <row r="893" spans="5:7">
      <c r="E893" s="35"/>
      <c r="F893" s="35"/>
      <c r="G893" s="35"/>
    </row>
    <row r="894" spans="5:7">
      <c r="E894" s="35"/>
      <c r="F894" s="35"/>
      <c r="G894" s="35"/>
    </row>
    <row r="895" spans="5:7">
      <c r="E895" s="35"/>
      <c r="F895" s="35"/>
      <c r="G895" s="35"/>
    </row>
    <row r="896" spans="5:7">
      <c r="E896" s="35"/>
      <c r="F896" s="35"/>
      <c r="G896" s="35"/>
    </row>
    <row r="897" spans="5:7">
      <c r="E897" s="35"/>
      <c r="F897" s="35"/>
      <c r="G897" s="35"/>
    </row>
    <row r="898" spans="5:7">
      <c r="E898" s="35"/>
      <c r="F898" s="35"/>
      <c r="G898" s="35"/>
    </row>
    <row r="899" spans="5:7">
      <c r="E899" s="35"/>
      <c r="F899" s="35"/>
      <c r="G899" s="35"/>
    </row>
    <row r="900" spans="5:7">
      <c r="E900" s="35"/>
      <c r="F900" s="35"/>
      <c r="G900" s="35"/>
    </row>
    <row r="901" spans="5:7">
      <c r="E901" s="35"/>
      <c r="F901" s="35"/>
      <c r="G901" s="35"/>
    </row>
    <row r="902" spans="5:7">
      <c r="E902" s="35"/>
      <c r="F902" s="35"/>
      <c r="G902" s="35"/>
    </row>
    <row r="903" spans="5:7">
      <c r="E903" s="35"/>
      <c r="F903" s="35"/>
      <c r="G903" s="35"/>
    </row>
    <row r="904" spans="5:7">
      <c r="E904" s="35"/>
      <c r="F904" s="35"/>
      <c r="G904" s="35"/>
    </row>
    <row r="905" spans="5:7">
      <c r="E905" s="35"/>
      <c r="F905" s="35"/>
      <c r="G905" s="35"/>
    </row>
    <row r="906" spans="5:7">
      <c r="E906" s="35"/>
      <c r="F906" s="35"/>
      <c r="G906" s="35"/>
    </row>
    <row r="907" spans="5:7">
      <c r="E907" s="35"/>
      <c r="F907" s="35"/>
      <c r="G907" s="35"/>
    </row>
    <row r="908" spans="5:7">
      <c r="E908" s="35"/>
      <c r="F908" s="35"/>
      <c r="G908" s="35"/>
    </row>
    <row r="909" spans="5:7">
      <c r="E909" s="35"/>
      <c r="F909" s="35"/>
      <c r="G909" s="35"/>
    </row>
    <row r="910" spans="5:7">
      <c r="E910" s="35"/>
      <c r="F910" s="35"/>
      <c r="G910" s="35"/>
    </row>
    <row r="911" spans="5:7">
      <c r="E911" s="35"/>
      <c r="F911" s="35"/>
      <c r="G911" s="35"/>
    </row>
    <row r="912" spans="5:7">
      <c r="E912" s="35"/>
      <c r="F912" s="35"/>
      <c r="G912" s="35"/>
    </row>
    <row r="913" spans="5:7">
      <c r="E913" s="35"/>
      <c r="F913" s="35"/>
      <c r="G913" s="35"/>
    </row>
    <row r="914" spans="5:7">
      <c r="E914" s="35"/>
      <c r="F914" s="35"/>
      <c r="G914" s="35"/>
    </row>
    <row r="915" spans="5:7">
      <c r="E915" s="35"/>
      <c r="F915" s="35"/>
      <c r="G915" s="35"/>
    </row>
    <row r="916" spans="5:7">
      <c r="E916" s="35"/>
      <c r="F916" s="35"/>
      <c r="G916" s="35"/>
    </row>
    <row r="917" spans="5:7">
      <c r="E917" s="35"/>
      <c r="F917" s="35"/>
      <c r="G917" s="35"/>
    </row>
    <row r="918" spans="5:7">
      <c r="E918" s="35"/>
      <c r="F918" s="35"/>
      <c r="G918" s="35"/>
    </row>
    <row r="919" spans="5:7">
      <c r="E919" s="35"/>
      <c r="F919" s="35"/>
      <c r="G919" s="35"/>
    </row>
    <row r="920" spans="5:7">
      <c r="E920" s="35"/>
      <c r="F920" s="35"/>
      <c r="G920" s="35"/>
    </row>
    <row r="921" spans="5:7">
      <c r="E921" s="35"/>
      <c r="F921" s="35"/>
      <c r="G921" s="35"/>
    </row>
    <row r="922" spans="5:7">
      <c r="E922" s="35"/>
      <c r="F922" s="35"/>
      <c r="G922" s="35"/>
    </row>
    <row r="923" spans="5:7">
      <c r="E923" s="35"/>
      <c r="F923" s="35"/>
      <c r="G923" s="35"/>
    </row>
    <row r="924" spans="5:7">
      <c r="E924" s="35"/>
      <c r="F924" s="35"/>
      <c r="G924" s="35"/>
    </row>
    <row r="925" spans="5:7">
      <c r="E925" s="35"/>
      <c r="F925" s="35"/>
      <c r="G925" s="35"/>
    </row>
    <row r="926" spans="5:7">
      <c r="E926" s="35"/>
      <c r="F926" s="35"/>
      <c r="G926" s="35"/>
    </row>
    <row r="927" spans="5:7">
      <c r="E927" s="35"/>
      <c r="F927" s="35"/>
      <c r="G927" s="35"/>
    </row>
    <row r="928" spans="5:7">
      <c r="E928" s="35"/>
      <c r="F928" s="35"/>
      <c r="G928" s="35"/>
    </row>
    <row r="929" spans="5:7">
      <c r="E929" s="35"/>
      <c r="F929" s="35"/>
      <c r="G929" s="35"/>
    </row>
    <row r="930" spans="5:7">
      <c r="E930" s="35"/>
      <c r="F930" s="35"/>
      <c r="G930" s="35"/>
    </row>
    <row r="931" spans="5:7">
      <c r="E931" s="35"/>
      <c r="F931" s="35"/>
      <c r="G931" s="35"/>
    </row>
    <row r="932" spans="5:7">
      <c r="E932" s="35"/>
      <c r="F932" s="35"/>
      <c r="G932" s="35"/>
    </row>
    <row r="933" spans="5:7">
      <c r="E933" s="35"/>
      <c r="F933" s="35"/>
      <c r="G933" s="35"/>
    </row>
    <row r="934" spans="5:7">
      <c r="E934" s="35"/>
      <c r="F934" s="35"/>
      <c r="G934" s="35"/>
    </row>
    <row r="935" spans="5:7">
      <c r="E935" s="35"/>
      <c r="F935" s="35"/>
      <c r="G935" s="35"/>
    </row>
    <row r="936" spans="5:7">
      <c r="E936" s="35"/>
      <c r="F936" s="35"/>
      <c r="G936" s="35"/>
    </row>
    <row r="937" spans="5:7">
      <c r="E937" s="35"/>
      <c r="F937" s="35"/>
      <c r="G937" s="35"/>
    </row>
    <row r="938" spans="5:7">
      <c r="E938" s="35"/>
      <c r="F938" s="35"/>
      <c r="G938" s="35"/>
    </row>
    <row r="939" spans="5:7">
      <c r="E939" s="35"/>
      <c r="F939" s="35"/>
      <c r="G939" s="35"/>
    </row>
    <row r="940" spans="5:7">
      <c r="E940" s="35"/>
      <c r="F940" s="35"/>
      <c r="G940" s="35"/>
    </row>
    <row r="941" spans="5:7">
      <c r="E941" s="35"/>
      <c r="F941" s="35"/>
      <c r="G941" s="35"/>
    </row>
    <row r="942" spans="5:7">
      <c r="E942" s="35"/>
      <c r="F942" s="35"/>
      <c r="G942" s="35"/>
    </row>
    <row r="943" spans="5:7">
      <c r="E943" s="35"/>
      <c r="F943" s="35"/>
      <c r="G943" s="35"/>
    </row>
    <row r="944" spans="5:7">
      <c r="E944" s="35"/>
      <c r="F944" s="35"/>
      <c r="G944" s="35"/>
    </row>
    <row r="945" spans="5:7">
      <c r="E945" s="35"/>
      <c r="F945" s="35"/>
      <c r="G945" s="35"/>
    </row>
    <row r="946" spans="5:7">
      <c r="E946" s="35"/>
      <c r="F946" s="35"/>
      <c r="G946" s="35"/>
    </row>
    <row r="947" spans="5:7">
      <c r="E947" s="35"/>
      <c r="F947" s="35"/>
      <c r="G947" s="35"/>
    </row>
    <row r="948" spans="5:7">
      <c r="E948" s="35"/>
      <c r="F948" s="35"/>
      <c r="G948" s="35"/>
    </row>
    <row r="949" spans="5:7">
      <c r="E949" s="35"/>
      <c r="F949" s="35"/>
      <c r="G949" s="35"/>
    </row>
    <row r="950" spans="5:7">
      <c r="E950" s="35"/>
      <c r="F950" s="35"/>
      <c r="G950" s="35"/>
    </row>
    <row r="951" spans="5:7">
      <c r="E951" s="35"/>
      <c r="F951" s="35"/>
      <c r="G951" s="35"/>
    </row>
    <row r="952" spans="5:7">
      <c r="E952" s="35"/>
      <c r="F952" s="35"/>
      <c r="G952" s="35"/>
    </row>
    <row r="953" spans="5:7">
      <c r="E953" s="35"/>
      <c r="F953" s="35"/>
      <c r="G953" s="35"/>
    </row>
    <row r="954" spans="5:7">
      <c r="E954" s="35"/>
      <c r="F954" s="35"/>
      <c r="G954" s="35"/>
    </row>
    <row r="955" spans="5:7">
      <c r="E955" s="35"/>
      <c r="F955" s="35"/>
      <c r="G955" s="35"/>
    </row>
    <row r="956" spans="5:7">
      <c r="E956" s="35"/>
      <c r="F956" s="35"/>
      <c r="G956" s="35"/>
    </row>
    <row r="957" spans="5:7">
      <c r="E957" s="35"/>
      <c r="F957" s="35"/>
      <c r="G957" s="35"/>
    </row>
    <row r="958" spans="5:7">
      <c r="E958" s="35"/>
      <c r="F958" s="35"/>
      <c r="G958" s="35"/>
    </row>
    <row r="959" spans="5:7">
      <c r="E959" s="35"/>
      <c r="F959" s="35"/>
      <c r="G959" s="35"/>
    </row>
    <row r="960" spans="5:7">
      <c r="E960" s="35"/>
      <c r="F960" s="35"/>
      <c r="G960" s="35"/>
    </row>
    <row r="961" spans="5:7">
      <c r="E961" s="35"/>
      <c r="F961" s="35"/>
      <c r="G961" s="35"/>
    </row>
    <row r="962" spans="5:7">
      <c r="E962" s="35"/>
      <c r="F962" s="35"/>
      <c r="G962" s="35"/>
    </row>
    <row r="963" spans="5:7">
      <c r="E963" s="35"/>
      <c r="F963" s="35"/>
      <c r="G963" s="35"/>
    </row>
    <row r="964" spans="5:7">
      <c r="E964" s="35"/>
      <c r="F964" s="35"/>
      <c r="G964" s="35"/>
    </row>
    <row r="965" spans="5:7">
      <c r="E965" s="35"/>
      <c r="F965" s="35"/>
      <c r="G965" s="35"/>
    </row>
    <row r="966" spans="5:7">
      <c r="E966" s="35"/>
      <c r="F966" s="35"/>
      <c r="G966" s="35"/>
    </row>
    <row r="967" spans="5:7">
      <c r="E967" s="35"/>
      <c r="F967" s="35"/>
      <c r="G967" s="35"/>
    </row>
    <row r="968" spans="5:7">
      <c r="E968" s="35"/>
      <c r="F968" s="35"/>
      <c r="G968" s="35"/>
    </row>
    <row r="969" spans="5:7">
      <c r="E969" s="35"/>
      <c r="F969" s="35"/>
      <c r="G969" s="35"/>
    </row>
    <row r="970" spans="5:7">
      <c r="E970" s="35"/>
      <c r="F970" s="35"/>
      <c r="G970" s="35"/>
    </row>
    <row r="971" spans="5:7">
      <c r="E971" s="35"/>
      <c r="F971" s="35"/>
      <c r="G971" s="35"/>
    </row>
    <row r="972" spans="5:7">
      <c r="E972" s="35"/>
      <c r="F972" s="35"/>
      <c r="G972" s="35"/>
    </row>
    <row r="973" spans="5:7">
      <c r="E973" s="35"/>
      <c r="F973" s="35"/>
      <c r="G973" s="35"/>
    </row>
    <row r="974" spans="5:7">
      <c r="E974" s="35"/>
      <c r="F974" s="35"/>
      <c r="G974" s="35"/>
    </row>
    <row r="975" spans="5:7">
      <c r="E975" s="35"/>
      <c r="F975" s="35"/>
      <c r="G975" s="35"/>
    </row>
    <row r="976" spans="5:7">
      <c r="E976" s="35"/>
      <c r="F976" s="35"/>
      <c r="G976" s="35"/>
    </row>
    <row r="977" spans="5:7">
      <c r="E977" s="35"/>
      <c r="F977" s="35"/>
      <c r="G977" s="35"/>
    </row>
    <row r="978" spans="5:7">
      <c r="E978" s="35"/>
      <c r="F978" s="35"/>
      <c r="G978" s="35"/>
    </row>
    <row r="979" spans="5:7">
      <c r="E979" s="35"/>
      <c r="F979" s="35"/>
      <c r="G979" s="35"/>
    </row>
    <row r="980" spans="5:7">
      <c r="E980" s="35"/>
      <c r="F980" s="35"/>
      <c r="G980" s="35"/>
    </row>
    <row r="981" spans="5:7">
      <c r="E981" s="35"/>
      <c r="F981" s="35"/>
      <c r="G981" s="35"/>
    </row>
    <row r="982" spans="5:7">
      <c r="E982" s="35"/>
      <c r="F982" s="35"/>
      <c r="G982" s="35"/>
    </row>
    <row r="983" spans="5:7">
      <c r="E983" s="35"/>
      <c r="F983" s="35"/>
      <c r="G983" s="35"/>
    </row>
    <row r="984" spans="5:7">
      <c r="E984" s="35"/>
      <c r="F984" s="35"/>
      <c r="G984" s="35"/>
    </row>
    <row r="985" spans="5:7">
      <c r="E985" s="35"/>
      <c r="F985" s="35"/>
      <c r="G985" s="35"/>
    </row>
    <row r="986" spans="5:7">
      <c r="E986" s="35"/>
      <c r="F986" s="35"/>
      <c r="G986" s="35"/>
    </row>
    <row r="987" spans="5:7">
      <c r="E987" s="35"/>
      <c r="F987" s="35"/>
      <c r="G987" s="35"/>
    </row>
    <row r="988" spans="5:7">
      <c r="E988" s="35"/>
      <c r="F988" s="35"/>
      <c r="G988" s="35"/>
    </row>
    <row r="989" spans="5:7">
      <c r="E989" s="35"/>
      <c r="F989" s="35"/>
      <c r="G989" s="35"/>
    </row>
    <row r="990" spans="5:7">
      <c r="E990" s="35"/>
      <c r="F990" s="35"/>
      <c r="G990" s="35"/>
    </row>
    <row r="991" spans="5:7">
      <c r="E991" s="35"/>
      <c r="F991" s="35"/>
      <c r="G991" s="35"/>
    </row>
    <row r="992" spans="5:7">
      <c r="E992" s="35"/>
      <c r="F992" s="35"/>
      <c r="G992" s="35"/>
    </row>
    <row r="993" spans="5:7">
      <c r="E993" s="35"/>
      <c r="F993" s="35"/>
      <c r="G993" s="35"/>
    </row>
    <row r="994" spans="5:7">
      <c r="E994" s="35"/>
      <c r="F994" s="35"/>
      <c r="G994" s="35"/>
    </row>
    <row r="995" spans="5:7">
      <c r="E995" s="35"/>
      <c r="F995" s="35"/>
      <c r="G995" s="35"/>
    </row>
    <row r="996" spans="5:7">
      <c r="E996" s="35"/>
      <c r="F996" s="35"/>
      <c r="G996" s="35"/>
    </row>
    <row r="997" spans="5:7">
      <c r="E997" s="35"/>
      <c r="F997" s="35"/>
      <c r="G997" s="35"/>
    </row>
    <row r="998" spans="5:7">
      <c r="E998" s="35"/>
      <c r="F998" s="35"/>
      <c r="G998" s="35"/>
    </row>
    <row r="999" spans="5:7">
      <c r="E999" s="35"/>
      <c r="F999" s="35"/>
      <c r="G999" s="35"/>
    </row>
    <row r="1000" spans="5:7">
      <c r="E1000" s="35"/>
      <c r="F1000" s="35"/>
      <c r="G1000" s="35"/>
    </row>
    <row r="1001" spans="5:7">
      <c r="E1001" s="35"/>
      <c r="F1001" s="35"/>
      <c r="G1001" s="35"/>
    </row>
    <row r="1002" spans="5:7">
      <c r="E1002" s="35"/>
      <c r="F1002" s="35"/>
      <c r="G1002" s="35"/>
    </row>
    <row r="1003" spans="5:7">
      <c r="E1003" s="35"/>
      <c r="F1003" s="35"/>
      <c r="G1003" s="35"/>
    </row>
    <row r="1004" spans="5:7">
      <c r="E1004" s="35"/>
      <c r="F1004" s="35"/>
      <c r="G1004" s="35"/>
    </row>
    <row r="1005" spans="5:7">
      <c r="E1005" s="35"/>
      <c r="F1005" s="35"/>
      <c r="G1005" s="35"/>
    </row>
    <row r="1006" spans="5:7">
      <c r="E1006" s="35"/>
      <c r="F1006" s="35"/>
      <c r="G1006" s="35"/>
    </row>
    <row r="1007" spans="5:7">
      <c r="E1007" s="35"/>
      <c r="F1007" s="35"/>
      <c r="G1007" s="35"/>
    </row>
    <row r="1008" spans="5:7">
      <c r="E1008" s="35"/>
      <c r="F1008" s="35"/>
      <c r="G1008" s="35"/>
    </row>
    <row r="1009" spans="5:7">
      <c r="E1009" s="35"/>
      <c r="F1009" s="35"/>
      <c r="G1009" s="35"/>
    </row>
    <row r="1010" spans="5:7">
      <c r="E1010" s="35"/>
      <c r="F1010" s="35"/>
      <c r="G1010" s="35"/>
    </row>
    <row r="1011" spans="5:7">
      <c r="E1011" s="35"/>
      <c r="F1011" s="35"/>
      <c r="G1011" s="35"/>
    </row>
    <row r="1012" spans="5:7">
      <c r="E1012" s="35"/>
      <c r="F1012" s="35"/>
      <c r="G1012" s="35"/>
    </row>
    <row r="1013" spans="5:7">
      <c r="E1013" s="35"/>
      <c r="F1013" s="35"/>
      <c r="G1013" s="35"/>
    </row>
    <row r="1014" spans="5:7">
      <c r="E1014" s="35"/>
      <c r="F1014" s="35"/>
      <c r="G1014" s="35"/>
    </row>
    <row r="1015" spans="5:7">
      <c r="E1015" s="35"/>
      <c r="F1015" s="35"/>
      <c r="G1015" s="35"/>
    </row>
    <row r="1016" spans="5:7">
      <c r="E1016" s="35"/>
      <c r="F1016" s="35"/>
      <c r="G1016" s="35"/>
    </row>
    <row r="1017" spans="5:7">
      <c r="E1017" s="35"/>
      <c r="F1017" s="35"/>
      <c r="G1017" s="35"/>
    </row>
    <row r="1018" spans="5:7">
      <c r="E1018" s="35"/>
      <c r="F1018" s="35"/>
      <c r="G1018" s="35"/>
    </row>
    <row r="1019" spans="5:7">
      <c r="E1019" s="35"/>
      <c r="F1019" s="35"/>
      <c r="G1019" s="35"/>
    </row>
    <row r="1020" spans="5:7">
      <c r="E1020" s="35"/>
      <c r="F1020" s="35"/>
      <c r="G1020" s="35"/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D5666-787F-4F5D-95AB-AEC17EB3677E}">
  <sheetPr codeName="Sheet12"/>
  <dimension ref="A1:I32"/>
  <sheetViews>
    <sheetView showGridLines="0" workbookViewId="0">
      <pane ySplit="18" topLeftCell="A19" activePane="bottomLeft" state="frozen"/>
      <selection pane="bottomLeft" sqref="A1:I1"/>
    </sheetView>
  </sheetViews>
  <sheetFormatPr defaultRowHeight="13.8"/>
  <cols>
    <col min="1" max="1" width="16.69921875" style="18" customWidth="1"/>
    <col min="2" max="2" width="56.69921875" style="18" customWidth="1"/>
    <col min="3" max="3" width="18.69921875" style="18" customWidth="1"/>
    <col min="4" max="4" width="16.69921875" style="18" customWidth="1"/>
    <col min="5" max="7" width="28.69921875" style="18" customWidth="1"/>
    <col min="8" max="9" width="16.69921875" style="18" customWidth="1"/>
    <col min="10" max="16384" width="8.796875" style="18"/>
  </cols>
  <sheetData>
    <row r="1" spans="1:9" ht="15.6">
      <c r="A1" s="64" t="s">
        <v>538</v>
      </c>
      <c r="B1" s="64"/>
      <c r="C1" s="64"/>
      <c r="D1" s="64"/>
      <c r="E1" s="64"/>
      <c r="F1" s="64"/>
      <c r="G1" s="64"/>
      <c r="H1" s="64"/>
      <c r="I1" s="64"/>
    </row>
    <row r="2" spans="1:9">
      <c r="A2" s="65" t="s">
        <v>539</v>
      </c>
      <c r="B2" s="65"/>
      <c r="C2" s="65"/>
      <c r="D2" s="65"/>
      <c r="E2" s="65"/>
      <c r="F2" s="65"/>
      <c r="G2" s="65"/>
      <c r="H2" s="65"/>
      <c r="I2" s="65"/>
    </row>
    <row r="4" spans="1:9" ht="15.6">
      <c r="A4" s="64" t="s">
        <v>540</v>
      </c>
      <c r="B4" s="64"/>
      <c r="C4" s="64"/>
    </row>
    <row r="5" spans="1:9">
      <c r="A5" s="18" t="s">
        <v>541</v>
      </c>
      <c r="B5" s="67"/>
      <c r="C5" s="67"/>
    </row>
    <row r="6" spans="1:9">
      <c r="A6" s="18" t="s">
        <v>542</v>
      </c>
      <c r="B6" s="67" t="s">
        <v>543</v>
      </c>
      <c r="C6" s="67"/>
    </row>
    <row r="7" spans="1:9">
      <c r="A7" s="18" t="s">
        <v>14</v>
      </c>
      <c r="B7" s="68"/>
      <c r="C7" s="68"/>
    </row>
    <row r="10" spans="1:9" ht="15.6">
      <c r="A10" s="64" t="s">
        <v>544</v>
      </c>
      <c r="B10" s="64"/>
      <c r="C10" s="64"/>
      <c r="D10" s="64"/>
      <c r="E10" s="64"/>
      <c r="F10" s="64"/>
      <c r="G10" s="64"/>
      <c r="H10" s="64"/>
      <c r="I10" s="64"/>
    </row>
    <row r="11" spans="1:9">
      <c r="A11" s="18" t="s">
        <v>442</v>
      </c>
      <c r="B11" s="67"/>
      <c r="C11" s="67"/>
      <c r="E11" s="42" t="s">
        <v>666</v>
      </c>
      <c r="F11" s="67" t="s">
        <v>667</v>
      </c>
      <c r="G11" s="67"/>
      <c r="H11" s="67"/>
      <c r="I11" s="67"/>
    </row>
    <row r="12" spans="1:9">
      <c r="A12" s="18" t="s">
        <v>2</v>
      </c>
      <c r="B12" s="67" t="str">
        <f>IFERROR(VLOOKUP(B11,Heath_Personas!A:B,2,FALSE),"")</f>
        <v/>
      </c>
      <c r="C12" s="67"/>
      <c r="E12" s="42" t="s">
        <v>11</v>
      </c>
      <c r="F12" s="67"/>
      <c r="G12" s="67"/>
      <c r="H12" s="67"/>
      <c r="I12" s="67"/>
    </row>
    <row r="13" spans="1:9">
      <c r="A13" s="18" t="s">
        <v>545</v>
      </c>
      <c r="B13" s="70">
        <v>46227</v>
      </c>
      <c r="C13" s="67"/>
      <c r="E13" s="42" t="s">
        <v>552</v>
      </c>
      <c r="F13" s="67"/>
      <c r="G13" s="67"/>
      <c r="H13" s="67"/>
      <c r="I13" s="67"/>
    </row>
    <row r="14" spans="1:9">
      <c r="A14" s="18" t="s">
        <v>546</v>
      </c>
      <c r="B14" s="67" t="s">
        <v>547</v>
      </c>
      <c r="C14" s="67"/>
    </row>
    <row r="15" spans="1:9">
      <c r="A15" s="18" t="s">
        <v>527</v>
      </c>
      <c r="B15" s="67"/>
      <c r="C15" s="67"/>
    </row>
    <row r="16" spans="1:9">
      <c r="A16" s="18" t="s">
        <v>548</v>
      </c>
      <c r="B16" s="67" t="s">
        <v>49</v>
      </c>
      <c r="C16" s="67"/>
    </row>
    <row r="17" spans="1:9">
      <c r="A17" s="18" t="s">
        <v>549</v>
      </c>
      <c r="B17" s="68"/>
      <c r="C17" s="68"/>
      <c r="D17" s="69"/>
      <c r="E17" s="69"/>
      <c r="F17" s="69"/>
      <c r="G17" s="69"/>
      <c r="H17" s="69"/>
      <c r="I17" s="69"/>
    </row>
    <row r="19" spans="1:9">
      <c r="A19" s="19" t="s">
        <v>550</v>
      </c>
      <c r="B19" s="19" t="s">
        <v>477</v>
      </c>
      <c r="C19" s="19" t="s">
        <v>478</v>
      </c>
      <c r="D19" s="19" t="s">
        <v>551</v>
      </c>
      <c r="E19" s="19" t="s">
        <v>534</v>
      </c>
      <c r="F19" s="19" t="s">
        <v>535</v>
      </c>
      <c r="G19" s="19" t="s">
        <v>552</v>
      </c>
      <c r="H19" s="19" t="s">
        <v>553</v>
      </c>
      <c r="I19" s="19" t="s">
        <v>554</v>
      </c>
    </row>
    <row r="20" spans="1:9">
      <c r="A20" s="18" t="s">
        <v>483</v>
      </c>
      <c r="B20" s="18" t="s">
        <v>484</v>
      </c>
      <c r="C20" s="18" t="s">
        <v>485</v>
      </c>
      <c r="D20" s="21"/>
      <c r="E20" s="30"/>
      <c r="F20" s="30"/>
      <c r="G20" s="30"/>
      <c r="H20" s="20"/>
      <c r="I20" s="18" t="str">
        <f t="shared" ref="I20:I29" si="0">IF(D20="","Pendiente",IF(AND(D20&gt;=0,D20&lt;=10,H20&lt;&gt;""),"OK","Revisar"))</f>
        <v>Pendiente</v>
      </c>
    </row>
    <row r="21" spans="1:9">
      <c r="A21" s="18" t="s">
        <v>488</v>
      </c>
      <c r="B21" s="18" t="s">
        <v>489</v>
      </c>
      <c r="C21" s="18" t="s">
        <v>485</v>
      </c>
      <c r="D21" s="21"/>
      <c r="E21" s="30"/>
      <c r="F21" s="30"/>
      <c r="G21" s="30"/>
      <c r="H21" s="20"/>
      <c r="I21" s="18" t="str">
        <f t="shared" si="0"/>
        <v>Pendiente</v>
      </c>
    </row>
    <row r="22" spans="1:9">
      <c r="A22" s="18" t="s">
        <v>491</v>
      </c>
      <c r="B22" s="18" t="s">
        <v>492</v>
      </c>
      <c r="C22" s="18" t="s">
        <v>493</v>
      </c>
      <c r="D22" s="21"/>
      <c r="E22" s="30"/>
      <c r="F22" s="30"/>
      <c r="G22" s="30"/>
      <c r="H22" s="20"/>
      <c r="I22" s="18" t="str">
        <f t="shared" si="0"/>
        <v>Pendiente</v>
      </c>
    </row>
    <row r="23" spans="1:9">
      <c r="A23" s="18" t="s">
        <v>496</v>
      </c>
      <c r="B23" s="18" t="s">
        <v>497</v>
      </c>
      <c r="C23" s="18" t="s">
        <v>493</v>
      </c>
      <c r="D23" s="21"/>
      <c r="E23" s="30"/>
      <c r="F23" s="30"/>
      <c r="G23" s="30"/>
      <c r="H23" s="20"/>
      <c r="I23" s="18" t="str">
        <f t="shared" si="0"/>
        <v>Pendiente</v>
      </c>
    </row>
    <row r="24" spans="1:9">
      <c r="A24" s="18" t="s">
        <v>500</v>
      </c>
      <c r="B24" s="18" t="s">
        <v>501</v>
      </c>
      <c r="C24" s="18" t="s">
        <v>493</v>
      </c>
      <c r="D24" s="21"/>
      <c r="E24" s="30"/>
      <c r="F24" s="30"/>
      <c r="G24" s="30"/>
      <c r="H24" s="20"/>
      <c r="I24" s="18" t="str">
        <f t="shared" si="0"/>
        <v>Pendiente</v>
      </c>
    </row>
    <row r="25" spans="1:9">
      <c r="A25" s="18" t="s">
        <v>504</v>
      </c>
      <c r="B25" s="18" t="s">
        <v>505</v>
      </c>
      <c r="C25" s="18" t="s">
        <v>506</v>
      </c>
      <c r="D25" s="21"/>
      <c r="E25" s="30"/>
      <c r="F25" s="30"/>
      <c r="G25" s="30"/>
      <c r="H25" s="20"/>
      <c r="I25" s="18" t="str">
        <f t="shared" si="0"/>
        <v>Pendiente</v>
      </c>
    </row>
    <row r="26" spans="1:9">
      <c r="A26" s="18" t="s">
        <v>509</v>
      </c>
      <c r="B26" s="18" t="s">
        <v>510</v>
      </c>
      <c r="C26" s="18" t="s">
        <v>493</v>
      </c>
      <c r="D26" s="21"/>
      <c r="E26" s="30"/>
      <c r="F26" s="30"/>
      <c r="G26" s="30"/>
      <c r="H26" s="20"/>
      <c r="I26" s="18" t="str">
        <f t="shared" si="0"/>
        <v>Pendiente</v>
      </c>
    </row>
    <row r="27" spans="1:9">
      <c r="A27" s="18" t="s">
        <v>513</v>
      </c>
      <c r="B27" s="18" t="s">
        <v>514</v>
      </c>
      <c r="C27" s="18" t="s">
        <v>506</v>
      </c>
      <c r="D27" s="21"/>
      <c r="E27" s="30"/>
      <c r="F27" s="30"/>
      <c r="G27" s="30"/>
      <c r="H27" s="20"/>
      <c r="I27" s="18" t="str">
        <f t="shared" si="0"/>
        <v>Pendiente</v>
      </c>
    </row>
    <row r="28" spans="1:9">
      <c r="A28" s="18" t="s">
        <v>517</v>
      </c>
      <c r="B28" s="18" t="s">
        <v>518</v>
      </c>
      <c r="C28" s="18" t="s">
        <v>493</v>
      </c>
      <c r="D28" s="21"/>
      <c r="E28" s="30"/>
      <c r="F28" s="30"/>
      <c r="G28" s="30"/>
      <c r="H28" s="20"/>
      <c r="I28" s="18" t="str">
        <f t="shared" si="0"/>
        <v>Pendiente</v>
      </c>
    </row>
    <row r="29" spans="1:9">
      <c r="A29" s="18" t="s">
        <v>520</v>
      </c>
      <c r="B29" s="18" t="s">
        <v>521</v>
      </c>
      <c r="C29" s="18" t="s">
        <v>493</v>
      </c>
      <c r="D29" s="21"/>
      <c r="E29" s="30"/>
      <c r="F29" s="30"/>
      <c r="G29" s="30"/>
      <c r="H29" s="20"/>
      <c r="I29" s="18" t="str">
        <f t="shared" si="0"/>
        <v>Pendiente</v>
      </c>
    </row>
    <row r="32" spans="1:9" ht="15.6">
      <c r="A32" s="64" t="s">
        <v>555</v>
      </c>
      <c r="B32" s="64"/>
      <c r="C32" s="64"/>
      <c r="D32" s="64"/>
      <c r="E32" s="64"/>
      <c r="F32" s="64"/>
      <c r="G32" s="64"/>
      <c r="H32" s="64"/>
      <c r="I32" s="64"/>
    </row>
  </sheetData>
  <mergeCells count="18">
    <mergeCell ref="B7:C7"/>
    <mergeCell ref="A1:I1"/>
    <mergeCell ref="A2:I2"/>
    <mergeCell ref="A4:C4"/>
    <mergeCell ref="B5:C5"/>
    <mergeCell ref="B6:C6"/>
    <mergeCell ref="B16:C16"/>
    <mergeCell ref="B17:I17"/>
    <mergeCell ref="A32:I32"/>
    <mergeCell ref="A10:I10"/>
    <mergeCell ref="B11:C11"/>
    <mergeCell ref="B12:C12"/>
    <mergeCell ref="B13:C13"/>
    <mergeCell ref="B14:C14"/>
    <mergeCell ref="B15:C15"/>
    <mergeCell ref="F11:I11"/>
    <mergeCell ref="F12:I12"/>
    <mergeCell ref="F13:I13"/>
  </mergeCells>
  <dataValidations count="5">
    <dataValidation type="list" allowBlank="1" showInputMessage="1" showErrorMessage="1" sqref="B6" xr:uid="{9C0FD7B3-3B95-42B2-9973-538690D01BFD}">
      <formula1>"Candidato,Integrante actual,Integrante histórico"</formula1>
    </dataValidation>
    <dataValidation type="list" allowBlank="1" showInputMessage="1" showErrorMessage="1" sqref="B14" xr:uid="{823ADC4A-B7CF-4836-BB08-67BE29A4CFB9}">
      <formula1>"Inicial,Seguimiento,Histórica,Pre-nombramiento"</formula1>
    </dataValidation>
    <dataValidation type="list" allowBlank="1" showInputMessage="1" showErrorMessage="1" sqref="B16 H20:H29" xr:uid="{78DDA81C-BADF-4881-8783-E7375B75F52C}">
      <formula1>"Alta,Media,Baja"</formula1>
    </dataValidation>
    <dataValidation type="decimal" allowBlank="1" showInputMessage="1" showErrorMessage="1" sqref="D20:D29" xr:uid="{3D0EF4DE-367F-4918-B869-47C8CA38587B}">
      <formula1>0</formula1>
      <formula2>10</formula2>
    </dataValidation>
    <dataValidation type="list" allowBlank="1" showInputMessage="1" showErrorMessage="1" sqref="F11" xr:uid="{81BFC67D-7CFF-4B05-9E91-3837AF17174E}">
      <formula1>"Heath publicada,Reconstrucción Observatorio,Estimación Observatorio,Usuario"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247136-0D20-41C8-94EC-AD3DD7D749C0}">
          <x14:formula1>
            <xm:f>OFFSET(Heath_Personas!$A$4,0,0,MAX(1,COUNTA(Heath_Personas!$A:$A)-3),1)</xm:f>
          </x14:formula1>
          <xm:sqref>B11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FEE90-C59A-446C-B9AB-1610774C9DF5}">
  <sheetPr codeName="Sheet13"/>
  <dimension ref="A1:AD51"/>
  <sheetViews>
    <sheetView showGridLines="0" tabSelected="1" zoomScale="80" zoomScaleNormal="80" workbookViewId="0">
      <pane ySplit="5" topLeftCell="A6" activePane="bottomLeft" state="frozen"/>
      <selection pane="bottomLeft" activeCell="A15" sqref="A15"/>
    </sheetView>
  </sheetViews>
  <sheetFormatPr defaultRowHeight="13.8"/>
  <cols>
    <col min="1" max="1" width="34.69921875" style="18" customWidth="1"/>
    <col min="2" max="2" width="17.69921875" style="18" customWidth="1"/>
    <col min="3" max="4" width="13.69921875" style="18" customWidth="1"/>
    <col min="5" max="14" width="14.69921875" style="18" customWidth="1"/>
    <col min="15" max="15" width="15.69921875" style="18" customWidth="1"/>
    <col min="16" max="16" width="34.69921875" style="18" hidden="1" customWidth="1"/>
    <col min="17" max="17" width="16.69921875" style="18" hidden="1" customWidth="1"/>
    <col min="18" max="19" width="12.69921875" style="18" hidden="1" customWidth="1"/>
    <col min="20" max="29" width="14.69921875" style="18" hidden="1" customWidth="1"/>
    <col min="30" max="30" width="17.69921875" style="18" hidden="1" customWidth="1"/>
    <col min="31" max="16384" width="8.796875" style="18"/>
  </cols>
  <sheetData>
    <row r="1" spans="1:30" ht="15.6">
      <c r="A1" s="71" t="s">
        <v>556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</row>
    <row r="2" spans="1:30" ht="30" customHeight="1">
      <c r="A2" s="72" t="s">
        <v>756</v>
      </c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3" spans="1:30">
      <c r="A3" s="73" t="s">
        <v>557</v>
      </c>
      <c r="B3" s="51">
        <v>46203</v>
      </c>
      <c r="C3" s="73"/>
      <c r="D3" s="73" t="s">
        <v>558</v>
      </c>
      <c r="E3" s="51">
        <v>42886</v>
      </c>
      <c r="F3" s="73"/>
      <c r="G3" s="73"/>
      <c r="H3" s="73"/>
      <c r="I3" s="73"/>
      <c r="J3" s="73"/>
      <c r="K3" s="73"/>
      <c r="L3" s="73"/>
      <c r="M3" s="73"/>
      <c r="N3" s="73"/>
      <c r="O3" s="73"/>
    </row>
    <row r="4" spans="1:30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</row>
    <row r="5" spans="1:30" ht="15.6">
      <c r="A5" s="71" t="s">
        <v>398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</row>
    <row r="6" spans="1:30" ht="42" customHeight="1">
      <c r="A6" s="74" t="s">
        <v>2</v>
      </c>
      <c r="B6" s="74" t="s">
        <v>4</v>
      </c>
      <c r="C6" s="74" t="s">
        <v>559</v>
      </c>
      <c r="D6" s="74" t="s">
        <v>400</v>
      </c>
      <c r="E6" s="74" t="s">
        <v>669</v>
      </c>
      <c r="F6" s="74" t="s">
        <v>744</v>
      </c>
      <c r="G6" s="74" t="s">
        <v>745</v>
      </c>
      <c r="H6" s="74" t="s">
        <v>746</v>
      </c>
      <c r="I6" s="74" t="s">
        <v>673</v>
      </c>
      <c r="J6" s="74" t="s">
        <v>674</v>
      </c>
      <c r="K6" s="74" t="s">
        <v>747</v>
      </c>
      <c r="L6" s="74" t="s">
        <v>748</v>
      </c>
      <c r="M6" s="74" t="s">
        <v>749</v>
      </c>
      <c r="N6" s="74" t="s">
        <v>750</v>
      </c>
      <c r="O6" s="74" t="s">
        <v>751</v>
      </c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</row>
    <row r="7" spans="1:30">
      <c r="A7" s="75" t="s">
        <v>194</v>
      </c>
      <c r="B7" s="75" t="s">
        <v>94</v>
      </c>
      <c r="C7" s="76">
        <v>4.416666666666667</v>
      </c>
      <c r="D7" s="76">
        <v>7.2700000000000005</v>
      </c>
      <c r="E7" s="52">
        <v>8.5</v>
      </c>
      <c r="F7" s="52">
        <v>7.5</v>
      </c>
      <c r="G7" s="52">
        <v>7.16</v>
      </c>
      <c r="H7" s="52">
        <v>7.22</v>
      </c>
      <c r="I7" s="52">
        <v>7.94</v>
      </c>
      <c r="J7" s="52">
        <v>7</v>
      </c>
      <c r="K7" s="52">
        <v>6.5</v>
      </c>
      <c r="L7" s="52">
        <v>6.5</v>
      </c>
      <c r="M7" s="52">
        <v>7.44</v>
      </c>
      <c r="N7" s="52">
        <v>6.94</v>
      </c>
      <c r="O7" s="76">
        <v>-2.0300000000000002</v>
      </c>
      <c r="P7" s="32" t="s">
        <v>735</v>
      </c>
      <c r="Q7" s="32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</row>
    <row r="8" spans="1:30">
      <c r="A8" s="75" t="s">
        <v>166</v>
      </c>
      <c r="B8" s="75" t="s">
        <v>42</v>
      </c>
      <c r="C8" s="76">
        <v>7.416666666666667</v>
      </c>
      <c r="D8" s="76">
        <v>9.6519999999999975</v>
      </c>
      <c r="E8" s="52">
        <v>9</v>
      </c>
      <c r="F8" s="52">
        <v>10</v>
      </c>
      <c r="G8" s="52">
        <v>10</v>
      </c>
      <c r="H8" s="52">
        <v>10</v>
      </c>
      <c r="I8" s="52">
        <v>8.5399999999999991</v>
      </c>
      <c r="J8" s="52">
        <v>10</v>
      </c>
      <c r="K8" s="52">
        <v>10</v>
      </c>
      <c r="L8" s="52">
        <v>10</v>
      </c>
      <c r="M8" s="52">
        <v>9.74</v>
      </c>
      <c r="N8" s="52">
        <v>9.24</v>
      </c>
      <c r="O8" s="76">
        <v>1.4019999999999975</v>
      </c>
      <c r="P8" s="32" t="s">
        <v>721</v>
      </c>
      <c r="Q8" s="32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</row>
    <row r="9" spans="1:30">
      <c r="A9" s="75" t="s">
        <v>185</v>
      </c>
      <c r="B9" s="75" t="s">
        <v>42</v>
      </c>
      <c r="C9" s="76">
        <v>5.416666666666667</v>
      </c>
      <c r="D9" s="76">
        <v>7.7200000000000006</v>
      </c>
      <c r="E9" s="52">
        <v>9</v>
      </c>
      <c r="F9" s="52">
        <v>8</v>
      </c>
      <c r="G9" s="52">
        <v>7.31</v>
      </c>
      <c r="H9" s="52">
        <v>7.77</v>
      </c>
      <c r="I9" s="52">
        <v>8.0399999999999991</v>
      </c>
      <c r="J9" s="52">
        <v>7.5</v>
      </c>
      <c r="K9" s="52">
        <v>8</v>
      </c>
      <c r="L9" s="52">
        <v>7</v>
      </c>
      <c r="M9" s="52">
        <v>7.54</v>
      </c>
      <c r="N9" s="52">
        <v>7.04</v>
      </c>
      <c r="O9" s="76">
        <v>-0.97999999999999865</v>
      </c>
      <c r="P9" s="32" t="s">
        <v>729</v>
      </c>
      <c r="Q9" s="32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</row>
    <row r="10" spans="1:30">
      <c r="A10" s="75" t="s">
        <v>204</v>
      </c>
      <c r="B10" s="75" t="s">
        <v>42</v>
      </c>
      <c r="C10" s="76">
        <v>3.4166666666666665</v>
      </c>
      <c r="D10" s="76">
        <v>7.42</v>
      </c>
      <c r="E10" s="52">
        <v>8.5</v>
      </c>
      <c r="F10" s="52">
        <v>8</v>
      </c>
      <c r="G10" s="52">
        <v>7.01</v>
      </c>
      <c r="H10" s="52">
        <v>7.67</v>
      </c>
      <c r="I10" s="52">
        <v>7.84</v>
      </c>
      <c r="J10" s="52">
        <v>7.5</v>
      </c>
      <c r="K10" s="52">
        <v>6.5</v>
      </c>
      <c r="L10" s="52">
        <v>7</v>
      </c>
      <c r="M10" s="52">
        <v>7.34</v>
      </c>
      <c r="N10" s="52">
        <v>6.84</v>
      </c>
      <c r="O10" s="76">
        <v>-1.2300000000000004</v>
      </c>
      <c r="P10" s="32" t="s">
        <v>740</v>
      </c>
      <c r="Q10" s="32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</row>
    <row r="11" spans="1:30">
      <c r="A11" s="75" t="s">
        <v>215</v>
      </c>
      <c r="B11" s="75" t="s">
        <v>42</v>
      </c>
      <c r="C11" s="76">
        <v>1.3333333333333333</v>
      </c>
      <c r="D11" s="76">
        <v>8.7900000000000009</v>
      </c>
      <c r="E11" s="52">
        <v>9</v>
      </c>
      <c r="F11" s="52">
        <v>9.5</v>
      </c>
      <c r="G11" s="52">
        <v>9.1999999999999993</v>
      </c>
      <c r="H11" s="52">
        <v>8.57</v>
      </c>
      <c r="I11" s="52">
        <v>7.63</v>
      </c>
      <c r="J11" s="52">
        <v>9</v>
      </c>
      <c r="K11" s="52">
        <v>10</v>
      </c>
      <c r="L11" s="52">
        <v>9</v>
      </c>
      <c r="M11" s="52">
        <v>8</v>
      </c>
      <c r="N11" s="52">
        <v>8</v>
      </c>
      <c r="O11" s="76">
        <v>0.29000000000000092</v>
      </c>
      <c r="P11" s="32" t="s">
        <v>743</v>
      </c>
      <c r="Q11" s="32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</row>
    <row r="12" spans="1:30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</row>
    <row r="13" spans="1:30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</row>
    <row r="14" spans="1:30" ht="15.6">
      <c r="A14" s="71" t="s">
        <v>399</v>
      </c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</row>
    <row r="15" spans="1:30" ht="42" customHeight="1">
      <c r="A15" s="74" t="s">
        <v>2</v>
      </c>
      <c r="B15" s="74" t="s">
        <v>4</v>
      </c>
      <c r="C15" s="74" t="s">
        <v>559</v>
      </c>
      <c r="D15" s="74" t="s">
        <v>400</v>
      </c>
      <c r="E15" s="74" t="s">
        <v>669</v>
      </c>
      <c r="F15" s="74" t="s">
        <v>744</v>
      </c>
      <c r="G15" s="74" t="s">
        <v>745</v>
      </c>
      <c r="H15" s="74" t="s">
        <v>746</v>
      </c>
      <c r="I15" s="74" t="s">
        <v>673</v>
      </c>
      <c r="J15" s="74" t="s">
        <v>674</v>
      </c>
      <c r="K15" s="74" t="s">
        <v>747</v>
      </c>
      <c r="L15" s="74" t="s">
        <v>748</v>
      </c>
      <c r="M15" s="74" t="s">
        <v>749</v>
      </c>
      <c r="N15" s="74" t="s">
        <v>750</v>
      </c>
      <c r="O15" s="74" t="s">
        <v>751</v>
      </c>
    </row>
    <row r="16" spans="1:30">
      <c r="A16" s="75" t="s">
        <v>119</v>
      </c>
      <c r="B16" s="75" t="s">
        <v>94</v>
      </c>
      <c r="C16" s="76">
        <v>7.333333333333333</v>
      </c>
      <c r="D16" s="76">
        <v>9.3000000000000007</v>
      </c>
      <c r="E16" s="52">
        <v>10</v>
      </c>
      <c r="F16" s="52">
        <v>10</v>
      </c>
      <c r="G16" s="52">
        <v>10</v>
      </c>
      <c r="H16" s="52">
        <v>10</v>
      </c>
      <c r="I16" s="52">
        <v>9</v>
      </c>
      <c r="J16" s="52">
        <v>8</v>
      </c>
      <c r="K16" s="52">
        <v>8</v>
      </c>
      <c r="L16" s="52">
        <v>8</v>
      </c>
      <c r="M16" s="52">
        <v>10</v>
      </c>
      <c r="N16" s="52">
        <v>10</v>
      </c>
      <c r="O16" s="76">
        <v>2.0300000000000002</v>
      </c>
      <c r="P16" s="18" t="s">
        <v>694</v>
      </c>
    </row>
    <row r="17" spans="1:16">
      <c r="A17" s="75" t="s">
        <v>95</v>
      </c>
      <c r="B17" s="75" t="s">
        <v>42</v>
      </c>
      <c r="C17" s="76">
        <v>9.8333333333333339</v>
      </c>
      <c r="D17" s="76">
        <v>8.25</v>
      </c>
      <c r="E17" s="52">
        <v>8</v>
      </c>
      <c r="F17" s="52">
        <v>8</v>
      </c>
      <c r="G17" s="52">
        <v>8</v>
      </c>
      <c r="H17" s="52">
        <v>9</v>
      </c>
      <c r="I17" s="52">
        <v>8.5</v>
      </c>
      <c r="J17" s="52">
        <v>9</v>
      </c>
      <c r="K17" s="52">
        <v>7</v>
      </c>
      <c r="L17" s="52">
        <v>9</v>
      </c>
      <c r="M17" s="52">
        <v>8.5</v>
      </c>
      <c r="N17" s="52">
        <v>7.5</v>
      </c>
      <c r="O17" s="76">
        <v>-1.4019999999999975</v>
      </c>
      <c r="P17" s="18" t="s">
        <v>692</v>
      </c>
    </row>
    <row r="18" spans="1:16">
      <c r="A18" s="75" t="s">
        <v>132</v>
      </c>
      <c r="B18" s="75" t="s">
        <v>42</v>
      </c>
      <c r="C18" s="76">
        <v>6.333333333333333</v>
      </c>
      <c r="D18" s="76">
        <v>8.6999999999999993</v>
      </c>
      <c r="E18" s="52">
        <v>10</v>
      </c>
      <c r="F18" s="52">
        <v>10</v>
      </c>
      <c r="G18" s="52">
        <v>9</v>
      </c>
      <c r="H18" s="52">
        <v>9.5</v>
      </c>
      <c r="I18" s="52">
        <v>6</v>
      </c>
      <c r="J18" s="52">
        <v>7.5</v>
      </c>
      <c r="K18" s="52">
        <v>8</v>
      </c>
      <c r="L18" s="52">
        <v>9</v>
      </c>
      <c r="M18" s="52">
        <v>9</v>
      </c>
      <c r="N18" s="52">
        <v>9</v>
      </c>
      <c r="O18" s="76">
        <v>0.97999999999999865</v>
      </c>
      <c r="P18" s="18" t="s">
        <v>695</v>
      </c>
    </row>
    <row r="19" spans="1:16">
      <c r="A19" s="75" t="s">
        <v>135</v>
      </c>
      <c r="B19" s="75" t="s">
        <v>42</v>
      </c>
      <c r="C19" s="76">
        <v>4.333333333333333</v>
      </c>
      <c r="D19" s="76">
        <v>8.65</v>
      </c>
      <c r="E19" s="52">
        <v>9</v>
      </c>
      <c r="F19" s="52">
        <v>9.5</v>
      </c>
      <c r="G19" s="52">
        <v>9</v>
      </c>
      <c r="H19" s="52">
        <v>9.5</v>
      </c>
      <c r="I19" s="52">
        <v>8</v>
      </c>
      <c r="J19" s="52">
        <v>9</v>
      </c>
      <c r="K19" s="52">
        <v>8</v>
      </c>
      <c r="L19" s="52">
        <v>9</v>
      </c>
      <c r="M19" s="52">
        <v>8.5</v>
      </c>
      <c r="N19" s="52">
        <v>7</v>
      </c>
      <c r="O19" s="76">
        <v>1.2300000000000004</v>
      </c>
      <c r="P19" s="18" t="s">
        <v>696</v>
      </c>
    </row>
    <row r="20" spans="1:16">
      <c r="A20" s="75" t="s">
        <v>138</v>
      </c>
      <c r="B20" s="75" t="s">
        <v>42</v>
      </c>
      <c r="C20" s="76">
        <v>0.33333333333333331</v>
      </c>
      <c r="D20" s="76">
        <v>8.5</v>
      </c>
      <c r="E20" s="52">
        <v>9</v>
      </c>
      <c r="F20" s="52">
        <v>10</v>
      </c>
      <c r="G20" s="52">
        <v>9</v>
      </c>
      <c r="H20" s="52">
        <v>10</v>
      </c>
      <c r="I20" s="52">
        <v>7</v>
      </c>
      <c r="J20" s="52">
        <v>9</v>
      </c>
      <c r="K20" s="52">
        <v>8</v>
      </c>
      <c r="L20" s="52">
        <v>7</v>
      </c>
      <c r="M20" s="52">
        <v>8</v>
      </c>
      <c r="N20" s="52">
        <v>8</v>
      </c>
      <c r="O20" s="76">
        <v>-0.29000000000000092</v>
      </c>
      <c r="P20" s="18" t="s">
        <v>697</v>
      </c>
    </row>
    <row r="21" spans="1:16">
      <c r="A21" s="73"/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</row>
    <row r="22" spans="1:16">
      <c r="A22" s="73"/>
      <c r="B22" s="73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</row>
    <row r="23" spans="1:16">
      <c r="A23" s="77" t="s">
        <v>560</v>
      </c>
      <c r="B23" s="77" t="s">
        <v>398</v>
      </c>
      <c r="C23" s="77" t="s">
        <v>399</v>
      </c>
      <c r="D23" s="77" t="s">
        <v>409</v>
      </c>
      <c r="E23" s="77" t="s">
        <v>561</v>
      </c>
      <c r="F23" s="77" t="s">
        <v>562</v>
      </c>
      <c r="G23" s="73"/>
      <c r="H23" s="73"/>
      <c r="I23" s="73"/>
      <c r="J23" s="73"/>
      <c r="K23" s="73"/>
      <c r="L23" s="73"/>
      <c r="M23" s="73"/>
      <c r="N23" s="73"/>
      <c r="O23" s="73"/>
    </row>
    <row r="24" spans="1:16">
      <c r="A24" s="75" t="s">
        <v>563</v>
      </c>
      <c r="B24" s="76">
        <v>8.170399999999999</v>
      </c>
      <c r="C24" s="76">
        <v>8.68</v>
      </c>
      <c r="D24" s="76">
        <v>0.50960000000000072</v>
      </c>
      <c r="E24" s="78">
        <v>6.2371487320082346E-2</v>
      </c>
      <c r="F24" s="75"/>
      <c r="G24" s="73"/>
      <c r="H24" s="73"/>
      <c r="I24" s="73"/>
      <c r="J24" s="73"/>
      <c r="K24" s="73"/>
      <c r="L24" s="73"/>
      <c r="M24" s="73"/>
      <c r="N24" s="73"/>
      <c r="O24" s="73"/>
    </row>
    <row r="25" spans="1:16">
      <c r="A25" s="75" t="s">
        <v>564</v>
      </c>
      <c r="B25" s="76">
        <v>7.7200000000000006</v>
      </c>
      <c r="C25" s="76">
        <v>8.65</v>
      </c>
      <c r="D25" s="76">
        <v>0.92999999999999972</v>
      </c>
      <c r="E25" s="78">
        <v>0.12046632124352327</v>
      </c>
      <c r="F25" s="75"/>
      <c r="G25" s="73"/>
      <c r="H25" s="73"/>
      <c r="I25" s="73"/>
      <c r="J25" s="73"/>
      <c r="K25" s="73"/>
      <c r="L25" s="73"/>
      <c r="M25" s="73"/>
      <c r="N25" s="73"/>
      <c r="O25" s="73"/>
    </row>
    <row r="26" spans="1:16">
      <c r="A26" s="75" t="s">
        <v>565</v>
      </c>
      <c r="B26" s="76">
        <v>9.6519999999999975</v>
      </c>
      <c r="C26" s="76">
        <v>9.3000000000000007</v>
      </c>
      <c r="D26" s="76">
        <v>-0.35199999999999676</v>
      </c>
      <c r="E26" s="78">
        <v>-3.6469125569829758E-2</v>
      </c>
      <c r="F26" s="75"/>
      <c r="G26" s="73"/>
      <c r="H26" s="73"/>
      <c r="I26" s="73"/>
      <c r="J26" s="73"/>
      <c r="K26" s="73"/>
      <c r="L26" s="73"/>
      <c r="M26" s="73"/>
      <c r="N26" s="73"/>
      <c r="O26" s="73"/>
    </row>
    <row r="27" spans="1:16">
      <c r="A27" s="75" t="s">
        <v>566</v>
      </c>
      <c r="B27" s="76">
        <v>7.2700000000000005</v>
      </c>
      <c r="C27" s="76">
        <v>8.25</v>
      </c>
      <c r="D27" s="76">
        <v>0.97999999999999954</v>
      </c>
      <c r="E27" s="78">
        <v>0.13480055020632731</v>
      </c>
      <c r="F27" s="75"/>
      <c r="G27" s="73"/>
      <c r="H27" s="73"/>
      <c r="I27" s="73"/>
      <c r="J27" s="73"/>
      <c r="K27" s="73"/>
      <c r="L27" s="73"/>
      <c r="M27" s="73"/>
      <c r="N27" s="73"/>
      <c r="O27" s="73"/>
    </row>
    <row r="28" spans="1:16">
      <c r="A28" s="75" t="s">
        <v>567</v>
      </c>
      <c r="B28" s="76">
        <v>1.0192795494858111</v>
      </c>
      <c r="C28" s="76">
        <v>0.3882653731663438</v>
      </c>
      <c r="D28" s="76">
        <v>-0.63101417631946732</v>
      </c>
      <c r="E28" s="78">
        <v>-0.61907861944035925</v>
      </c>
      <c r="F28" s="75"/>
      <c r="G28" s="73"/>
      <c r="H28" s="73"/>
      <c r="I28" s="73"/>
      <c r="J28" s="73"/>
      <c r="K28" s="73"/>
      <c r="L28" s="73"/>
      <c r="M28" s="73"/>
      <c r="N28" s="73"/>
      <c r="O28" s="73"/>
    </row>
    <row r="29" spans="1:16">
      <c r="A29" s="75" t="s">
        <v>568</v>
      </c>
      <c r="B29" s="76">
        <v>2.381999999999997</v>
      </c>
      <c r="C29" s="76">
        <v>1.0500000000000007</v>
      </c>
      <c r="D29" s="76">
        <v>-1.3319999999999963</v>
      </c>
      <c r="E29" s="78">
        <v>-0.55919395465994881</v>
      </c>
      <c r="F29" s="75"/>
      <c r="G29" s="73"/>
      <c r="H29" s="73"/>
      <c r="I29" s="73"/>
      <c r="J29" s="73"/>
      <c r="K29" s="73"/>
      <c r="L29" s="73"/>
      <c r="M29" s="73"/>
      <c r="N29" s="73"/>
      <c r="O29" s="73"/>
    </row>
    <row r="30" spans="1:16">
      <c r="A30" s="75" t="s">
        <v>569</v>
      </c>
      <c r="B30" s="76">
        <v>0.124752710942648</v>
      </c>
      <c r="C30" s="76">
        <v>4.4731033774924399E-2</v>
      </c>
      <c r="D30" s="76">
        <v>-8.0021677167723598E-2</v>
      </c>
      <c r="E30" s="78">
        <v>-0.6414423908151512</v>
      </c>
      <c r="F30" s="75"/>
      <c r="G30" s="73"/>
      <c r="H30" s="73"/>
      <c r="I30" s="73"/>
      <c r="J30" s="73"/>
      <c r="K30" s="73"/>
      <c r="L30" s="73"/>
      <c r="M30" s="73"/>
      <c r="N30" s="73"/>
      <c r="O30" s="73"/>
    </row>
    <row r="31" spans="1:16">
      <c r="A31" s="75" t="s">
        <v>570</v>
      </c>
      <c r="B31" s="76">
        <v>7.2700000000000005</v>
      </c>
      <c r="C31" s="76">
        <v>9.3000000000000007</v>
      </c>
      <c r="D31" s="76">
        <v>2.0300000000000002</v>
      </c>
      <c r="E31" s="78">
        <v>0.27922971114167816</v>
      </c>
      <c r="F31" s="75"/>
      <c r="G31" s="73"/>
      <c r="H31" s="73"/>
      <c r="I31" s="73"/>
      <c r="J31" s="73"/>
      <c r="K31" s="73"/>
      <c r="L31" s="73"/>
      <c r="M31" s="73"/>
      <c r="N31" s="73"/>
      <c r="O31" s="73"/>
    </row>
    <row r="32" spans="1:16">
      <c r="A32" s="73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</row>
    <row r="33" spans="1:15">
      <c r="A33" s="73"/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</row>
    <row r="34" spans="1:15">
      <c r="A34" s="77" t="s">
        <v>477</v>
      </c>
      <c r="B34" s="77" t="s">
        <v>571</v>
      </c>
      <c r="C34" s="77" t="s">
        <v>572</v>
      </c>
      <c r="D34" s="77" t="s">
        <v>409</v>
      </c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</row>
    <row r="35" spans="1:15">
      <c r="A35" s="75" t="s">
        <v>484</v>
      </c>
      <c r="B35" s="76">
        <v>8.8000000000000007</v>
      </c>
      <c r="C35" s="76">
        <v>9.1999999999999993</v>
      </c>
      <c r="D35" s="76">
        <v>0.4</v>
      </c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</row>
    <row r="36" spans="1:15">
      <c r="A36" s="75" t="s">
        <v>489</v>
      </c>
      <c r="B36" s="76">
        <v>8.6</v>
      </c>
      <c r="C36" s="76">
        <v>9.5</v>
      </c>
      <c r="D36" s="76">
        <v>0.9</v>
      </c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</row>
    <row r="37" spans="1:15">
      <c r="A37" s="75" t="s">
        <v>492</v>
      </c>
      <c r="B37" s="76">
        <v>8.1359999999999992</v>
      </c>
      <c r="C37" s="76">
        <v>9</v>
      </c>
      <c r="D37" s="76">
        <v>0.86400000000000143</v>
      </c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</row>
    <row r="38" spans="1:15">
      <c r="A38" s="75" t="s">
        <v>497</v>
      </c>
      <c r="B38" s="76">
        <v>8.2459999999999987</v>
      </c>
      <c r="C38" s="76">
        <v>9.6</v>
      </c>
      <c r="D38" s="76">
        <v>1.3540000000000005</v>
      </c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</row>
    <row r="39" spans="1:15">
      <c r="A39" s="75" t="s">
        <v>501</v>
      </c>
      <c r="B39" s="76">
        <v>7.9980000000000002</v>
      </c>
      <c r="C39" s="76">
        <v>7.7</v>
      </c>
      <c r="D39" s="76">
        <v>-0.29800000000000038</v>
      </c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</row>
    <row r="40" spans="1:15">
      <c r="A40" s="75" t="s">
        <v>505</v>
      </c>
      <c r="B40" s="76">
        <v>8.1999999999999993</v>
      </c>
      <c r="C40" s="76">
        <v>8.5</v>
      </c>
      <c r="D40" s="76">
        <v>0.3</v>
      </c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</row>
    <row r="41" spans="1:15">
      <c r="A41" s="75" t="s">
        <v>510</v>
      </c>
      <c r="B41" s="76">
        <v>8.1999999999999993</v>
      </c>
      <c r="C41" s="76">
        <v>7.8</v>
      </c>
      <c r="D41" s="76">
        <v>-0.4</v>
      </c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</row>
    <row r="42" spans="1:15">
      <c r="A42" s="75" t="s">
        <v>514</v>
      </c>
      <c r="B42" s="76">
        <v>7.9</v>
      </c>
      <c r="C42" s="76">
        <v>8.4</v>
      </c>
      <c r="D42" s="76">
        <v>0.5</v>
      </c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</row>
    <row r="43" spans="1:15">
      <c r="A43" s="75" t="s">
        <v>518</v>
      </c>
      <c r="B43" s="76">
        <v>8.0120000000000005</v>
      </c>
      <c r="C43" s="76">
        <v>8.8000000000000007</v>
      </c>
      <c r="D43" s="76">
        <v>0.78799999999999959</v>
      </c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</row>
    <row r="44" spans="1:15">
      <c r="A44" s="75" t="s">
        <v>521</v>
      </c>
      <c r="B44" s="76">
        <v>7.6120000000000001</v>
      </c>
      <c r="C44" s="76">
        <v>8.3000000000000007</v>
      </c>
      <c r="D44" s="76">
        <v>0.6879999999999995</v>
      </c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</row>
    <row r="45" spans="1:15">
      <c r="A45" s="73"/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</row>
    <row r="46" spans="1:15">
      <c r="A46" s="73"/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</row>
    <row r="47" spans="1:15">
      <c r="A47" s="77" t="s">
        <v>554</v>
      </c>
      <c r="B47" s="77" t="s">
        <v>398</v>
      </c>
      <c r="C47" s="77" t="s">
        <v>399</v>
      </c>
      <c r="D47" s="77" t="s">
        <v>573</v>
      </c>
      <c r="E47" s="77" t="s">
        <v>574</v>
      </c>
      <c r="F47" s="77" t="s">
        <v>575</v>
      </c>
      <c r="G47" s="73"/>
      <c r="H47" s="73"/>
      <c r="I47" s="73"/>
      <c r="J47" s="73"/>
      <c r="K47" s="73"/>
      <c r="L47" s="73"/>
      <c r="M47" s="73"/>
      <c r="N47" s="73"/>
      <c r="O47" s="73"/>
    </row>
    <row r="48" spans="1:15">
      <c r="A48" s="73" t="s">
        <v>576</v>
      </c>
      <c r="B48" s="73">
        <v>0</v>
      </c>
      <c r="C48" s="73">
        <v>0</v>
      </c>
      <c r="D48" s="73" t="s">
        <v>757</v>
      </c>
      <c r="E48" s="79">
        <v>46228.579606481479</v>
      </c>
      <c r="F48" s="73" t="s">
        <v>758</v>
      </c>
      <c r="G48" s="73"/>
      <c r="H48" s="73"/>
      <c r="I48" s="73"/>
      <c r="J48" s="73"/>
      <c r="K48" s="73"/>
      <c r="L48" s="73"/>
      <c r="M48" s="73"/>
      <c r="N48" s="73"/>
      <c r="O48" s="73"/>
    </row>
    <row r="49" spans="1:15">
      <c r="A49" s="73"/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</row>
    <row r="50" spans="1:15" ht="24" customHeight="1">
      <c r="A50" s="80" t="s">
        <v>772</v>
      </c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</row>
    <row r="51" spans="1:15">
      <c r="A51" s="80"/>
      <c r="B51" s="8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</row>
  </sheetData>
  <sheetProtection algorithmName="SHA-512" hashValue="sWoSoI/EZriLJ41IgRp2eyXALP74hOSYvoZGVNJ6vf2JEZkYmP8FK5OIivouxjbSA6Q3imT3iAElHgHztyI/vg==" saltValue="dlAN5vAxWC1YEC+CKSoKOw==" spinCount="100000" sheet="1" objects="1" scenarios="1" autoFilter="0"/>
  <mergeCells count="5">
    <mergeCell ref="A14:O14"/>
    <mergeCell ref="A5:O5"/>
    <mergeCell ref="A1:O1"/>
    <mergeCell ref="A2:O2"/>
    <mergeCell ref="A50:O51"/>
  </mergeCells>
  <dataValidations count="2">
    <dataValidation type="list" allowBlank="1" showInputMessage="1" showErrorMessage="1" sqref="B3 E3" xr:uid="{C805C977-FC76-4722-8784-4312BDD24EE1}">
      <formula1>MonthlyDates</formula1>
    </dataValidation>
    <dataValidation type="decimal" allowBlank="1" showInputMessage="1" showErrorMessage="1" sqref="E9:N9 E10:N10 E11:N11 E16:N16 E17:N17 E18:N18 E19:N19 E7:N7 E8:N8 E20:N20" xr:uid="{AC4F00F3-75FB-40C5-8C33-95670F675C6D}">
      <formula1>0</formula1>
      <formula2>10</formula2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6408C-DEBB-4010-ABDF-43C683EB5451}">
  <sheetPr codeName="Sheet14"/>
  <dimension ref="A1:AB500"/>
  <sheetViews>
    <sheetView showGridLines="0" workbookViewId="0">
      <selection sqref="A1:AB1"/>
    </sheetView>
  </sheetViews>
  <sheetFormatPr defaultRowHeight="13.8"/>
  <cols>
    <col min="1" max="1" width="14.69921875" style="18" customWidth="1"/>
    <col min="2" max="2" width="30.69921875" style="18" customWidth="1"/>
    <col min="3" max="12" width="12.69921875" style="18" customWidth="1"/>
    <col min="13" max="13" width="25.69921875" style="18" customWidth="1"/>
    <col min="14" max="14" width="14.69921875" style="18" customWidth="1"/>
    <col min="15" max="15" width="30.69921875" style="18" customWidth="1"/>
    <col min="16" max="16" width="65.69921875" style="18" customWidth="1"/>
    <col min="17" max="28" width="12.69921875" style="18" customWidth="1"/>
    <col min="29" max="16384" width="8.796875" style="18"/>
  </cols>
  <sheetData>
    <row r="1" spans="1:28" ht="15.6">
      <c r="A1" s="64" t="s">
        <v>577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</row>
    <row r="2" spans="1:28">
      <c r="A2" s="69" t="s">
        <v>754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</row>
    <row r="3" spans="1:28">
      <c r="A3" s="18" t="s">
        <v>2</v>
      </c>
      <c r="B3" s="67" t="s">
        <v>166</v>
      </c>
      <c r="C3" s="65"/>
      <c r="D3" s="65"/>
      <c r="E3" s="18" t="s">
        <v>578</v>
      </c>
      <c r="F3" s="31">
        <v>43496</v>
      </c>
      <c r="H3" s="18" t="s">
        <v>579</v>
      </c>
      <c r="I3" s="31">
        <v>46203</v>
      </c>
      <c r="K3" s="18" t="s">
        <v>319</v>
      </c>
      <c r="L3" s="18" t="s">
        <v>755</v>
      </c>
    </row>
    <row r="5" spans="1:28" ht="15.6">
      <c r="A5" s="64" t="s">
        <v>580</v>
      </c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N5" s="64" t="s">
        <v>583</v>
      </c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</row>
    <row r="6" spans="1:28" ht="42" customHeight="1">
      <c r="A6" s="45" t="s">
        <v>229</v>
      </c>
      <c r="B6" s="45" t="s">
        <v>400</v>
      </c>
      <c r="C6" s="45" t="s">
        <v>669</v>
      </c>
      <c r="D6" s="45" t="s">
        <v>744</v>
      </c>
      <c r="E6" s="45" t="s">
        <v>745</v>
      </c>
      <c r="F6" s="45" t="s">
        <v>746</v>
      </c>
      <c r="G6" s="45" t="s">
        <v>673</v>
      </c>
      <c r="H6" s="45" t="s">
        <v>674</v>
      </c>
      <c r="I6" s="45" t="s">
        <v>747</v>
      </c>
      <c r="J6" s="45" t="s">
        <v>748</v>
      </c>
      <c r="K6" s="45" t="s">
        <v>749</v>
      </c>
      <c r="L6" s="45" t="s">
        <v>750</v>
      </c>
      <c r="M6" s="35" t="s">
        <v>752</v>
      </c>
      <c r="N6" s="45" t="s">
        <v>229</v>
      </c>
      <c r="O6" s="45" t="s">
        <v>94</v>
      </c>
      <c r="P6" s="45" t="s">
        <v>581</v>
      </c>
      <c r="Q6" s="45" t="s">
        <v>582</v>
      </c>
      <c r="R6" s="45" t="s">
        <v>400</v>
      </c>
      <c r="S6" s="45" t="s">
        <v>669</v>
      </c>
      <c r="T6" s="45" t="s">
        <v>744</v>
      </c>
      <c r="U6" s="45" t="s">
        <v>745</v>
      </c>
      <c r="V6" s="45" t="s">
        <v>746</v>
      </c>
      <c r="W6" s="45" t="s">
        <v>673</v>
      </c>
      <c r="X6" s="45" t="s">
        <v>674</v>
      </c>
      <c r="Y6" s="45" t="s">
        <v>747</v>
      </c>
      <c r="Z6" s="45" t="s">
        <v>748</v>
      </c>
      <c r="AA6" s="45" t="s">
        <v>749</v>
      </c>
      <c r="AB6" s="45" t="s">
        <v>750</v>
      </c>
    </row>
    <row r="7" spans="1:28">
      <c r="A7" s="34">
        <v>43496</v>
      </c>
      <c r="B7" s="33">
        <v>7.98</v>
      </c>
      <c r="C7" s="33">
        <v>9</v>
      </c>
      <c r="D7" s="33">
        <v>9</v>
      </c>
      <c r="E7" s="33">
        <v>9</v>
      </c>
      <c r="F7" s="33">
        <v>8.5</v>
      </c>
      <c r="G7" s="33">
        <v>7.8</v>
      </c>
      <c r="H7" s="33">
        <v>9</v>
      </c>
      <c r="I7" s="33">
        <v>1</v>
      </c>
      <c r="J7" s="33">
        <v>9</v>
      </c>
      <c r="K7" s="33">
        <v>9</v>
      </c>
      <c r="L7" s="33">
        <v>8.5</v>
      </c>
      <c r="M7" s="18" t="s">
        <v>665</v>
      </c>
      <c r="N7" s="34">
        <v>43496</v>
      </c>
      <c r="O7" s="32" t="s">
        <v>138</v>
      </c>
      <c r="P7" s="32" t="s">
        <v>584</v>
      </c>
      <c r="Q7" s="36">
        <v>5</v>
      </c>
      <c r="R7" s="33">
        <v>8.2439999999999998</v>
      </c>
      <c r="S7" s="33">
        <v>9.1</v>
      </c>
      <c r="T7" s="33">
        <v>9.1999999999999993</v>
      </c>
      <c r="U7" s="33">
        <v>8.8279999999999994</v>
      </c>
      <c r="V7" s="33">
        <v>9.2099999999999991</v>
      </c>
      <c r="W7" s="33">
        <v>7.4779999999999998</v>
      </c>
      <c r="X7" s="33">
        <v>8.8000000000000007</v>
      </c>
      <c r="Y7" s="33">
        <v>5.2919999999999998</v>
      </c>
      <c r="Z7" s="33">
        <v>8.3000000000000007</v>
      </c>
      <c r="AA7" s="33">
        <v>8.3180000000000014</v>
      </c>
      <c r="AB7" s="33">
        <v>7.918000000000001</v>
      </c>
    </row>
    <row r="8" spans="1:28">
      <c r="A8" s="34">
        <v>43830</v>
      </c>
      <c r="B8" s="33">
        <v>8.07</v>
      </c>
      <c r="C8" s="33">
        <v>9</v>
      </c>
      <c r="D8" s="33">
        <v>9</v>
      </c>
      <c r="E8" s="33">
        <v>9.14</v>
      </c>
      <c r="F8" s="33">
        <v>8.5500000000000007</v>
      </c>
      <c r="G8" s="33">
        <v>7.89</v>
      </c>
      <c r="H8" s="33">
        <v>9</v>
      </c>
      <c r="I8" s="33">
        <v>1.46</v>
      </c>
      <c r="J8" s="33">
        <v>9</v>
      </c>
      <c r="K8" s="33">
        <v>9.09</v>
      </c>
      <c r="L8" s="33">
        <v>8.59</v>
      </c>
      <c r="M8" s="18" t="s">
        <v>665</v>
      </c>
      <c r="N8" s="34">
        <v>43830</v>
      </c>
      <c r="O8" s="32" t="s">
        <v>138</v>
      </c>
      <c r="P8" s="32" t="s">
        <v>584</v>
      </c>
      <c r="Q8" s="36">
        <v>5</v>
      </c>
      <c r="R8" s="33">
        <v>8.3000000000000007</v>
      </c>
      <c r="S8" s="33">
        <v>9.1</v>
      </c>
      <c r="T8" s="33">
        <v>9.1999999999999993</v>
      </c>
      <c r="U8" s="33">
        <v>8.9139999999999997</v>
      </c>
      <c r="V8" s="33">
        <v>9.24</v>
      </c>
      <c r="W8" s="33">
        <v>7.5339999999999989</v>
      </c>
      <c r="X8" s="33">
        <v>8.8000000000000007</v>
      </c>
      <c r="Y8" s="33">
        <v>5.5760000000000005</v>
      </c>
      <c r="Z8" s="33">
        <v>8.3000000000000007</v>
      </c>
      <c r="AA8" s="33">
        <v>8.3740000000000006</v>
      </c>
      <c r="AB8" s="33">
        <v>7.9740000000000011</v>
      </c>
    </row>
    <row r="9" spans="1:28">
      <c r="A9" s="34">
        <v>44196</v>
      </c>
      <c r="B9" s="33">
        <v>8.17</v>
      </c>
      <c r="C9" s="33">
        <v>9</v>
      </c>
      <c r="D9" s="33">
        <v>9</v>
      </c>
      <c r="E9" s="33">
        <v>9.2899999999999991</v>
      </c>
      <c r="F9" s="33">
        <v>8.6</v>
      </c>
      <c r="G9" s="33">
        <v>7.99</v>
      </c>
      <c r="H9" s="33">
        <v>9</v>
      </c>
      <c r="I9" s="33">
        <v>1.96</v>
      </c>
      <c r="J9" s="33">
        <v>9</v>
      </c>
      <c r="K9" s="33">
        <v>9.19</v>
      </c>
      <c r="L9" s="33">
        <v>8.69</v>
      </c>
      <c r="M9" s="18" t="s">
        <v>665</v>
      </c>
      <c r="N9" s="34">
        <v>44196</v>
      </c>
      <c r="O9" s="32" t="s">
        <v>138</v>
      </c>
      <c r="P9" s="32" t="s">
        <v>584</v>
      </c>
      <c r="Q9" s="36">
        <v>5</v>
      </c>
      <c r="R9" s="33">
        <v>8.3600000000000012</v>
      </c>
      <c r="S9" s="33">
        <v>9.1</v>
      </c>
      <c r="T9" s="33">
        <v>9.1999999999999993</v>
      </c>
      <c r="U9" s="33">
        <v>9.0040000000000013</v>
      </c>
      <c r="V9" s="33">
        <v>9.27</v>
      </c>
      <c r="W9" s="33">
        <v>7.5939999999999994</v>
      </c>
      <c r="X9" s="33">
        <v>8.8000000000000007</v>
      </c>
      <c r="Y9" s="33">
        <v>5.8760000000000003</v>
      </c>
      <c r="Z9" s="33">
        <v>8.3000000000000007</v>
      </c>
      <c r="AA9" s="33">
        <v>8.4339999999999993</v>
      </c>
      <c r="AB9" s="33">
        <v>8.0339999999999989</v>
      </c>
    </row>
    <row r="10" spans="1:28">
      <c r="A10" s="34">
        <v>44561</v>
      </c>
      <c r="B10" s="33">
        <v>8.27</v>
      </c>
      <c r="C10" s="33">
        <v>9</v>
      </c>
      <c r="D10" s="33">
        <v>9</v>
      </c>
      <c r="E10" s="33">
        <v>9.44</v>
      </c>
      <c r="F10" s="33">
        <v>8.65</v>
      </c>
      <c r="G10" s="33">
        <v>8.09</v>
      </c>
      <c r="H10" s="33">
        <v>9</v>
      </c>
      <c r="I10" s="33">
        <v>2.46</v>
      </c>
      <c r="J10" s="33">
        <v>9</v>
      </c>
      <c r="K10" s="33">
        <v>9.2899999999999991</v>
      </c>
      <c r="L10" s="33">
        <v>8.7899999999999991</v>
      </c>
      <c r="M10" s="18" t="s">
        <v>665</v>
      </c>
      <c r="N10" s="34">
        <v>44197</v>
      </c>
      <c r="O10" s="32" t="s">
        <v>138</v>
      </c>
      <c r="P10" s="32" t="s">
        <v>585</v>
      </c>
      <c r="Q10" s="36">
        <v>4</v>
      </c>
      <c r="R10" s="33">
        <v>8.2125000000000004</v>
      </c>
      <c r="S10" s="33">
        <v>9.125</v>
      </c>
      <c r="T10" s="33">
        <v>9.125</v>
      </c>
      <c r="U10" s="33">
        <v>8.754999999999999</v>
      </c>
      <c r="V10" s="33">
        <v>9.2125000000000004</v>
      </c>
      <c r="W10" s="33">
        <v>7.4924999999999997</v>
      </c>
      <c r="X10" s="33">
        <v>8.75</v>
      </c>
      <c r="Y10" s="33">
        <v>4.8450000000000006</v>
      </c>
      <c r="Z10" s="33">
        <v>8.125</v>
      </c>
      <c r="AA10" s="33">
        <v>8.4174999999999986</v>
      </c>
      <c r="AB10" s="33">
        <v>8.2924999999999986</v>
      </c>
    </row>
    <row r="11" spans="1:28">
      <c r="A11" s="34">
        <v>44926</v>
      </c>
      <c r="B11" s="33">
        <v>8.3699999999999992</v>
      </c>
      <c r="C11" s="33">
        <v>9</v>
      </c>
      <c r="D11" s="33">
        <v>9</v>
      </c>
      <c r="E11" s="33">
        <v>9.59</v>
      </c>
      <c r="F11" s="33">
        <v>8.6999999999999993</v>
      </c>
      <c r="G11" s="33">
        <v>8.19</v>
      </c>
      <c r="H11" s="33">
        <v>9</v>
      </c>
      <c r="I11" s="33">
        <v>2.96</v>
      </c>
      <c r="J11" s="33">
        <v>9</v>
      </c>
      <c r="K11" s="33">
        <v>9.39</v>
      </c>
      <c r="L11" s="33">
        <v>8.89</v>
      </c>
      <c r="M11" s="18" t="s">
        <v>665</v>
      </c>
      <c r="N11" s="34">
        <v>44227</v>
      </c>
      <c r="O11" s="32" t="s">
        <v>138</v>
      </c>
      <c r="P11" s="32" t="s">
        <v>585</v>
      </c>
      <c r="Q11" s="36">
        <v>5</v>
      </c>
      <c r="R11" s="33">
        <v>7.92</v>
      </c>
      <c r="S11" s="33">
        <v>9.1</v>
      </c>
      <c r="T11" s="33">
        <v>8.9</v>
      </c>
      <c r="U11" s="33">
        <v>8.3039999999999985</v>
      </c>
      <c r="V11" s="33">
        <v>8.870000000000001</v>
      </c>
      <c r="W11" s="33">
        <v>7.4939999999999998</v>
      </c>
      <c r="X11" s="33">
        <v>8.5</v>
      </c>
      <c r="Y11" s="33">
        <v>4.0760000000000005</v>
      </c>
      <c r="Z11" s="33">
        <v>7.9</v>
      </c>
      <c r="AA11" s="33">
        <v>8.1339999999999986</v>
      </c>
      <c r="AB11" s="33">
        <v>7.9339999999999993</v>
      </c>
    </row>
    <row r="12" spans="1:28">
      <c r="A12" s="34">
        <v>45291</v>
      </c>
      <c r="B12" s="33">
        <v>8.4700000000000006</v>
      </c>
      <c r="C12" s="33">
        <v>9</v>
      </c>
      <c r="D12" s="33">
        <v>9</v>
      </c>
      <c r="E12" s="33">
        <v>9.74</v>
      </c>
      <c r="F12" s="33">
        <v>8.75</v>
      </c>
      <c r="G12" s="33">
        <v>8.2899999999999991</v>
      </c>
      <c r="H12" s="33">
        <v>9</v>
      </c>
      <c r="I12" s="33">
        <v>3.46</v>
      </c>
      <c r="J12" s="33">
        <v>9</v>
      </c>
      <c r="K12" s="33">
        <v>9.49</v>
      </c>
      <c r="L12" s="33">
        <v>8.99</v>
      </c>
      <c r="M12" s="18" t="s">
        <v>665</v>
      </c>
      <c r="N12" s="34">
        <v>44561</v>
      </c>
      <c r="O12" s="32" t="s">
        <v>138</v>
      </c>
      <c r="P12" s="32" t="s">
        <v>585</v>
      </c>
      <c r="Q12" s="36">
        <v>5</v>
      </c>
      <c r="R12" s="33">
        <v>7.9979999999999993</v>
      </c>
      <c r="S12" s="33">
        <v>9.1</v>
      </c>
      <c r="T12" s="33">
        <v>8.9</v>
      </c>
      <c r="U12" s="33">
        <v>8.4220000000000006</v>
      </c>
      <c r="V12" s="33">
        <v>8.91</v>
      </c>
      <c r="W12" s="33">
        <v>7.5720000000000001</v>
      </c>
      <c r="X12" s="33">
        <v>8.5</v>
      </c>
      <c r="Y12" s="33">
        <v>4.4680000000000009</v>
      </c>
      <c r="Z12" s="33">
        <v>7.9</v>
      </c>
      <c r="AA12" s="33">
        <v>8.2119999999999997</v>
      </c>
      <c r="AB12" s="33">
        <v>8.0120000000000005</v>
      </c>
    </row>
    <row r="13" spans="1:28">
      <c r="A13" s="34">
        <v>45657</v>
      </c>
      <c r="B13" s="33">
        <v>8.57</v>
      </c>
      <c r="C13" s="33">
        <v>9</v>
      </c>
      <c r="D13" s="33">
        <v>9</v>
      </c>
      <c r="E13" s="33">
        <v>9.89</v>
      </c>
      <c r="F13" s="33">
        <v>8.8000000000000007</v>
      </c>
      <c r="G13" s="33">
        <v>8.39</v>
      </c>
      <c r="H13" s="33">
        <v>9</v>
      </c>
      <c r="I13" s="33">
        <v>3.96</v>
      </c>
      <c r="J13" s="33">
        <v>9</v>
      </c>
      <c r="K13" s="33">
        <v>9.59</v>
      </c>
      <c r="L13" s="33">
        <v>9.09</v>
      </c>
      <c r="M13" s="18" t="s">
        <v>665</v>
      </c>
      <c r="N13" s="34">
        <v>44562</v>
      </c>
      <c r="O13" s="32" t="s">
        <v>194</v>
      </c>
      <c r="P13" s="32" t="s">
        <v>586</v>
      </c>
      <c r="Q13" s="36">
        <v>4</v>
      </c>
      <c r="R13" s="33">
        <v>7.8224999999999998</v>
      </c>
      <c r="S13" s="33">
        <v>9.125</v>
      </c>
      <c r="T13" s="33">
        <v>8.625</v>
      </c>
      <c r="U13" s="33">
        <v>8.0274999999999999</v>
      </c>
      <c r="V13" s="33">
        <v>8.6374999999999993</v>
      </c>
      <c r="W13" s="33">
        <v>7.9649999999999999</v>
      </c>
      <c r="X13" s="33">
        <v>8.375</v>
      </c>
      <c r="Y13" s="33">
        <v>3.085</v>
      </c>
      <c r="Z13" s="33">
        <v>8.125</v>
      </c>
      <c r="AA13" s="33">
        <v>8.2650000000000006</v>
      </c>
      <c r="AB13" s="33">
        <v>8.0150000000000006</v>
      </c>
    </row>
    <row r="14" spans="1:28">
      <c r="A14" s="34">
        <v>46022</v>
      </c>
      <c r="B14" s="33">
        <v>8.67</v>
      </c>
      <c r="C14" s="33">
        <v>9</v>
      </c>
      <c r="D14" s="33">
        <v>9</v>
      </c>
      <c r="E14" s="33">
        <v>10</v>
      </c>
      <c r="F14" s="33">
        <v>8.85</v>
      </c>
      <c r="G14" s="33">
        <v>8.49</v>
      </c>
      <c r="H14" s="33">
        <v>9</v>
      </c>
      <c r="I14" s="33">
        <v>4.46</v>
      </c>
      <c r="J14" s="33">
        <v>9</v>
      </c>
      <c r="K14" s="33">
        <v>9.69</v>
      </c>
      <c r="L14" s="33">
        <v>9.19</v>
      </c>
      <c r="M14" s="18" t="s">
        <v>665</v>
      </c>
      <c r="N14" s="34">
        <v>44592</v>
      </c>
      <c r="O14" s="32" t="s">
        <v>194</v>
      </c>
      <c r="P14" s="32" t="s">
        <v>586</v>
      </c>
      <c r="Q14" s="36">
        <v>5</v>
      </c>
      <c r="R14" s="33">
        <v>7.5579999999999998</v>
      </c>
      <c r="S14" s="33">
        <v>9</v>
      </c>
      <c r="T14" s="33">
        <v>8.4</v>
      </c>
      <c r="U14" s="33">
        <v>7.7219999999999995</v>
      </c>
      <c r="V14" s="33">
        <v>8.3099999999999987</v>
      </c>
      <c r="W14" s="33">
        <v>7.8719999999999999</v>
      </c>
      <c r="X14" s="33">
        <v>8.1</v>
      </c>
      <c r="Y14" s="33">
        <v>2.6680000000000001</v>
      </c>
      <c r="Z14" s="33">
        <v>7.8</v>
      </c>
      <c r="AA14" s="33">
        <v>8.0120000000000005</v>
      </c>
      <c r="AB14" s="33">
        <v>7.7120000000000006</v>
      </c>
    </row>
    <row r="15" spans="1:28">
      <c r="A15" s="34">
        <v>46203</v>
      </c>
      <c r="B15" s="33">
        <v>8.7100000000000009</v>
      </c>
      <c r="C15" s="33">
        <v>9</v>
      </c>
      <c r="D15" s="33">
        <v>9</v>
      </c>
      <c r="E15" s="33">
        <v>10</v>
      </c>
      <c r="F15" s="33">
        <v>8.8699999999999992</v>
      </c>
      <c r="G15" s="33">
        <v>8.5399999999999991</v>
      </c>
      <c r="H15" s="33">
        <v>9</v>
      </c>
      <c r="I15" s="33">
        <v>4.71</v>
      </c>
      <c r="J15" s="33">
        <v>9</v>
      </c>
      <c r="K15" s="33">
        <v>9.74</v>
      </c>
      <c r="L15" s="33">
        <v>9.24</v>
      </c>
      <c r="M15" s="18" t="s">
        <v>665</v>
      </c>
      <c r="N15" s="34">
        <v>44926</v>
      </c>
      <c r="O15" s="32" t="s">
        <v>194</v>
      </c>
      <c r="P15" s="32" t="s">
        <v>586</v>
      </c>
      <c r="Q15" s="36">
        <v>5</v>
      </c>
      <c r="R15" s="33">
        <v>7.6559999999999988</v>
      </c>
      <c r="S15" s="33">
        <v>9</v>
      </c>
      <c r="T15" s="33">
        <v>8.4</v>
      </c>
      <c r="U15" s="33">
        <v>7.87</v>
      </c>
      <c r="V15" s="33">
        <v>8.3600000000000012</v>
      </c>
      <c r="W15" s="33">
        <v>7.9699999999999989</v>
      </c>
      <c r="X15" s="33">
        <v>8.1</v>
      </c>
      <c r="Y15" s="33">
        <v>3.16</v>
      </c>
      <c r="Z15" s="33">
        <v>7.8</v>
      </c>
      <c r="AA15" s="33">
        <v>8.11</v>
      </c>
      <c r="AB15" s="33">
        <v>7.81</v>
      </c>
    </row>
    <row r="16" spans="1:28">
      <c r="A16" s="34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N16" s="34">
        <v>44927</v>
      </c>
      <c r="O16" s="32" t="s">
        <v>194</v>
      </c>
      <c r="P16" s="32" t="s">
        <v>587</v>
      </c>
      <c r="Q16" s="36">
        <v>4</v>
      </c>
      <c r="R16" s="33">
        <v>7.585</v>
      </c>
      <c r="S16" s="33">
        <v>8.875</v>
      </c>
      <c r="T16" s="33">
        <v>8.25</v>
      </c>
      <c r="U16" s="33">
        <v>7.8149999999999995</v>
      </c>
      <c r="V16" s="33">
        <v>8.15</v>
      </c>
      <c r="W16" s="33">
        <v>7.9899999999999993</v>
      </c>
      <c r="X16" s="33">
        <v>8.125</v>
      </c>
      <c r="Y16" s="33">
        <v>3.21</v>
      </c>
      <c r="Z16" s="33">
        <v>7.875</v>
      </c>
      <c r="AA16" s="33">
        <v>8.0399999999999991</v>
      </c>
      <c r="AB16" s="33">
        <v>7.54</v>
      </c>
    </row>
    <row r="17" spans="1:28">
      <c r="A17" s="34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N17" s="34">
        <v>44944</v>
      </c>
      <c r="O17" s="32" t="s">
        <v>194</v>
      </c>
      <c r="P17" s="32" t="s">
        <v>588</v>
      </c>
      <c r="Q17" s="36">
        <v>4</v>
      </c>
      <c r="R17" s="33">
        <v>7.585</v>
      </c>
      <c r="S17" s="33">
        <v>8.875</v>
      </c>
      <c r="T17" s="33">
        <v>8.25</v>
      </c>
      <c r="U17" s="33">
        <v>7.8149999999999995</v>
      </c>
      <c r="V17" s="33">
        <v>8.15</v>
      </c>
      <c r="W17" s="33">
        <v>7.9899999999999993</v>
      </c>
      <c r="X17" s="33">
        <v>8.125</v>
      </c>
      <c r="Y17" s="33">
        <v>3.21</v>
      </c>
      <c r="Z17" s="33">
        <v>7.875</v>
      </c>
      <c r="AA17" s="33">
        <v>8.0399999999999991</v>
      </c>
      <c r="AB17" s="33">
        <v>7.54</v>
      </c>
    </row>
    <row r="18" spans="1:28">
      <c r="A18" s="34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N18" s="34">
        <v>44957</v>
      </c>
      <c r="O18" s="32" t="s">
        <v>194</v>
      </c>
      <c r="P18" s="32" t="s">
        <v>588</v>
      </c>
      <c r="Q18" s="36">
        <v>5</v>
      </c>
      <c r="R18" s="33">
        <v>7.4079999999999995</v>
      </c>
      <c r="S18" s="33">
        <v>8.8000000000000007</v>
      </c>
      <c r="T18" s="33">
        <v>8.1999999999999993</v>
      </c>
      <c r="U18" s="33">
        <v>7.5519999999999996</v>
      </c>
      <c r="V18" s="33">
        <v>8.02</v>
      </c>
      <c r="W18" s="33">
        <v>7.8919999999999986</v>
      </c>
      <c r="X18" s="33">
        <v>8</v>
      </c>
      <c r="Y18" s="33">
        <v>2.7679999999999998</v>
      </c>
      <c r="Z18" s="33">
        <v>7.7</v>
      </c>
      <c r="AA18" s="33">
        <v>7.831999999999999</v>
      </c>
      <c r="AB18" s="33">
        <v>7.331999999999999</v>
      </c>
    </row>
    <row r="19" spans="1:28">
      <c r="A19" s="34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N19" s="34">
        <v>45291</v>
      </c>
      <c r="O19" s="32" t="s">
        <v>194</v>
      </c>
      <c r="P19" s="32" t="s">
        <v>588</v>
      </c>
      <c r="Q19" s="36">
        <v>5</v>
      </c>
      <c r="R19" s="33">
        <v>7.5060000000000002</v>
      </c>
      <c r="S19" s="33">
        <v>8.8000000000000007</v>
      </c>
      <c r="T19" s="33">
        <v>8.1999999999999993</v>
      </c>
      <c r="U19" s="33">
        <v>7.7</v>
      </c>
      <c r="V19" s="33">
        <v>8.0699999999999985</v>
      </c>
      <c r="W19" s="33">
        <v>7.99</v>
      </c>
      <c r="X19" s="33">
        <v>8</v>
      </c>
      <c r="Y19" s="33">
        <v>3.2600000000000002</v>
      </c>
      <c r="Z19" s="33">
        <v>7.7</v>
      </c>
      <c r="AA19" s="33">
        <v>7.9300000000000015</v>
      </c>
      <c r="AB19" s="33">
        <v>7.4300000000000015</v>
      </c>
    </row>
    <row r="20" spans="1:28">
      <c r="A20" s="34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N20" s="34">
        <v>45657</v>
      </c>
      <c r="O20" s="32" t="s">
        <v>194</v>
      </c>
      <c r="P20" s="32" t="s">
        <v>588</v>
      </c>
      <c r="Q20" s="36">
        <v>5</v>
      </c>
      <c r="R20" s="33">
        <v>7.6059999999999999</v>
      </c>
      <c r="S20" s="33">
        <v>8.8000000000000007</v>
      </c>
      <c r="T20" s="33">
        <v>8.1999999999999993</v>
      </c>
      <c r="U20" s="33">
        <v>7.85</v>
      </c>
      <c r="V20" s="33">
        <v>8.120000000000001</v>
      </c>
      <c r="W20" s="33">
        <v>8.09</v>
      </c>
      <c r="X20" s="33">
        <v>8</v>
      </c>
      <c r="Y20" s="33">
        <v>3.7600000000000002</v>
      </c>
      <c r="Z20" s="33">
        <v>7.7</v>
      </c>
      <c r="AA20" s="33">
        <v>8.0299999999999994</v>
      </c>
      <c r="AB20" s="33">
        <v>7.5299999999999994</v>
      </c>
    </row>
    <row r="21" spans="1:28">
      <c r="A21" s="34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N21" s="34">
        <v>45693</v>
      </c>
      <c r="O21" s="32" t="s">
        <v>194</v>
      </c>
      <c r="P21" s="32" t="s">
        <v>589</v>
      </c>
      <c r="Q21" s="36">
        <v>4</v>
      </c>
      <c r="R21" s="33">
        <v>7.3475000000000001</v>
      </c>
      <c r="S21" s="33">
        <v>8.75</v>
      </c>
      <c r="T21" s="33">
        <v>8.125</v>
      </c>
      <c r="U21" s="33">
        <v>7.6775000000000002</v>
      </c>
      <c r="V21" s="33">
        <v>7.8125</v>
      </c>
      <c r="W21" s="33">
        <v>7.94</v>
      </c>
      <c r="X21" s="33">
        <v>7.75</v>
      </c>
      <c r="Y21" s="33">
        <v>2.835</v>
      </c>
      <c r="Z21" s="33">
        <v>7.375</v>
      </c>
      <c r="AA21" s="33">
        <v>7.8650000000000002</v>
      </c>
      <c r="AB21" s="33">
        <v>7.3650000000000002</v>
      </c>
    </row>
    <row r="22" spans="1:28">
      <c r="A22" s="34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N22" s="34">
        <v>45716</v>
      </c>
      <c r="O22" s="32" t="s">
        <v>194</v>
      </c>
      <c r="P22" s="32" t="s">
        <v>589</v>
      </c>
      <c r="Q22" s="36">
        <v>5</v>
      </c>
      <c r="R22" s="33">
        <v>7.5780000000000003</v>
      </c>
      <c r="S22" s="33">
        <v>8.8000000000000007</v>
      </c>
      <c r="T22" s="33">
        <v>8.4</v>
      </c>
      <c r="U22" s="33">
        <v>7.9420000000000002</v>
      </c>
      <c r="V22" s="33">
        <v>7.95</v>
      </c>
      <c r="W22" s="33">
        <v>7.8520000000000012</v>
      </c>
      <c r="X22" s="33">
        <v>8</v>
      </c>
      <c r="Y22" s="33">
        <v>4.0679999999999996</v>
      </c>
      <c r="Z22" s="33">
        <v>7.7</v>
      </c>
      <c r="AA22" s="33">
        <v>7.7919999999999998</v>
      </c>
      <c r="AB22" s="33">
        <v>7.2919999999999998</v>
      </c>
    </row>
    <row r="23" spans="1:28">
      <c r="A23" s="34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N23" s="34">
        <v>46022</v>
      </c>
      <c r="O23" s="32" t="s">
        <v>194</v>
      </c>
      <c r="P23" s="32" t="s">
        <v>589</v>
      </c>
      <c r="Q23" s="36">
        <v>5</v>
      </c>
      <c r="R23" s="33">
        <v>7.6739999999999995</v>
      </c>
      <c r="S23" s="33">
        <v>8.8000000000000007</v>
      </c>
      <c r="T23" s="33">
        <v>8.4</v>
      </c>
      <c r="U23" s="33">
        <v>8.08</v>
      </c>
      <c r="V23" s="33">
        <v>7.9980000000000002</v>
      </c>
      <c r="W23" s="33">
        <v>7.9479999999999986</v>
      </c>
      <c r="X23" s="33">
        <v>8</v>
      </c>
      <c r="Y23" s="33">
        <v>4.5519999999999996</v>
      </c>
      <c r="Z23" s="33">
        <v>7.7</v>
      </c>
      <c r="AA23" s="33">
        <v>7.8879999999999999</v>
      </c>
      <c r="AB23" s="33">
        <v>7.3879999999999999</v>
      </c>
    </row>
    <row r="24" spans="1:28">
      <c r="A24" s="34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N24" s="34">
        <v>46203</v>
      </c>
      <c r="O24" s="32" t="s">
        <v>194</v>
      </c>
      <c r="P24" s="32" t="s">
        <v>589</v>
      </c>
      <c r="Q24" s="36">
        <v>5</v>
      </c>
      <c r="R24" s="33">
        <v>7.7219999999999995</v>
      </c>
      <c r="S24" s="33">
        <v>8.8000000000000007</v>
      </c>
      <c r="T24" s="33">
        <v>8.4</v>
      </c>
      <c r="U24" s="33">
        <v>8.1359999999999992</v>
      </c>
      <c r="V24" s="33">
        <v>8.02</v>
      </c>
      <c r="W24" s="33">
        <v>7.9980000000000002</v>
      </c>
      <c r="X24" s="33">
        <v>8</v>
      </c>
      <c r="Y24" s="33">
        <v>4.8</v>
      </c>
      <c r="Z24" s="33">
        <v>7.7</v>
      </c>
      <c r="AA24" s="33">
        <v>7.9380000000000006</v>
      </c>
      <c r="AB24" s="33">
        <v>7.4379999999999997</v>
      </c>
    </row>
    <row r="25" spans="1:28">
      <c r="A25" s="34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N25" s="34"/>
      <c r="O25" s="32"/>
      <c r="P25" s="32"/>
      <c r="Q25" s="36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</row>
    <row r="26" spans="1:28">
      <c r="A26" s="34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N26" s="34"/>
      <c r="O26" s="32"/>
      <c r="P26" s="32"/>
      <c r="Q26" s="36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</row>
    <row r="27" spans="1:28">
      <c r="A27" s="34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N27" s="34"/>
      <c r="O27" s="32"/>
      <c r="P27" s="32"/>
      <c r="Q27" s="36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</row>
    <row r="28" spans="1:28">
      <c r="A28" s="34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N28" s="34"/>
      <c r="O28" s="32"/>
      <c r="P28" s="32"/>
      <c r="Q28" s="36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</row>
    <row r="29" spans="1:28">
      <c r="A29" s="34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N29" s="34"/>
      <c r="O29" s="32"/>
      <c r="P29" s="32"/>
      <c r="Q29" s="36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</row>
    <row r="30" spans="1:28">
      <c r="A30" s="34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N30" s="34"/>
      <c r="O30" s="32"/>
      <c r="P30" s="32"/>
      <c r="Q30" s="36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</row>
    <row r="31" spans="1:28">
      <c r="A31" s="34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N31" s="34"/>
      <c r="O31" s="32"/>
      <c r="P31" s="32"/>
      <c r="Q31" s="36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</row>
    <row r="32" spans="1:28">
      <c r="A32" s="34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N32" s="34"/>
      <c r="O32" s="32"/>
      <c r="P32" s="32"/>
      <c r="Q32" s="36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>
      <c r="A33" s="34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N33" s="34"/>
      <c r="O33" s="32"/>
      <c r="P33" s="32"/>
      <c r="Q33" s="36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>
      <c r="A34" s="34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N34" s="34"/>
      <c r="O34" s="32"/>
      <c r="P34" s="32"/>
      <c r="Q34" s="36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>
      <c r="A35" s="34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N35" s="34"/>
      <c r="O35" s="32"/>
      <c r="P35" s="32"/>
      <c r="Q35" s="36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</row>
    <row r="36" spans="1:28">
      <c r="A36" s="34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N36" s="34"/>
      <c r="O36" s="32"/>
      <c r="P36" s="32"/>
      <c r="Q36" s="36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</row>
    <row r="37" spans="1:28">
      <c r="A37" s="34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N37" s="34"/>
      <c r="O37" s="32"/>
      <c r="P37" s="32"/>
      <c r="Q37" s="36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</row>
    <row r="38" spans="1:28">
      <c r="A38" s="34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N38" s="34"/>
      <c r="O38" s="32"/>
      <c r="P38" s="32"/>
      <c r="Q38" s="36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</row>
    <row r="39" spans="1:28">
      <c r="A39" s="34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N39" s="34"/>
      <c r="O39" s="32"/>
      <c r="P39" s="32"/>
      <c r="Q39" s="36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</row>
    <row r="40" spans="1:28">
      <c r="A40" s="34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N40" s="34"/>
      <c r="O40" s="32"/>
      <c r="P40" s="32"/>
      <c r="Q40" s="36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</row>
    <row r="41" spans="1:28">
      <c r="A41" s="34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N41" s="34"/>
      <c r="O41" s="32"/>
      <c r="P41" s="32"/>
      <c r="Q41" s="36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</row>
    <row r="42" spans="1:28">
      <c r="A42" s="34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N42" s="34"/>
      <c r="O42" s="32"/>
      <c r="P42" s="32"/>
      <c r="Q42" s="36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</row>
    <row r="43" spans="1:28">
      <c r="A43" s="34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N43" s="34"/>
      <c r="O43" s="32"/>
      <c r="P43" s="32"/>
      <c r="Q43" s="36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</row>
    <row r="44" spans="1:28">
      <c r="A44" s="34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N44" s="34"/>
      <c r="O44" s="32"/>
      <c r="P44" s="32"/>
      <c r="Q44" s="36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</row>
    <row r="45" spans="1:28">
      <c r="A45" s="34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N45" s="34"/>
      <c r="O45" s="32"/>
      <c r="P45" s="32"/>
      <c r="Q45" s="36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</row>
    <row r="46" spans="1:28">
      <c r="A46" s="34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N46" s="34"/>
      <c r="O46" s="32"/>
      <c r="P46" s="32"/>
      <c r="Q46" s="36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</row>
    <row r="47" spans="1:28">
      <c r="A47" s="34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N47" s="34"/>
      <c r="O47" s="32"/>
      <c r="P47" s="32"/>
      <c r="Q47" s="36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</row>
    <row r="48" spans="1:28">
      <c r="A48" s="34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N48" s="34"/>
      <c r="O48" s="32"/>
      <c r="P48" s="32"/>
      <c r="Q48" s="36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</row>
    <row r="49" spans="1:28">
      <c r="A49" s="34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N49" s="34"/>
      <c r="O49" s="32"/>
      <c r="P49" s="32"/>
      <c r="Q49" s="36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</row>
    <row r="50" spans="1:28">
      <c r="A50" s="34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N50" s="34"/>
      <c r="O50" s="32"/>
      <c r="P50" s="32"/>
      <c r="Q50" s="36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</row>
    <row r="51" spans="1:28">
      <c r="A51" s="34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N51" s="34"/>
      <c r="O51" s="32"/>
      <c r="P51" s="32"/>
      <c r="Q51" s="36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</row>
    <row r="52" spans="1:28">
      <c r="A52" s="34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N52" s="34"/>
      <c r="O52" s="32"/>
      <c r="P52" s="32"/>
      <c r="Q52" s="36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</row>
    <row r="53" spans="1:28">
      <c r="A53" s="34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N53" s="34"/>
      <c r="O53" s="32"/>
      <c r="P53" s="32"/>
      <c r="Q53" s="36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</row>
    <row r="54" spans="1:28">
      <c r="A54" s="34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N54" s="34"/>
      <c r="O54" s="32"/>
      <c r="P54" s="32"/>
      <c r="Q54" s="36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</row>
    <row r="55" spans="1:28">
      <c r="A55" s="34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N55" s="34"/>
      <c r="O55" s="32"/>
      <c r="P55" s="32"/>
      <c r="Q55" s="36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</row>
    <row r="56" spans="1:28">
      <c r="A56" s="34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N56" s="34"/>
      <c r="O56" s="32"/>
      <c r="P56" s="32"/>
      <c r="Q56" s="36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</row>
    <row r="57" spans="1:28">
      <c r="A57" s="34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N57" s="34"/>
      <c r="O57" s="32"/>
      <c r="P57" s="32"/>
      <c r="Q57" s="36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</row>
    <row r="58" spans="1:28">
      <c r="A58" s="34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N58" s="34"/>
      <c r="O58" s="32"/>
      <c r="P58" s="32"/>
      <c r="Q58" s="36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</row>
    <row r="59" spans="1:28">
      <c r="A59" s="34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N59" s="34"/>
      <c r="O59" s="32"/>
      <c r="P59" s="32"/>
      <c r="Q59" s="36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</row>
    <row r="60" spans="1:28">
      <c r="A60" s="34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N60" s="34"/>
      <c r="O60" s="32"/>
      <c r="P60" s="32"/>
      <c r="Q60" s="36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</row>
    <row r="61" spans="1:28">
      <c r="A61" s="34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N61" s="34"/>
      <c r="O61" s="32"/>
      <c r="P61" s="32"/>
      <c r="Q61" s="36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</row>
    <row r="62" spans="1:28">
      <c r="A62" s="34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N62" s="34"/>
      <c r="O62" s="32"/>
      <c r="P62" s="32"/>
      <c r="Q62" s="36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</row>
    <row r="63" spans="1:28">
      <c r="A63" s="34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N63" s="34"/>
      <c r="O63" s="32"/>
      <c r="P63" s="32"/>
      <c r="Q63" s="36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</row>
    <row r="64" spans="1:28">
      <c r="A64" s="34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N64" s="34"/>
      <c r="O64" s="32"/>
      <c r="P64" s="32"/>
      <c r="Q64" s="36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</row>
    <row r="65" spans="1:28">
      <c r="A65" s="34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N65" s="34"/>
      <c r="O65" s="32"/>
      <c r="P65" s="32"/>
      <c r="Q65" s="36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</row>
    <row r="66" spans="1:28">
      <c r="A66" s="34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N66" s="34"/>
      <c r="O66" s="32"/>
      <c r="P66" s="32"/>
      <c r="Q66" s="36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</row>
    <row r="67" spans="1:28">
      <c r="A67" s="34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N67" s="34"/>
      <c r="O67" s="32"/>
      <c r="P67" s="32"/>
      <c r="Q67" s="36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</row>
    <row r="68" spans="1:28">
      <c r="A68" s="34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N68" s="34"/>
      <c r="O68" s="32"/>
      <c r="P68" s="32"/>
      <c r="Q68" s="36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</row>
    <row r="69" spans="1:28">
      <c r="A69" s="34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N69" s="34"/>
      <c r="O69" s="32"/>
      <c r="P69" s="32"/>
      <c r="Q69" s="36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</row>
    <row r="70" spans="1:28">
      <c r="A70" s="34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N70" s="34"/>
      <c r="O70" s="32"/>
      <c r="P70" s="32"/>
      <c r="Q70" s="36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</row>
    <row r="71" spans="1:28">
      <c r="A71" s="34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N71" s="34"/>
      <c r="O71" s="32"/>
      <c r="P71" s="32"/>
      <c r="Q71" s="36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</row>
    <row r="72" spans="1:28">
      <c r="A72" s="34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N72" s="34"/>
      <c r="O72" s="32"/>
      <c r="P72" s="32"/>
      <c r="Q72" s="36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</row>
    <row r="73" spans="1:28">
      <c r="A73" s="34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N73" s="34"/>
      <c r="O73" s="32"/>
      <c r="P73" s="32"/>
      <c r="Q73" s="36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</row>
    <row r="74" spans="1:28">
      <c r="A74" s="34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N74" s="34"/>
      <c r="O74" s="32"/>
      <c r="P74" s="32"/>
      <c r="Q74" s="36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</row>
    <row r="75" spans="1:28">
      <c r="A75" s="34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N75" s="34"/>
      <c r="O75" s="32"/>
      <c r="P75" s="32"/>
      <c r="Q75" s="36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</row>
    <row r="76" spans="1:28">
      <c r="A76" s="34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N76" s="34"/>
      <c r="O76" s="32"/>
      <c r="P76" s="32"/>
      <c r="Q76" s="36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</row>
    <row r="77" spans="1:28">
      <c r="A77" s="34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N77" s="34"/>
      <c r="O77" s="32"/>
      <c r="P77" s="32"/>
      <c r="Q77" s="36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</row>
    <row r="78" spans="1:28">
      <c r="A78" s="34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N78" s="34"/>
      <c r="O78" s="32"/>
      <c r="P78" s="32"/>
      <c r="Q78" s="36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</row>
    <row r="79" spans="1:28">
      <c r="A79" s="34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N79" s="34"/>
      <c r="O79" s="32"/>
      <c r="P79" s="32"/>
      <c r="Q79" s="36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</row>
    <row r="80" spans="1:28">
      <c r="A80" s="34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N80" s="34"/>
      <c r="O80" s="32"/>
      <c r="P80" s="32"/>
      <c r="Q80" s="36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</row>
    <row r="81" spans="1:28">
      <c r="A81" s="34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N81" s="34"/>
      <c r="O81" s="32"/>
      <c r="P81" s="32"/>
      <c r="Q81" s="36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</row>
    <row r="82" spans="1:28">
      <c r="A82" s="34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N82" s="34"/>
      <c r="O82" s="32"/>
      <c r="P82" s="32"/>
      <c r="Q82" s="36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</row>
    <row r="83" spans="1:28">
      <c r="A83" s="34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N83" s="34"/>
      <c r="O83" s="32"/>
      <c r="P83" s="32"/>
      <c r="Q83" s="36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</row>
    <row r="84" spans="1:28">
      <c r="A84" s="34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N84" s="34"/>
      <c r="O84" s="32"/>
      <c r="P84" s="32"/>
      <c r="Q84" s="36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</row>
    <row r="85" spans="1:28">
      <c r="A85" s="34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N85" s="34"/>
      <c r="O85" s="32"/>
      <c r="P85" s="32"/>
      <c r="Q85" s="36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</row>
    <row r="86" spans="1:28">
      <c r="A86" s="34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N86" s="34"/>
      <c r="O86" s="32"/>
      <c r="P86" s="32"/>
      <c r="Q86" s="36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</row>
    <row r="87" spans="1:28">
      <c r="A87" s="34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N87" s="34"/>
      <c r="O87" s="32"/>
      <c r="P87" s="32"/>
      <c r="Q87" s="36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</row>
    <row r="88" spans="1:28">
      <c r="A88" s="34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N88" s="34"/>
      <c r="O88" s="32"/>
      <c r="P88" s="32"/>
      <c r="Q88" s="36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</row>
    <row r="89" spans="1:28">
      <c r="A89" s="34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N89" s="34"/>
      <c r="O89" s="32"/>
      <c r="P89" s="32"/>
      <c r="Q89" s="36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</row>
    <row r="90" spans="1:28">
      <c r="A90" s="34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N90" s="34"/>
      <c r="O90" s="32"/>
      <c r="P90" s="32"/>
      <c r="Q90" s="36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</row>
    <row r="91" spans="1:28">
      <c r="A91" s="34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N91" s="34"/>
      <c r="O91" s="32"/>
      <c r="P91" s="32"/>
      <c r="Q91" s="36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</row>
    <row r="92" spans="1:28">
      <c r="A92" s="34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N92" s="34"/>
      <c r="O92" s="32"/>
      <c r="P92" s="32"/>
      <c r="Q92" s="36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</row>
    <row r="93" spans="1:28">
      <c r="A93" s="34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N93" s="34"/>
      <c r="O93" s="32"/>
      <c r="P93" s="32"/>
      <c r="Q93" s="36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</row>
    <row r="94" spans="1:28">
      <c r="A94" s="34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N94" s="34"/>
      <c r="O94" s="32"/>
      <c r="P94" s="32"/>
      <c r="Q94" s="36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</row>
    <row r="95" spans="1:28">
      <c r="A95" s="34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N95" s="34"/>
      <c r="O95" s="32"/>
      <c r="P95" s="32"/>
      <c r="Q95" s="36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</row>
    <row r="96" spans="1:28">
      <c r="A96" s="34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N96" s="34"/>
      <c r="O96" s="32"/>
      <c r="P96" s="32"/>
      <c r="Q96" s="36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</row>
    <row r="97" spans="1:28">
      <c r="A97" s="34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N97" s="34"/>
      <c r="O97" s="32"/>
      <c r="P97" s="32"/>
      <c r="Q97" s="36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</row>
    <row r="98" spans="1:28">
      <c r="A98" s="34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N98" s="34"/>
      <c r="O98" s="32"/>
      <c r="P98" s="32"/>
      <c r="Q98" s="36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</row>
    <row r="99" spans="1:28">
      <c r="A99" s="34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N99" s="34"/>
      <c r="O99" s="32"/>
      <c r="P99" s="32"/>
      <c r="Q99" s="36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</row>
    <row r="100" spans="1:28">
      <c r="A100" s="34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N100" s="34"/>
      <c r="O100" s="32"/>
      <c r="P100" s="32"/>
      <c r="Q100" s="36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</row>
    <row r="101" spans="1:28">
      <c r="A101" s="34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N101" s="34"/>
      <c r="O101" s="32"/>
      <c r="P101" s="32"/>
      <c r="Q101" s="36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</row>
    <row r="102" spans="1:28">
      <c r="A102" s="34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N102" s="34"/>
      <c r="O102" s="32"/>
      <c r="P102" s="32"/>
      <c r="Q102" s="36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</row>
    <row r="103" spans="1:28">
      <c r="A103" s="34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N103" s="34"/>
      <c r="O103" s="32"/>
      <c r="P103" s="32"/>
      <c r="Q103" s="36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</row>
    <row r="104" spans="1:28">
      <c r="A104" s="34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N104" s="34"/>
      <c r="O104" s="32"/>
      <c r="P104" s="32"/>
      <c r="Q104" s="36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</row>
    <row r="105" spans="1:28">
      <c r="A105" s="34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N105" s="34"/>
      <c r="O105" s="32"/>
      <c r="P105" s="32"/>
      <c r="Q105" s="36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</row>
    <row r="106" spans="1:28">
      <c r="A106" s="34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N106" s="34"/>
      <c r="O106" s="32"/>
      <c r="P106" s="32"/>
      <c r="Q106" s="36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</row>
    <row r="107" spans="1:28">
      <c r="A107" s="34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N107" s="34"/>
      <c r="O107" s="32"/>
      <c r="P107" s="32"/>
      <c r="Q107" s="36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</row>
    <row r="108" spans="1:28">
      <c r="A108" s="34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N108" s="34"/>
      <c r="O108" s="32"/>
      <c r="P108" s="32"/>
      <c r="Q108" s="36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</row>
    <row r="109" spans="1:28">
      <c r="A109" s="34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N109" s="34"/>
      <c r="O109" s="32"/>
      <c r="P109" s="32"/>
      <c r="Q109" s="36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</row>
    <row r="110" spans="1:28">
      <c r="A110" s="34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N110" s="34"/>
      <c r="O110" s="32"/>
      <c r="P110" s="32"/>
      <c r="Q110" s="36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</row>
    <row r="111" spans="1:28">
      <c r="A111" s="34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N111" s="34"/>
      <c r="O111" s="32"/>
      <c r="P111" s="32"/>
      <c r="Q111" s="36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</row>
    <row r="112" spans="1:28">
      <c r="A112" s="34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N112" s="34"/>
      <c r="O112" s="32"/>
      <c r="P112" s="32"/>
      <c r="Q112" s="36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</row>
    <row r="113" spans="1:28">
      <c r="A113" s="34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N113" s="34"/>
      <c r="O113" s="32"/>
      <c r="P113" s="32"/>
      <c r="Q113" s="36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</row>
    <row r="114" spans="1:28">
      <c r="A114" s="34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N114" s="34"/>
      <c r="O114" s="32"/>
      <c r="P114" s="32"/>
      <c r="Q114" s="36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</row>
    <row r="115" spans="1:28">
      <c r="A115" s="34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N115" s="34"/>
      <c r="O115" s="32"/>
      <c r="P115" s="32"/>
      <c r="Q115" s="36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</row>
    <row r="116" spans="1:28">
      <c r="A116" s="34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N116" s="34"/>
      <c r="O116" s="32"/>
      <c r="P116" s="32"/>
      <c r="Q116" s="36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</row>
    <row r="117" spans="1:28">
      <c r="A117" s="34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N117" s="34"/>
      <c r="O117" s="32"/>
      <c r="P117" s="32"/>
      <c r="Q117" s="36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</row>
    <row r="118" spans="1:28">
      <c r="A118" s="34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N118" s="34"/>
      <c r="O118" s="32"/>
      <c r="P118" s="32"/>
      <c r="Q118" s="36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</row>
    <row r="119" spans="1:28">
      <c r="A119" s="34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N119" s="34"/>
      <c r="O119" s="32"/>
      <c r="P119" s="32"/>
      <c r="Q119" s="36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</row>
    <row r="120" spans="1:28">
      <c r="A120" s="34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N120" s="34"/>
      <c r="O120" s="32"/>
      <c r="P120" s="32"/>
      <c r="Q120" s="36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</row>
    <row r="121" spans="1:28">
      <c r="A121" s="34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N121" s="34"/>
      <c r="O121" s="32"/>
      <c r="P121" s="32"/>
      <c r="Q121" s="36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</row>
    <row r="122" spans="1:28">
      <c r="A122" s="34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N122" s="34"/>
      <c r="O122" s="32"/>
      <c r="P122" s="32"/>
      <c r="Q122" s="36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</row>
    <row r="123" spans="1:28">
      <c r="A123" s="34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N123" s="34"/>
      <c r="O123" s="32"/>
      <c r="P123" s="32"/>
      <c r="Q123" s="36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</row>
    <row r="124" spans="1:28">
      <c r="A124" s="34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N124" s="34"/>
      <c r="O124" s="32"/>
      <c r="P124" s="32"/>
      <c r="Q124" s="36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</row>
    <row r="125" spans="1:28">
      <c r="A125" s="34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  <c r="N125" s="34"/>
      <c r="O125" s="32"/>
      <c r="P125" s="32"/>
      <c r="Q125" s="36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</row>
    <row r="126" spans="1:28">
      <c r="A126" s="34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  <c r="N126" s="34"/>
      <c r="O126" s="32"/>
      <c r="P126" s="32"/>
      <c r="Q126" s="36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</row>
    <row r="127" spans="1:28">
      <c r="A127" s="34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  <c r="N127" s="34"/>
      <c r="O127" s="32"/>
      <c r="P127" s="32"/>
      <c r="Q127" s="36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</row>
    <row r="128" spans="1:28">
      <c r="A128" s="34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N128" s="34"/>
      <c r="O128" s="32"/>
      <c r="P128" s="32"/>
      <c r="Q128" s="36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</row>
    <row r="129" spans="1:28">
      <c r="A129" s="34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  <c r="N129" s="34"/>
      <c r="O129" s="32"/>
      <c r="P129" s="32"/>
      <c r="Q129" s="36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</row>
    <row r="130" spans="1:28">
      <c r="A130" s="34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N130" s="34"/>
      <c r="O130" s="32"/>
      <c r="P130" s="32"/>
      <c r="Q130" s="36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</row>
    <row r="131" spans="1:28">
      <c r="A131" s="34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  <c r="N131" s="34"/>
      <c r="O131" s="32"/>
      <c r="P131" s="32"/>
      <c r="Q131" s="36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</row>
    <row r="132" spans="1:28">
      <c r="A132" s="34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  <c r="N132" s="34"/>
      <c r="O132" s="32"/>
      <c r="P132" s="32"/>
      <c r="Q132" s="36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</row>
    <row r="133" spans="1:28">
      <c r="A133" s="34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  <c r="N133" s="34"/>
      <c r="O133" s="32"/>
      <c r="P133" s="32"/>
      <c r="Q133" s="36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</row>
    <row r="134" spans="1:28">
      <c r="A134" s="34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N134" s="34"/>
      <c r="O134" s="32"/>
      <c r="P134" s="32"/>
      <c r="Q134" s="36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</row>
    <row r="135" spans="1:28">
      <c r="A135" s="34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N135" s="34"/>
      <c r="O135" s="32"/>
      <c r="P135" s="32"/>
      <c r="Q135" s="36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</row>
    <row r="136" spans="1:28">
      <c r="A136" s="34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  <c r="N136" s="34"/>
      <c r="O136" s="32"/>
      <c r="P136" s="32"/>
      <c r="Q136" s="36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</row>
    <row r="137" spans="1:28">
      <c r="A137" s="34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  <c r="N137" s="34"/>
      <c r="O137" s="32"/>
      <c r="P137" s="32"/>
      <c r="Q137" s="36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</row>
    <row r="138" spans="1:28">
      <c r="A138" s="34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N138" s="34"/>
      <c r="O138" s="32"/>
      <c r="P138" s="32"/>
      <c r="Q138" s="36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</row>
    <row r="139" spans="1:28">
      <c r="A139" s="34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  <c r="N139" s="34"/>
      <c r="O139" s="32"/>
      <c r="P139" s="32"/>
      <c r="Q139" s="36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</row>
    <row r="140" spans="1:28">
      <c r="A140" s="34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N140" s="34"/>
      <c r="O140" s="32"/>
      <c r="P140" s="32"/>
      <c r="Q140" s="36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</row>
    <row r="141" spans="1:28">
      <c r="A141" s="34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  <c r="N141" s="34"/>
      <c r="O141" s="32"/>
      <c r="P141" s="32"/>
      <c r="Q141" s="36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</row>
    <row r="142" spans="1:28">
      <c r="A142" s="34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N142" s="34"/>
      <c r="O142" s="32"/>
      <c r="P142" s="32"/>
      <c r="Q142" s="36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</row>
    <row r="143" spans="1:28">
      <c r="A143" s="34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  <c r="N143" s="34"/>
      <c r="O143" s="32"/>
      <c r="P143" s="32"/>
      <c r="Q143" s="36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</row>
    <row r="144" spans="1:28">
      <c r="A144" s="34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N144" s="34"/>
      <c r="O144" s="32"/>
      <c r="P144" s="32"/>
      <c r="Q144" s="36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</row>
    <row r="145" spans="1:28">
      <c r="A145" s="34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  <c r="N145" s="34"/>
      <c r="O145" s="32"/>
      <c r="P145" s="32"/>
      <c r="Q145" s="36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</row>
    <row r="146" spans="1:28">
      <c r="A146" s="34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  <c r="N146" s="34"/>
      <c r="O146" s="32"/>
      <c r="P146" s="32"/>
      <c r="Q146" s="36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</row>
    <row r="147" spans="1:28">
      <c r="A147" s="34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  <c r="N147" s="34"/>
      <c r="O147" s="32"/>
      <c r="P147" s="32"/>
      <c r="Q147" s="36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</row>
    <row r="148" spans="1:28">
      <c r="A148" s="34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  <c r="N148" s="34"/>
      <c r="O148" s="32"/>
      <c r="P148" s="32"/>
      <c r="Q148" s="36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</row>
    <row r="149" spans="1:28">
      <c r="A149" s="34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N149" s="34"/>
      <c r="O149" s="32"/>
      <c r="P149" s="32"/>
      <c r="Q149" s="36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</row>
    <row r="150" spans="1:28">
      <c r="A150" s="34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  <c r="N150" s="34"/>
      <c r="O150" s="32"/>
      <c r="P150" s="32"/>
      <c r="Q150" s="36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</row>
    <row r="151" spans="1:28">
      <c r="A151" s="34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  <c r="N151" s="34"/>
      <c r="O151" s="32"/>
      <c r="P151" s="32"/>
      <c r="Q151" s="36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</row>
    <row r="152" spans="1:28">
      <c r="A152" s="34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  <c r="N152" s="34"/>
      <c r="O152" s="32"/>
      <c r="P152" s="32"/>
      <c r="Q152" s="36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</row>
    <row r="153" spans="1:28">
      <c r="A153" s="34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  <c r="N153" s="34"/>
      <c r="O153" s="32"/>
      <c r="P153" s="32"/>
      <c r="Q153" s="36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</row>
    <row r="154" spans="1:28">
      <c r="A154" s="34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N154" s="34"/>
      <c r="O154" s="32"/>
      <c r="P154" s="32"/>
      <c r="Q154" s="36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</row>
    <row r="155" spans="1:28">
      <c r="A155" s="34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  <c r="N155" s="34"/>
      <c r="O155" s="32"/>
      <c r="P155" s="32"/>
      <c r="Q155" s="36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</row>
    <row r="156" spans="1:28">
      <c r="A156" s="34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N156" s="34"/>
      <c r="O156" s="32"/>
      <c r="P156" s="32"/>
      <c r="Q156" s="36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</row>
    <row r="157" spans="1:28">
      <c r="A157" s="34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  <c r="N157" s="34"/>
      <c r="O157" s="32"/>
      <c r="P157" s="32"/>
      <c r="Q157" s="36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</row>
    <row r="158" spans="1:28">
      <c r="A158" s="34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N158" s="34"/>
      <c r="O158" s="32"/>
      <c r="P158" s="32"/>
      <c r="Q158" s="36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</row>
    <row r="159" spans="1:28">
      <c r="A159" s="34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N159" s="34"/>
      <c r="O159" s="32"/>
      <c r="P159" s="32"/>
      <c r="Q159" s="36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</row>
    <row r="160" spans="1:28">
      <c r="A160" s="34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  <c r="N160" s="34"/>
      <c r="O160" s="32"/>
      <c r="P160" s="32"/>
      <c r="Q160" s="36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</row>
    <row r="161" spans="1:28">
      <c r="A161" s="34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N161" s="34"/>
      <c r="O161" s="32"/>
      <c r="P161" s="32"/>
      <c r="Q161" s="36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</row>
    <row r="162" spans="1:28">
      <c r="A162" s="34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N162" s="34"/>
      <c r="O162" s="32"/>
      <c r="P162" s="32"/>
      <c r="Q162" s="36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</row>
    <row r="163" spans="1:28">
      <c r="A163" s="34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  <c r="N163" s="34"/>
      <c r="O163" s="32"/>
      <c r="P163" s="32"/>
      <c r="Q163" s="36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</row>
    <row r="164" spans="1:28">
      <c r="A164" s="34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  <c r="N164" s="34"/>
      <c r="O164" s="32"/>
      <c r="P164" s="32"/>
      <c r="Q164" s="36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</row>
    <row r="165" spans="1:28">
      <c r="A165" s="34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N165" s="34"/>
      <c r="O165" s="32"/>
      <c r="P165" s="32"/>
      <c r="Q165" s="36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</row>
    <row r="166" spans="1:28">
      <c r="A166" s="34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N166" s="34"/>
      <c r="O166" s="32"/>
      <c r="P166" s="32"/>
      <c r="Q166" s="36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</row>
    <row r="167" spans="1:28">
      <c r="A167" s="34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  <c r="N167" s="34"/>
      <c r="O167" s="32"/>
      <c r="P167" s="32"/>
      <c r="Q167" s="36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</row>
    <row r="168" spans="1:28">
      <c r="A168" s="34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N168" s="34"/>
      <c r="O168" s="32"/>
      <c r="P168" s="32"/>
      <c r="Q168" s="36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</row>
    <row r="169" spans="1:28">
      <c r="A169" s="34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N169" s="34"/>
      <c r="O169" s="32"/>
      <c r="P169" s="32"/>
      <c r="Q169" s="36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</row>
    <row r="170" spans="1:28">
      <c r="A170" s="34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N170" s="34"/>
      <c r="O170" s="32"/>
      <c r="P170" s="32"/>
      <c r="Q170" s="36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</row>
    <row r="171" spans="1:28">
      <c r="A171" s="34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N171" s="34"/>
      <c r="O171" s="32"/>
      <c r="P171" s="32"/>
      <c r="Q171" s="36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</row>
    <row r="172" spans="1:28">
      <c r="A172" s="34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N172" s="34"/>
      <c r="O172" s="32"/>
      <c r="P172" s="32"/>
      <c r="Q172" s="36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</row>
    <row r="173" spans="1:28">
      <c r="A173" s="34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N173" s="34"/>
      <c r="O173" s="32"/>
      <c r="P173" s="32"/>
      <c r="Q173" s="36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</row>
    <row r="174" spans="1:28">
      <c r="A174" s="34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  <c r="N174" s="34"/>
      <c r="O174" s="32"/>
      <c r="P174" s="32"/>
      <c r="Q174" s="36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</row>
    <row r="175" spans="1:28">
      <c r="A175" s="34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  <c r="N175" s="34"/>
      <c r="O175" s="32"/>
      <c r="P175" s="32"/>
      <c r="Q175" s="36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</row>
    <row r="176" spans="1:28">
      <c r="A176" s="34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  <c r="N176" s="34"/>
      <c r="O176" s="32"/>
      <c r="P176" s="32"/>
      <c r="Q176" s="36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</row>
    <row r="177" spans="1:28">
      <c r="A177" s="34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  <c r="N177" s="34"/>
      <c r="O177" s="32"/>
      <c r="P177" s="32"/>
      <c r="Q177" s="36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</row>
    <row r="178" spans="1:28">
      <c r="A178" s="34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N178" s="34"/>
      <c r="O178" s="32"/>
      <c r="P178" s="32"/>
      <c r="Q178" s="36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</row>
    <row r="179" spans="1:28">
      <c r="A179" s="34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N179" s="34"/>
      <c r="O179" s="32"/>
      <c r="P179" s="32"/>
      <c r="Q179" s="36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</row>
    <row r="180" spans="1:28">
      <c r="A180" s="34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  <c r="N180" s="34"/>
      <c r="O180" s="32"/>
      <c r="P180" s="32"/>
      <c r="Q180" s="36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</row>
    <row r="181" spans="1:28">
      <c r="A181" s="34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  <c r="N181" s="34"/>
      <c r="O181" s="32"/>
      <c r="P181" s="32"/>
      <c r="Q181" s="36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</row>
    <row r="182" spans="1:28">
      <c r="A182" s="34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  <c r="N182" s="34"/>
      <c r="O182" s="32"/>
      <c r="P182" s="32"/>
      <c r="Q182" s="36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</row>
    <row r="183" spans="1:28">
      <c r="A183" s="34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  <c r="N183" s="34"/>
      <c r="O183" s="32"/>
      <c r="P183" s="32"/>
      <c r="Q183" s="36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</row>
    <row r="184" spans="1:28">
      <c r="A184" s="34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N184" s="34"/>
      <c r="O184" s="32"/>
      <c r="P184" s="32"/>
      <c r="Q184" s="36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</row>
    <row r="185" spans="1:28">
      <c r="A185" s="34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N185" s="34"/>
      <c r="O185" s="32"/>
      <c r="P185" s="32"/>
      <c r="Q185" s="36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</row>
    <row r="186" spans="1:28">
      <c r="A186" s="34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  <c r="N186" s="34"/>
      <c r="O186" s="32"/>
      <c r="P186" s="32"/>
      <c r="Q186" s="36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</row>
    <row r="187" spans="1:28">
      <c r="A187" s="34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N187" s="34"/>
      <c r="O187" s="32"/>
      <c r="P187" s="32"/>
      <c r="Q187" s="36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</row>
    <row r="188" spans="1:28">
      <c r="A188" s="34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  <c r="N188" s="34"/>
      <c r="O188" s="32"/>
      <c r="P188" s="32"/>
      <c r="Q188" s="36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</row>
    <row r="189" spans="1:28">
      <c r="A189" s="34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  <c r="N189" s="34"/>
      <c r="O189" s="32"/>
      <c r="P189" s="32"/>
      <c r="Q189" s="36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</row>
    <row r="190" spans="1:28">
      <c r="A190" s="34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  <c r="N190" s="34"/>
      <c r="O190" s="32"/>
      <c r="P190" s="32"/>
      <c r="Q190" s="36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</row>
    <row r="191" spans="1:28">
      <c r="A191" s="34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N191" s="34"/>
      <c r="O191" s="32"/>
      <c r="P191" s="32"/>
      <c r="Q191" s="36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</row>
    <row r="192" spans="1:28">
      <c r="A192" s="34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N192" s="34"/>
      <c r="O192" s="32"/>
      <c r="P192" s="32"/>
      <c r="Q192" s="36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</row>
    <row r="193" spans="1:28">
      <c r="A193" s="34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N193" s="34"/>
      <c r="O193" s="32"/>
      <c r="P193" s="32"/>
      <c r="Q193" s="36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</row>
    <row r="194" spans="1:28">
      <c r="A194" s="34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N194" s="34"/>
      <c r="O194" s="32"/>
      <c r="P194" s="32"/>
      <c r="Q194" s="36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</row>
    <row r="195" spans="1:28">
      <c r="A195" s="34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N195" s="34"/>
      <c r="O195" s="32"/>
      <c r="P195" s="32"/>
      <c r="Q195" s="36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</row>
    <row r="196" spans="1:28">
      <c r="A196" s="34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N196" s="34"/>
      <c r="O196" s="32"/>
      <c r="P196" s="32"/>
      <c r="Q196" s="36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</row>
    <row r="197" spans="1:28">
      <c r="A197" s="34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N197" s="34"/>
      <c r="O197" s="32"/>
      <c r="P197" s="32"/>
      <c r="Q197" s="36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</row>
    <row r="198" spans="1:28">
      <c r="A198" s="34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N198" s="34"/>
      <c r="O198" s="32"/>
      <c r="P198" s="32"/>
      <c r="Q198" s="36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</row>
    <row r="199" spans="1:28">
      <c r="A199" s="34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N199" s="34"/>
      <c r="O199" s="32"/>
      <c r="P199" s="32"/>
      <c r="Q199" s="36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</row>
    <row r="200" spans="1:28">
      <c r="A200" s="34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  <c r="N200" s="34"/>
      <c r="O200" s="32"/>
      <c r="P200" s="32"/>
      <c r="Q200" s="36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</row>
    <row r="201" spans="1:28">
      <c r="A201" s="34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  <c r="N201" s="34"/>
      <c r="O201" s="32"/>
      <c r="P201" s="32"/>
      <c r="Q201" s="36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</row>
    <row r="202" spans="1:28">
      <c r="A202" s="34"/>
      <c r="B202" s="33"/>
      <c r="C202" s="33"/>
      <c r="D202" s="33"/>
      <c r="E202" s="33"/>
      <c r="F202" s="33"/>
      <c r="G202" s="33"/>
      <c r="H202" s="33"/>
      <c r="I202" s="33"/>
      <c r="J202" s="33"/>
      <c r="K202" s="33"/>
      <c r="L202" s="33"/>
      <c r="N202" s="34"/>
      <c r="O202" s="32"/>
      <c r="P202" s="32"/>
      <c r="Q202" s="36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</row>
    <row r="203" spans="1:28">
      <c r="A203" s="34"/>
      <c r="B203" s="33"/>
      <c r="C203" s="33"/>
      <c r="D203" s="33"/>
      <c r="E203" s="33"/>
      <c r="F203" s="33"/>
      <c r="G203" s="33"/>
      <c r="H203" s="33"/>
      <c r="I203" s="33"/>
      <c r="J203" s="33"/>
      <c r="K203" s="33"/>
      <c r="L203" s="33"/>
      <c r="N203" s="34"/>
      <c r="O203" s="32"/>
      <c r="P203" s="32"/>
      <c r="Q203" s="36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</row>
    <row r="204" spans="1:28">
      <c r="A204" s="34"/>
      <c r="B204" s="33"/>
      <c r="C204" s="33"/>
      <c r="D204" s="33"/>
      <c r="E204" s="33"/>
      <c r="F204" s="33"/>
      <c r="G204" s="33"/>
      <c r="H204" s="33"/>
      <c r="I204" s="33"/>
      <c r="J204" s="33"/>
      <c r="K204" s="33"/>
      <c r="L204" s="33"/>
      <c r="N204" s="34"/>
      <c r="O204" s="32"/>
      <c r="P204" s="32"/>
      <c r="Q204" s="36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</row>
    <row r="205" spans="1:28">
      <c r="A205" s="34"/>
      <c r="B205" s="33"/>
      <c r="C205" s="33"/>
      <c r="D205" s="33"/>
      <c r="E205" s="33"/>
      <c r="F205" s="33"/>
      <c r="G205" s="33"/>
      <c r="H205" s="33"/>
      <c r="I205" s="33"/>
      <c r="J205" s="33"/>
      <c r="K205" s="33"/>
      <c r="L205" s="33"/>
      <c r="N205" s="34"/>
      <c r="O205" s="32"/>
      <c r="P205" s="32"/>
      <c r="Q205" s="36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</row>
    <row r="206" spans="1:28">
      <c r="A206" s="34"/>
      <c r="B206" s="33"/>
      <c r="C206" s="33"/>
      <c r="D206" s="33"/>
      <c r="E206" s="33"/>
      <c r="F206" s="33"/>
      <c r="G206" s="33"/>
      <c r="H206" s="33"/>
      <c r="I206" s="33"/>
      <c r="J206" s="33"/>
      <c r="K206" s="33"/>
      <c r="L206" s="33"/>
      <c r="N206" s="34"/>
      <c r="O206" s="32"/>
      <c r="P206" s="32"/>
      <c r="Q206" s="36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</row>
    <row r="207" spans="1:28">
      <c r="A207" s="34"/>
      <c r="B207" s="33"/>
      <c r="C207" s="33"/>
      <c r="D207" s="33"/>
      <c r="E207" s="33"/>
      <c r="F207" s="33"/>
      <c r="G207" s="33"/>
      <c r="H207" s="33"/>
      <c r="I207" s="33"/>
      <c r="J207" s="33"/>
      <c r="K207" s="33"/>
      <c r="L207" s="33"/>
      <c r="N207" s="34"/>
      <c r="O207" s="32"/>
      <c r="P207" s="32"/>
      <c r="Q207" s="36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</row>
    <row r="208" spans="1:28">
      <c r="A208" s="34"/>
      <c r="B208" s="33"/>
      <c r="C208" s="33"/>
      <c r="D208" s="33"/>
      <c r="E208" s="33"/>
      <c r="F208" s="33"/>
      <c r="G208" s="33"/>
      <c r="H208" s="33"/>
      <c r="I208" s="33"/>
      <c r="J208" s="33"/>
      <c r="K208" s="33"/>
      <c r="L208" s="33"/>
      <c r="N208" s="34"/>
      <c r="O208" s="32"/>
      <c r="P208" s="32"/>
      <c r="Q208" s="36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</row>
    <row r="209" spans="1:28">
      <c r="A209" s="34"/>
      <c r="B209" s="33"/>
      <c r="C209" s="33"/>
      <c r="D209" s="33"/>
      <c r="E209" s="33"/>
      <c r="F209" s="33"/>
      <c r="G209" s="33"/>
      <c r="H209" s="33"/>
      <c r="I209" s="33"/>
      <c r="J209" s="33"/>
      <c r="K209" s="33"/>
      <c r="L209" s="33"/>
      <c r="N209" s="34"/>
      <c r="O209" s="32"/>
      <c r="P209" s="32"/>
      <c r="Q209" s="36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</row>
    <row r="210" spans="1:28">
      <c r="A210" s="34"/>
      <c r="B210" s="33"/>
      <c r="C210" s="33"/>
      <c r="D210" s="33"/>
      <c r="E210" s="33"/>
      <c r="F210" s="33"/>
      <c r="G210" s="33"/>
      <c r="H210" s="33"/>
      <c r="I210" s="33"/>
      <c r="J210" s="33"/>
      <c r="K210" s="33"/>
      <c r="L210" s="33"/>
      <c r="N210" s="34"/>
      <c r="O210" s="32"/>
      <c r="P210" s="32"/>
      <c r="Q210" s="36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</row>
    <row r="211" spans="1:28">
      <c r="A211" s="34"/>
      <c r="B211" s="33"/>
      <c r="C211" s="33"/>
      <c r="D211" s="33"/>
      <c r="E211" s="33"/>
      <c r="F211" s="33"/>
      <c r="G211" s="33"/>
      <c r="H211" s="33"/>
      <c r="I211" s="33"/>
      <c r="J211" s="33"/>
      <c r="K211" s="33"/>
      <c r="L211" s="33"/>
      <c r="N211" s="34"/>
      <c r="O211" s="32"/>
      <c r="P211" s="32"/>
      <c r="Q211" s="36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</row>
    <row r="212" spans="1:28">
      <c r="A212" s="34"/>
      <c r="B212" s="33"/>
      <c r="C212" s="33"/>
      <c r="D212" s="33"/>
      <c r="E212" s="33"/>
      <c r="F212" s="33"/>
      <c r="G212" s="33"/>
      <c r="H212" s="33"/>
      <c r="I212" s="33"/>
      <c r="J212" s="33"/>
      <c r="K212" s="33"/>
      <c r="L212" s="33"/>
      <c r="N212" s="34"/>
      <c r="O212" s="32"/>
      <c r="P212" s="32"/>
      <c r="Q212" s="36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</row>
    <row r="213" spans="1:28">
      <c r="A213" s="34"/>
      <c r="B213" s="33"/>
      <c r="C213" s="33"/>
      <c r="D213" s="33"/>
      <c r="E213" s="33"/>
      <c r="F213" s="33"/>
      <c r="G213" s="33"/>
      <c r="H213" s="33"/>
      <c r="I213" s="33"/>
      <c r="J213" s="33"/>
      <c r="K213" s="33"/>
      <c r="L213" s="33"/>
      <c r="N213" s="34"/>
      <c r="O213" s="32"/>
      <c r="P213" s="32"/>
      <c r="Q213" s="36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</row>
    <row r="214" spans="1:28">
      <c r="A214" s="34"/>
      <c r="B214" s="33"/>
      <c r="C214" s="33"/>
      <c r="D214" s="33"/>
      <c r="E214" s="33"/>
      <c r="F214" s="33"/>
      <c r="G214" s="33"/>
      <c r="H214" s="33"/>
      <c r="I214" s="33"/>
      <c r="J214" s="33"/>
      <c r="K214" s="33"/>
      <c r="L214" s="33"/>
      <c r="N214" s="34"/>
      <c r="O214" s="32"/>
      <c r="P214" s="32"/>
      <c r="Q214" s="36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</row>
    <row r="215" spans="1:28">
      <c r="A215" s="34"/>
      <c r="B215" s="33"/>
      <c r="C215" s="33"/>
      <c r="D215" s="33"/>
      <c r="E215" s="33"/>
      <c r="F215" s="33"/>
      <c r="G215" s="33"/>
      <c r="H215" s="33"/>
      <c r="I215" s="33"/>
      <c r="J215" s="33"/>
      <c r="K215" s="33"/>
      <c r="L215" s="33"/>
      <c r="N215" s="34"/>
      <c r="O215" s="32"/>
      <c r="P215" s="32"/>
      <c r="Q215" s="36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</row>
    <row r="216" spans="1:28">
      <c r="A216" s="34"/>
      <c r="B216" s="33"/>
      <c r="C216" s="33"/>
      <c r="D216" s="33"/>
      <c r="E216" s="33"/>
      <c r="F216" s="33"/>
      <c r="G216" s="33"/>
      <c r="H216" s="33"/>
      <c r="I216" s="33"/>
      <c r="J216" s="33"/>
      <c r="K216" s="33"/>
      <c r="L216" s="33"/>
      <c r="N216" s="34"/>
      <c r="O216" s="32"/>
      <c r="P216" s="32"/>
      <c r="Q216" s="36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</row>
    <row r="217" spans="1:28">
      <c r="A217" s="34"/>
      <c r="B217" s="33"/>
      <c r="C217" s="33"/>
      <c r="D217" s="33"/>
      <c r="E217" s="33"/>
      <c r="F217" s="33"/>
      <c r="G217" s="33"/>
      <c r="H217" s="33"/>
      <c r="I217" s="33"/>
      <c r="J217" s="33"/>
      <c r="K217" s="33"/>
      <c r="L217" s="33"/>
      <c r="N217" s="34"/>
      <c r="O217" s="32"/>
      <c r="P217" s="32"/>
      <c r="Q217" s="36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</row>
    <row r="218" spans="1:28">
      <c r="A218" s="34"/>
      <c r="B218" s="33"/>
      <c r="C218" s="33"/>
      <c r="D218" s="33"/>
      <c r="E218" s="33"/>
      <c r="F218" s="33"/>
      <c r="G218" s="33"/>
      <c r="H218" s="33"/>
      <c r="I218" s="33"/>
      <c r="J218" s="33"/>
      <c r="K218" s="33"/>
      <c r="L218" s="33"/>
      <c r="N218" s="34"/>
      <c r="O218" s="32"/>
      <c r="P218" s="32"/>
      <c r="Q218" s="36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</row>
    <row r="219" spans="1:28">
      <c r="A219" s="34"/>
      <c r="B219" s="33"/>
      <c r="C219" s="33"/>
      <c r="D219" s="33"/>
      <c r="E219" s="33"/>
      <c r="F219" s="33"/>
      <c r="G219" s="33"/>
      <c r="H219" s="33"/>
      <c r="I219" s="33"/>
      <c r="J219" s="33"/>
      <c r="K219" s="33"/>
      <c r="L219" s="33"/>
      <c r="N219" s="34"/>
      <c r="O219" s="32"/>
      <c r="P219" s="32"/>
      <c r="Q219" s="36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</row>
    <row r="220" spans="1:28">
      <c r="A220" s="34"/>
      <c r="B220" s="33"/>
      <c r="C220" s="33"/>
      <c r="D220" s="33"/>
      <c r="E220" s="33"/>
      <c r="F220" s="33"/>
      <c r="G220" s="33"/>
      <c r="H220" s="33"/>
      <c r="I220" s="33"/>
      <c r="J220" s="33"/>
      <c r="K220" s="33"/>
      <c r="L220" s="33"/>
      <c r="N220" s="34"/>
      <c r="O220" s="32"/>
      <c r="P220" s="32"/>
      <c r="Q220" s="36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</row>
    <row r="221" spans="1:28">
      <c r="A221" s="34"/>
      <c r="B221" s="33"/>
      <c r="C221" s="33"/>
      <c r="D221" s="33"/>
      <c r="E221" s="33"/>
      <c r="F221" s="33"/>
      <c r="G221" s="33"/>
      <c r="H221" s="33"/>
      <c r="I221" s="33"/>
      <c r="J221" s="33"/>
      <c r="K221" s="33"/>
      <c r="L221" s="33"/>
      <c r="N221" s="34"/>
      <c r="O221" s="32"/>
      <c r="P221" s="32"/>
      <c r="Q221" s="36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</row>
    <row r="222" spans="1:28">
      <c r="A222" s="34"/>
      <c r="B222" s="33"/>
      <c r="C222" s="33"/>
      <c r="D222" s="33"/>
      <c r="E222" s="33"/>
      <c r="F222" s="33"/>
      <c r="G222" s="33"/>
      <c r="H222" s="33"/>
      <c r="I222" s="33"/>
      <c r="J222" s="33"/>
      <c r="K222" s="33"/>
      <c r="L222" s="33"/>
      <c r="N222" s="34"/>
      <c r="O222" s="32"/>
      <c r="P222" s="32"/>
      <c r="Q222" s="36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</row>
    <row r="223" spans="1:28">
      <c r="A223" s="34"/>
      <c r="B223" s="33"/>
      <c r="C223" s="33"/>
      <c r="D223" s="33"/>
      <c r="E223" s="33"/>
      <c r="F223" s="33"/>
      <c r="G223" s="33"/>
      <c r="H223" s="33"/>
      <c r="I223" s="33"/>
      <c r="J223" s="33"/>
      <c r="K223" s="33"/>
      <c r="L223" s="33"/>
      <c r="N223" s="34"/>
      <c r="O223" s="32"/>
      <c r="P223" s="32"/>
      <c r="Q223" s="36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</row>
    <row r="224" spans="1:28">
      <c r="A224" s="34"/>
      <c r="B224" s="33"/>
      <c r="C224" s="33"/>
      <c r="D224" s="33"/>
      <c r="E224" s="33"/>
      <c r="F224" s="33"/>
      <c r="G224" s="33"/>
      <c r="H224" s="33"/>
      <c r="I224" s="33"/>
      <c r="J224" s="33"/>
      <c r="K224" s="33"/>
      <c r="L224" s="33"/>
      <c r="N224" s="34"/>
      <c r="O224" s="32"/>
      <c r="P224" s="32"/>
      <c r="Q224" s="36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</row>
    <row r="225" spans="1:28">
      <c r="A225" s="34"/>
      <c r="B225" s="33"/>
      <c r="C225" s="33"/>
      <c r="D225" s="33"/>
      <c r="E225" s="33"/>
      <c r="F225" s="33"/>
      <c r="G225" s="33"/>
      <c r="H225" s="33"/>
      <c r="I225" s="33"/>
      <c r="J225" s="33"/>
      <c r="K225" s="33"/>
      <c r="L225" s="33"/>
      <c r="N225" s="34"/>
      <c r="O225" s="32"/>
      <c r="P225" s="32"/>
      <c r="Q225" s="36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</row>
    <row r="226" spans="1:28">
      <c r="A226" s="34"/>
      <c r="B226" s="33"/>
      <c r="C226" s="33"/>
      <c r="D226" s="33"/>
      <c r="E226" s="33"/>
      <c r="F226" s="33"/>
      <c r="G226" s="33"/>
      <c r="H226" s="33"/>
      <c r="I226" s="33"/>
      <c r="J226" s="33"/>
      <c r="K226" s="33"/>
      <c r="L226" s="33"/>
      <c r="N226" s="34"/>
      <c r="O226" s="32"/>
      <c r="P226" s="32"/>
      <c r="Q226" s="36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</row>
    <row r="227" spans="1:28">
      <c r="A227" s="34"/>
      <c r="B227" s="33"/>
      <c r="C227" s="33"/>
      <c r="D227" s="33"/>
      <c r="E227" s="33"/>
      <c r="F227" s="33"/>
      <c r="G227" s="33"/>
      <c r="H227" s="33"/>
      <c r="I227" s="33"/>
      <c r="J227" s="33"/>
      <c r="K227" s="33"/>
      <c r="L227" s="33"/>
      <c r="N227" s="34"/>
      <c r="O227" s="32"/>
      <c r="P227" s="32"/>
      <c r="Q227" s="36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</row>
    <row r="228" spans="1:28">
      <c r="A228" s="34"/>
      <c r="B228" s="33"/>
      <c r="C228" s="33"/>
      <c r="D228" s="33"/>
      <c r="E228" s="33"/>
      <c r="F228" s="33"/>
      <c r="G228" s="33"/>
      <c r="H228" s="33"/>
      <c r="I228" s="33"/>
      <c r="J228" s="33"/>
      <c r="K228" s="33"/>
      <c r="L228" s="33"/>
      <c r="N228" s="34"/>
      <c r="O228" s="32"/>
      <c r="P228" s="32"/>
      <c r="Q228" s="36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</row>
    <row r="229" spans="1:28">
      <c r="A229" s="34"/>
      <c r="B229" s="33"/>
      <c r="C229" s="33"/>
      <c r="D229" s="33"/>
      <c r="E229" s="33"/>
      <c r="F229" s="33"/>
      <c r="G229" s="33"/>
      <c r="H229" s="33"/>
      <c r="I229" s="33"/>
      <c r="J229" s="33"/>
      <c r="K229" s="33"/>
      <c r="L229" s="33"/>
      <c r="N229" s="34"/>
      <c r="O229" s="32"/>
      <c r="P229" s="32"/>
      <c r="Q229" s="36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</row>
    <row r="230" spans="1:28">
      <c r="A230" s="34"/>
      <c r="B230" s="33"/>
      <c r="C230" s="33"/>
      <c r="D230" s="33"/>
      <c r="E230" s="33"/>
      <c r="F230" s="33"/>
      <c r="G230" s="33"/>
      <c r="H230" s="33"/>
      <c r="I230" s="33"/>
      <c r="J230" s="33"/>
      <c r="K230" s="33"/>
      <c r="L230" s="33"/>
      <c r="N230" s="34"/>
      <c r="O230" s="32"/>
      <c r="P230" s="32"/>
      <c r="Q230" s="36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</row>
    <row r="231" spans="1:28">
      <c r="A231" s="34"/>
      <c r="B231" s="33"/>
      <c r="C231" s="33"/>
      <c r="D231" s="33"/>
      <c r="E231" s="33"/>
      <c r="F231" s="33"/>
      <c r="G231" s="33"/>
      <c r="H231" s="33"/>
      <c r="I231" s="33"/>
      <c r="J231" s="33"/>
      <c r="K231" s="33"/>
      <c r="L231" s="33"/>
      <c r="N231" s="34"/>
      <c r="O231" s="32"/>
      <c r="P231" s="32"/>
      <c r="Q231" s="36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</row>
    <row r="232" spans="1:28">
      <c r="A232" s="34"/>
      <c r="B232" s="33"/>
      <c r="C232" s="33"/>
      <c r="D232" s="33"/>
      <c r="E232" s="33"/>
      <c r="F232" s="33"/>
      <c r="G232" s="33"/>
      <c r="H232" s="33"/>
      <c r="I232" s="33"/>
      <c r="J232" s="33"/>
      <c r="K232" s="33"/>
      <c r="L232" s="33"/>
      <c r="N232" s="34"/>
      <c r="O232" s="32"/>
      <c r="P232" s="32"/>
      <c r="Q232" s="36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</row>
    <row r="233" spans="1:28">
      <c r="A233" s="34"/>
      <c r="B233" s="33"/>
      <c r="C233" s="33"/>
      <c r="D233" s="33"/>
      <c r="E233" s="33"/>
      <c r="F233" s="33"/>
      <c r="G233" s="33"/>
      <c r="H233" s="33"/>
      <c r="I233" s="33"/>
      <c r="J233" s="33"/>
      <c r="K233" s="33"/>
      <c r="L233" s="33"/>
      <c r="N233" s="34"/>
      <c r="O233" s="32"/>
      <c r="P233" s="32"/>
      <c r="Q233" s="36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</row>
    <row r="234" spans="1:28">
      <c r="A234" s="34"/>
      <c r="B234" s="33"/>
      <c r="C234" s="33"/>
      <c r="D234" s="33"/>
      <c r="E234" s="33"/>
      <c r="F234" s="33"/>
      <c r="G234" s="33"/>
      <c r="H234" s="33"/>
      <c r="I234" s="33"/>
      <c r="J234" s="33"/>
      <c r="K234" s="33"/>
      <c r="L234" s="33"/>
      <c r="N234" s="34"/>
      <c r="O234" s="32"/>
      <c r="P234" s="32"/>
      <c r="Q234" s="36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</row>
    <row r="235" spans="1:28">
      <c r="A235" s="34"/>
      <c r="B235" s="33"/>
      <c r="C235" s="33"/>
      <c r="D235" s="33"/>
      <c r="E235" s="33"/>
      <c r="F235" s="33"/>
      <c r="G235" s="33"/>
      <c r="H235" s="33"/>
      <c r="I235" s="33"/>
      <c r="J235" s="33"/>
      <c r="K235" s="33"/>
      <c r="L235" s="33"/>
      <c r="N235" s="34"/>
      <c r="O235" s="32"/>
      <c r="P235" s="32"/>
      <c r="Q235" s="36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</row>
    <row r="236" spans="1:28">
      <c r="A236" s="34"/>
      <c r="B236" s="33"/>
      <c r="C236" s="33"/>
      <c r="D236" s="33"/>
      <c r="E236" s="33"/>
      <c r="F236" s="33"/>
      <c r="G236" s="33"/>
      <c r="H236" s="33"/>
      <c r="I236" s="33"/>
      <c r="J236" s="33"/>
      <c r="K236" s="33"/>
      <c r="L236" s="33"/>
      <c r="N236" s="34"/>
      <c r="O236" s="32"/>
      <c r="P236" s="32"/>
      <c r="Q236" s="36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</row>
    <row r="237" spans="1:28">
      <c r="A237" s="34"/>
      <c r="B237" s="33"/>
      <c r="C237" s="33"/>
      <c r="D237" s="33"/>
      <c r="E237" s="33"/>
      <c r="F237" s="33"/>
      <c r="G237" s="33"/>
      <c r="H237" s="33"/>
      <c r="I237" s="33"/>
      <c r="J237" s="33"/>
      <c r="K237" s="33"/>
      <c r="L237" s="33"/>
      <c r="N237" s="34"/>
      <c r="O237" s="32"/>
      <c r="P237" s="32"/>
      <c r="Q237" s="36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</row>
    <row r="238" spans="1:28">
      <c r="A238" s="34"/>
      <c r="B238" s="33"/>
      <c r="C238" s="33"/>
      <c r="D238" s="33"/>
      <c r="E238" s="33"/>
      <c r="F238" s="33"/>
      <c r="G238" s="33"/>
      <c r="H238" s="33"/>
      <c r="I238" s="33"/>
      <c r="J238" s="33"/>
      <c r="K238" s="33"/>
      <c r="L238" s="33"/>
      <c r="N238" s="34"/>
      <c r="O238" s="32"/>
      <c r="P238" s="32"/>
      <c r="Q238" s="36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</row>
    <row r="239" spans="1:28">
      <c r="A239" s="34"/>
      <c r="B239" s="33"/>
      <c r="C239" s="33"/>
      <c r="D239" s="33"/>
      <c r="E239" s="33"/>
      <c r="F239" s="33"/>
      <c r="G239" s="33"/>
      <c r="H239" s="33"/>
      <c r="I239" s="33"/>
      <c r="J239" s="33"/>
      <c r="K239" s="33"/>
      <c r="L239" s="33"/>
      <c r="N239" s="34"/>
      <c r="O239" s="32"/>
      <c r="P239" s="32"/>
      <c r="Q239" s="36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</row>
    <row r="240" spans="1:28">
      <c r="A240" s="34"/>
      <c r="B240" s="33"/>
      <c r="C240" s="33"/>
      <c r="D240" s="33"/>
      <c r="E240" s="33"/>
      <c r="F240" s="33"/>
      <c r="G240" s="33"/>
      <c r="H240" s="33"/>
      <c r="I240" s="33"/>
      <c r="J240" s="33"/>
      <c r="K240" s="33"/>
      <c r="L240" s="33"/>
      <c r="N240" s="34"/>
      <c r="O240" s="32"/>
      <c r="P240" s="32"/>
      <c r="Q240" s="36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</row>
    <row r="241" spans="1:28">
      <c r="A241" s="34"/>
      <c r="B241" s="33"/>
      <c r="C241" s="33"/>
      <c r="D241" s="33"/>
      <c r="E241" s="33"/>
      <c r="F241" s="33"/>
      <c r="G241" s="33"/>
      <c r="H241" s="33"/>
      <c r="I241" s="33"/>
      <c r="J241" s="33"/>
      <c r="K241" s="33"/>
      <c r="L241" s="33"/>
      <c r="N241" s="34"/>
      <c r="O241" s="32"/>
      <c r="P241" s="32"/>
      <c r="Q241" s="36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</row>
    <row r="242" spans="1:28">
      <c r="A242" s="34"/>
      <c r="B242" s="33"/>
      <c r="C242" s="33"/>
      <c r="D242" s="33"/>
      <c r="E242" s="33"/>
      <c r="F242" s="33"/>
      <c r="G242" s="33"/>
      <c r="H242" s="33"/>
      <c r="I242" s="33"/>
      <c r="J242" s="33"/>
      <c r="K242" s="33"/>
      <c r="L242" s="33"/>
      <c r="N242" s="34"/>
      <c r="O242" s="32"/>
      <c r="P242" s="32"/>
      <c r="Q242" s="36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</row>
    <row r="243" spans="1:28">
      <c r="A243" s="34"/>
      <c r="B243" s="33"/>
      <c r="C243" s="33"/>
      <c r="D243" s="33"/>
      <c r="E243" s="33"/>
      <c r="F243" s="33"/>
      <c r="G243" s="33"/>
      <c r="H243" s="33"/>
      <c r="I243" s="33"/>
      <c r="J243" s="33"/>
      <c r="K243" s="33"/>
      <c r="L243" s="33"/>
      <c r="N243" s="34"/>
      <c r="O243" s="32"/>
      <c r="P243" s="32"/>
      <c r="Q243" s="36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</row>
    <row r="244" spans="1:28">
      <c r="A244" s="34"/>
      <c r="B244" s="33"/>
      <c r="C244" s="33"/>
      <c r="D244" s="33"/>
      <c r="E244" s="33"/>
      <c r="F244" s="33"/>
      <c r="G244" s="33"/>
      <c r="H244" s="33"/>
      <c r="I244" s="33"/>
      <c r="J244" s="33"/>
      <c r="K244" s="33"/>
      <c r="L244" s="33"/>
      <c r="N244" s="34"/>
      <c r="O244" s="32"/>
      <c r="P244" s="32"/>
      <c r="Q244" s="36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</row>
    <row r="245" spans="1:28">
      <c r="A245" s="34"/>
      <c r="B245" s="33"/>
      <c r="C245" s="33"/>
      <c r="D245" s="33"/>
      <c r="E245" s="33"/>
      <c r="F245" s="33"/>
      <c r="G245" s="33"/>
      <c r="H245" s="33"/>
      <c r="I245" s="33"/>
      <c r="J245" s="33"/>
      <c r="K245" s="33"/>
      <c r="L245" s="33"/>
      <c r="N245" s="34"/>
      <c r="O245" s="32"/>
      <c r="P245" s="32"/>
      <c r="Q245" s="36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</row>
    <row r="246" spans="1:28">
      <c r="A246" s="34"/>
      <c r="B246" s="33"/>
      <c r="C246" s="33"/>
      <c r="D246" s="33"/>
      <c r="E246" s="33"/>
      <c r="F246" s="33"/>
      <c r="G246" s="33"/>
      <c r="H246" s="33"/>
      <c r="I246" s="33"/>
      <c r="J246" s="33"/>
      <c r="K246" s="33"/>
      <c r="L246" s="33"/>
      <c r="N246" s="34"/>
      <c r="O246" s="32"/>
      <c r="P246" s="32"/>
      <c r="Q246" s="36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</row>
    <row r="247" spans="1:28">
      <c r="A247" s="34"/>
      <c r="B247" s="33"/>
      <c r="C247" s="33"/>
      <c r="D247" s="33"/>
      <c r="E247" s="33"/>
      <c r="F247" s="33"/>
      <c r="G247" s="33"/>
      <c r="H247" s="33"/>
      <c r="I247" s="33"/>
      <c r="J247" s="33"/>
      <c r="K247" s="33"/>
      <c r="L247" s="33"/>
      <c r="N247" s="34"/>
      <c r="O247" s="32"/>
      <c r="P247" s="32"/>
      <c r="Q247" s="36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</row>
    <row r="248" spans="1:28">
      <c r="A248" s="34"/>
      <c r="B248" s="33"/>
      <c r="C248" s="33"/>
      <c r="D248" s="33"/>
      <c r="E248" s="33"/>
      <c r="F248" s="33"/>
      <c r="G248" s="33"/>
      <c r="H248" s="33"/>
      <c r="I248" s="33"/>
      <c r="J248" s="33"/>
      <c r="K248" s="33"/>
      <c r="L248" s="33"/>
      <c r="N248" s="34"/>
      <c r="O248" s="32"/>
      <c r="P248" s="32"/>
      <c r="Q248" s="36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</row>
    <row r="249" spans="1:28">
      <c r="A249" s="34"/>
      <c r="B249" s="33"/>
      <c r="C249" s="33"/>
      <c r="D249" s="33"/>
      <c r="E249" s="33"/>
      <c r="F249" s="33"/>
      <c r="G249" s="33"/>
      <c r="H249" s="33"/>
      <c r="I249" s="33"/>
      <c r="J249" s="33"/>
      <c r="K249" s="33"/>
      <c r="L249" s="33"/>
      <c r="N249" s="34"/>
      <c r="O249" s="32"/>
      <c r="P249" s="32"/>
      <c r="Q249" s="36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</row>
    <row r="250" spans="1:28">
      <c r="A250" s="34"/>
      <c r="B250" s="33"/>
      <c r="C250" s="33"/>
      <c r="D250" s="33"/>
      <c r="E250" s="33"/>
      <c r="F250" s="33"/>
      <c r="G250" s="33"/>
      <c r="H250" s="33"/>
      <c r="I250" s="33"/>
      <c r="J250" s="33"/>
      <c r="K250" s="33"/>
      <c r="L250" s="33"/>
      <c r="N250" s="34"/>
      <c r="O250" s="32"/>
      <c r="P250" s="32"/>
      <c r="Q250" s="36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</row>
    <row r="251" spans="1:28">
      <c r="A251" s="34"/>
      <c r="B251" s="33"/>
      <c r="C251" s="33"/>
      <c r="D251" s="33"/>
      <c r="E251" s="33"/>
      <c r="F251" s="33"/>
      <c r="G251" s="33"/>
      <c r="H251" s="33"/>
      <c r="I251" s="33"/>
      <c r="J251" s="33"/>
      <c r="K251" s="33"/>
      <c r="L251" s="33"/>
      <c r="N251" s="34"/>
      <c r="O251" s="32"/>
      <c r="P251" s="32"/>
      <c r="Q251" s="36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</row>
    <row r="252" spans="1:28">
      <c r="A252" s="34"/>
      <c r="B252" s="33"/>
      <c r="C252" s="33"/>
      <c r="D252" s="33"/>
      <c r="E252" s="33"/>
      <c r="F252" s="33"/>
      <c r="G252" s="33"/>
      <c r="H252" s="33"/>
      <c r="I252" s="33"/>
      <c r="J252" s="33"/>
      <c r="K252" s="33"/>
      <c r="L252" s="33"/>
      <c r="N252" s="34"/>
      <c r="O252" s="32"/>
      <c r="P252" s="32"/>
      <c r="Q252" s="36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</row>
    <row r="253" spans="1:28">
      <c r="A253" s="34"/>
      <c r="B253" s="33"/>
      <c r="C253" s="33"/>
      <c r="D253" s="33"/>
      <c r="E253" s="33"/>
      <c r="F253" s="33"/>
      <c r="G253" s="33"/>
      <c r="H253" s="33"/>
      <c r="I253" s="33"/>
      <c r="J253" s="33"/>
      <c r="K253" s="33"/>
      <c r="L253" s="33"/>
      <c r="N253" s="34"/>
      <c r="O253" s="32"/>
      <c r="P253" s="32"/>
      <c r="Q253" s="36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</row>
    <row r="254" spans="1:28">
      <c r="A254" s="34"/>
      <c r="B254" s="33"/>
      <c r="C254" s="33"/>
      <c r="D254" s="33"/>
      <c r="E254" s="33"/>
      <c r="F254" s="33"/>
      <c r="G254" s="33"/>
      <c r="H254" s="33"/>
      <c r="I254" s="33"/>
      <c r="J254" s="33"/>
      <c r="K254" s="33"/>
      <c r="L254" s="33"/>
      <c r="N254" s="34"/>
      <c r="O254" s="32"/>
      <c r="P254" s="32"/>
      <c r="Q254" s="36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</row>
    <row r="255" spans="1:28">
      <c r="A255" s="34"/>
      <c r="B255" s="33"/>
      <c r="C255" s="33"/>
      <c r="D255" s="33"/>
      <c r="E255" s="33"/>
      <c r="F255" s="33"/>
      <c r="G255" s="33"/>
      <c r="H255" s="33"/>
      <c r="I255" s="33"/>
      <c r="J255" s="33"/>
      <c r="K255" s="33"/>
      <c r="L255" s="33"/>
      <c r="N255" s="34"/>
      <c r="O255" s="32"/>
      <c r="P255" s="32"/>
      <c r="Q255" s="36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</row>
    <row r="256" spans="1:28">
      <c r="A256" s="34"/>
      <c r="B256" s="33"/>
      <c r="C256" s="33"/>
      <c r="D256" s="33"/>
      <c r="E256" s="33"/>
      <c r="F256" s="33"/>
      <c r="G256" s="33"/>
      <c r="H256" s="33"/>
      <c r="I256" s="33"/>
      <c r="J256" s="33"/>
      <c r="K256" s="33"/>
      <c r="L256" s="33"/>
      <c r="N256" s="34"/>
      <c r="O256" s="32"/>
      <c r="P256" s="32"/>
      <c r="Q256" s="36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</row>
    <row r="257" spans="1:28">
      <c r="A257" s="34"/>
      <c r="B257" s="33"/>
      <c r="C257" s="33"/>
      <c r="D257" s="33"/>
      <c r="E257" s="33"/>
      <c r="F257" s="33"/>
      <c r="G257" s="33"/>
      <c r="H257" s="33"/>
      <c r="I257" s="33"/>
      <c r="J257" s="33"/>
      <c r="K257" s="33"/>
      <c r="L257" s="33"/>
      <c r="N257" s="34"/>
      <c r="O257" s="32"/>
      <c r="P257" s="32"/>
      <c r="Q257" s="36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</row>
    <row r="258" spans="1:28">
      <c r="A258" s="34"/>
      <c r="B258" s="33"/>
      <c r="C258" s="33"/>
      <c r="D258" s="33"/>
      <c r="E258" s="33"/>
      <c r="F258" s="33"/>
      <c r="G258" s="33"/>
      <c r="H258" s="33"/>
      <c r="I258" s="33"/>
      <c r="J258" s="33"/>
      <c r="K258" s="33"/>
      <c r="L258" s="33"/>
      <c r="N258" s="34"/>
      <c r="O258" s="32"/>
      <c r="P258" s="32"/>
      <c r="Q258" s="36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</row>
    <row r="259" spans="1:28">
      <c r="A259" s="34"/>
      <c r="B259" s="33"/>
      <c r="C259" s="33"/>
      <c r="D259" s="33"/>
      <c r="E259" s="33"/>
      <c r="F259" s="33"/>
      <c r="G259" s="33"/>
      <c r="H259" s="33"/>
      <c r="I259" s="33"/>
      <c r="J259" s="33"/>
      <c r="K259" s="33"/>
      <c r="L259" s="33"/>
      <c r="N259" s="34"/>
      <c r="O259" s="32"/>
      <c r="P259" s="32"/>
      <c r="Q259" s="36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</row>
    <row r="260" spans="1:28">
      <c r="A260" s="34"/>
      <c r="B260" s="33"/>
      <c r="C260" s="33"/>
      <c r="D260" s="33"/>
      <c r="E260" s="33"/>
      <c r="F260" s="33"/>
      <c r="G260" s="33"/>
      <c r="H260" s="33"/>
      <c r="I260" s="33"/>
      <c r="J260" s="33"/>
      <c r="K260" s="33"/>
      <c r="L260" s="33"/>
      <c r="N260" s="34"/>
      <c r="O260" s="32"/>
      <c r="P260" s="32"/>
      <c r="Q260" s="36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</row>
    <row r="261" spans="1:28">
      <c r="A261" s="34"/>
      <c r="B261" s="33"/>
      <c r="C261" s="33"/>
      <c r="D261" s="33"/>
      <c r="E261" s="33"/>
      <c r="F261" s="33"/>
      <c r="G261" s="33"/>
      <c r="H261" s="33"/>
      <c r="I261" s="33"/>
      <c r="J261" s="33"/>
      <c r="K261" s="33"/>
      <c r="L261" s="33"/>
      <c r="N261" s="34"/>
      <c r="O261" s="32"/>
      <c r="P261" s="32"/>
      <c r="Q261" s="36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</row>
    <row r="262" spans="1:28">
      <c r="A262" s="34"/>
      <c r="B262" s="33"/>
      <c r="C262" s="33"/>
      <c r="D262" s="33"/>
      <c r="E262" s="33"/>
      <c r="F262" s="33"/>
      <c r="G262" s="33"/>
      <c r="H262" s="33"/>
      <c r="I262" s="33"/>
      <c r="J262" s="33"/>
      <c r="K262" s="33"/>
      <c r="L262" s="33"/>
      <c r="N262" s="34"/>
      <c r="O262" s="32"/>
      <c r="P262" s="32"/>
      <c r="Q262" s="36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</row>
    <row r="263" spans="1:28">
      <c r="A263" s="34"/>
      <c r="B263" s="33"/>
      <c r="C263" s="33"/>
      <c r="D263" s="33"/>
      <c r="E263" s="33"/>
      <c r="F263" s="33"/>
      <c r="G263" s="33"/>
      <c r="H263" s="33"/>
      <c r="I263" s="33"/>
      <c r="J263" s="33"/>
      <c r="K263" s="33"/>
      <c r="L263" s="33"/>
      <c r="N263" s="34"/>
      <c r="O263" s="32"/>
      <c r="P263" s="32"/>
      <c r="Q263" s="36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</row>
    <row r="264" spans="1:28">
      <c r="A264" s="34"/>
      <c r="B264" s="33"/>
      <c r="C264" s="33"/>
      <c r="D264" s="33"/>
      <c r="E264" s="33"/>
      <c r="F264" s="33"/>
      <c r="G264" s="33"/>
      <c r="H264" s="33"/>
      <c r="I264" s="33"/>
      <c r="J264" s="33"/>
      <c r="K264" s="33"/>
      <c r="L264" s="33"/>
      <c r="N264" s="34"/>
      <c r="O264" s="32"/>
      <c r="P264" s="32"/>
      <c r="Q264" s="36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</row>
    <row r="265" spans="1:28">
      <c r="A265" s="34"/>
      <c r="B265" s="33"/>
      <c r="C265" s="33"/>
      <c r="D265" s="33"/>
      <c r="E265" s="33"/>
      <c r="F265" s="33"/>
      <c r="G265" s="33"/>
      <c r="H265" s="33"/>
      <c r="I265" s="33"/>
      <c r="J265" s="33"/>
      <c r="K265" s="33"/>
      <c r="L265" s="33"/>
      <c r="N265" s="34"/>
      <c r="O265" s="32"/>
      <c r="P265" s="32"/>
      <c r="Q265" s="36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</row>
    <row r="266" spans="1:28">
      <c r="A266" s="34"/>
      <c r="B266" s="33"/>
      <c r="C266" s="33"/>
      <c r="D266" s="33"/>
      <c r="E266" s="33"/>
      <c r="F266" s="33"/>
      <c r="G266" s="33"/>
      <c r="H266" s="33"/>
      <c r="I266" s="33"/>
      <c r="J266" s="33"/>
      <c r="K266" s="33"/>
      <c r="L266" s="33"/>
      <c r="N266" s="34"/>
      <c r="O266" s="32"/>
      <c r="P266" s="32"/>
      <c r="Q266" s="36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</row>
    <row r="267" spans="1:28">
      <c r="A267" s="34"/>
      <c r="B267" s="33"/>
      <c r="C267" s="33"/>
      <c r="D267" s="33"/>
      <c r="E267" s="33"/>
      <c r="F267" s="33"/>
      <c r="G267" s="33"/>
      <c r="H267" s="33"/>
      <c r="I267" s="33"/>
      <c r="J267" s="33"/>
      <c r="K267" s="33"/>
      <c r="L267" s="33"/>
      <c r="N267" s="34"/>
      <c r="O267" s="32"/>
      <c r="P267" s="32"/>
      <c r="Q267" s="36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</row>
    <row r="268" spans="1:28">
      <c r="A268" s="34"/>
      <c r="B268" s="33"/>
      <c r="C268" s="33"/>
      <c r="D268" s="33"/>
      <c r="E268" s="33"/>
      <c r="F268" s="33"/>
      <c r="G268" s="33"/>
      <c r="H268" s="33"/>
      <c r="I268" s="33"/>
      <c r="J268" s="33"/>
      <c r="K268" s="33"/>
      <c r="L268" s="33"/>
      <c r="N268" s="34"/>
      <c r="O268" s="32"/>
      <c r="P268" s="32"/>
      <c r="Q268" s="36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</row>
    <row r="269" spans="1:28">
      <c r="A269" s="34"/>
      <c r="B269" s="33"/>
      <c r="C269" s="33"/>
      <c r="D269" s="33"/>
      <c r="E269" s="33"/>
      <c r="F269" s="33"/>
      <c r="G269" s="33"/>
      <c r="H269" s="33"/>
      <c r="I269" s="33"/>
      <c r="J269" s="33"/>
      <c r="K269" s="33"/>
      <c r="L269" s="33"/>
      <c r="N269" s="34"/>
      <c r="O269" s="32"/>
      <c r="P269" s="32"/>
      <c r="Q269" s="36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</row>
    <row r="270" spans="1:28">
      <c r="A270" s="34"/>
      <c r="B270" s="33"/>
      <c r="C270" s="33"/>
      <c r="D270" s="33"/>
      <c r="E270" s="33"/>
      <c r="F270" s="33"/>
      <c r="G270" s="33"/>
      <c r="H270" s="33"/>
      <c r="I270" s="33"/>
      <c r="J270" s="33"/>
      <c r="K270" s="33"/>
      <c r="L270" s="33"/>
      <c r="N270" s="34"/>
      <c r="O270" s="32"/>
      <c r="P270" s="32"/>
      <c r="Q270" s="36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</row>
    <row r="271" spans="1:28">
      <c r="A271" s="34"/>
      <c r="B271" s="33"/>
      <c r="C271" s="33"/>
      <c r="D271" s="33"/>
      <c r="E271" s="33"/>
      <c r="F271" s="33"/>
      <c r="G271" s="33"/>
      <c r="H271" s="33"/>
      <c r="I271" s="33"/>
      <c r="J271" s="33"/>
      <c r="K271" s="33"/>
      <c r="L271" s="33"/>
      <c r="N271" s="34"/>
      <c r="O271" s="32"/>
      <c r="P271" s="32"/>
      <c r="Q271" s="36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</row>
    <row r="272" spans="1:28">
      <c r="A272" s="34"/>
      <c r="B272" s="33"/>
      <c r="C272" s="33"/>
      <c r="D272" s="33"/>
      <c r="E272" s="33"/>
      <c r="F272" s="33"/>
      <c r="G272" s="33"/>
      <c r="H272" s="33"/>
      <c r="I272" s="33"/>
      <c r="J272" s="33"/>
      <c r="K272" s="33"/>
      <c r="L272" s="33"/>
      <c r="N272" s="34"/>
      <c r="O272" s="32"/>
      <c r="P272" s="32"/>
      <c r="Q272" s="36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</row>
    <row r="273" spans="1:28">
      <c r="A273" s="34"/>
      <c r="B273" s="33"/>
      <c r="C273" s="33"/>
      <c r="D273" s="33"/>
      <c r="E273" s="33"/>
      <c r="F273" s="33"/>
      <c r="G273" s="33"/>
      <c r="H273" s="33"/>
      <c r="I273" s="33"/>
      <c r="J273" s="33"/>
      <c r="K273" s="33"/>
      <c r="L273" s="33"/>
      <c r="N273" s="34"/>
      <c r="O273" s="32"/>
      <c r="P273" s="32"/>
      <c r="Q273" s="36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</row>
    <row r="274" spans="1:28">
      <c r="A274" s="34"/>
      <c r="B274" s="33"/>
      <c r="C274" s="33"/>
      <c r="D274" s="33"/>
      <c r="E274" s="33"/>
      <c r="F274" s="33"/>
      <c r="G274" s="33"/>
      <c r="H274" s="33"/>
      <c r="I274" s="33"/>
      <c r="J274" s="33"/>
      <c r="K274" s="33"/>
      <c r="L274" s="33"/>
      <c r="N274" s="34"/>
      <c r="O274" s="32"/>
      <c r="P274" s="32"/>
      <c r="Q274" s="36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</row>
    <row r="275" spans="1:28">
      <c r="A275" s="34"/>
      <c r="B275" s="33"/>
      <c r="C275" s="33"/>
      <c r="D275" s="33"/>
      <c r="E275" s="33"/>
      <c r="F275" s="33"/>
      <c r="G275" s="33"/>
      <c r="H275" s="33"/>
      <c r="I275" s="33"/>
      <c r="J275" s="33"/>
      <c r="K275" s="33"/>
      <c r="L275" s="33"/>
      <c r="N275" s="34"/>
      <c r="O275" s="32"/>
      <c r="P275" s="32"/>
      <c r="Q275" s="36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</row>
    <row r="276" spans="1:28">
      <c r="A276" s="34"/>
      <c r="B276" s="33"/>
      <c r="C276" s="33"/>
      <c r="D276" s="33"/>
      <c r="E276" s="33"/>
      <c r="F276" s="33"/>
      <c r="G276" s="33"/>
      <c r="H276" s="33"/>
      <c r="I276" s="33"/>
      <c r="J276" s="33"/>
      <c r="K276" s="33"/>
      <c r="L276" s="33"/>
      <c r="N276" s="34"/>
      <c r="O276" s="32"/>
      <c r="P276" s="32"/>
      <c r="Q276" s="36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</row>
    <row r="277" spans="1:28">
      <c r="A277" s="34"/>
      <c r="B277" s="33"/>
      <c r="C277" s="33"/>
      <c r="D277" s="33"/>
      <c r="E277" s="33"/>
      <c r="F277" s="33"/>
      <c r="G277" s="33"/>
      <c r="H277" s="33"/>
      <c r="I277" s="33"/>
      <c r="J277" s="33"/>
      <c r="K277" s="33"/>
      <c r="L277" s="33"/>
      <c r="N277" s="34"/>
      <c r="O277" s="32"/>
      <c r="P277" s="32"/>
      <c r="Q277" s="36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</row>
    <row r="278" spans="1:28">
      <c r="A278" s="34"/>
      <c r="B278" s="33"/>
      <c r="C278" s="33"/>
      <c r="D278" s="33"/>
      <c r="E278" s="33"/>
      <c r="F278" s="33"/>
      <c r="G278" s="33"/>
      <c r="H278" s="33"/>
      <c r="I278" s="33"/>
      <c r="J278" s="33"/>
      <c r="K278" s="33"/>
      <c r="L278" s="33"/>
      <c r="N278" s="34"/>
      <c r="O278" s="32"/>
      <c r="P278" s="32"/>
      <c r="Q278" s="36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</row>
    <row r="279" spans="1:28">
      <c r="A279" s="34"/>
      <c r="B279" s="33"/>
      <c r="C279" s="33"/>
      <c r="D279" s="33"/>
      <c r="E279" s="33"/>
      <c r="F279" s="33"/>
      <c r="G279" s="33"/>
      <c r="H279" s="33"/>
      <c r="I279" s="33"/>
      <c r="J279" s="33"/>
      <c r="K279" s="33"/>
      <c r="L279" s="33"/>
      <c r="N279" s="34"/>
      <c r="O279" s="32"/>
      <c r="P279" s="32"/>
      <c r="Q279" s="36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</row>
    <row r="280" spans="1:28">
      <c r="A280" s="34"/>
      <c r="B280" s="33"/>
      <c r="C280" s="33"/>
      <c r="D280" s="33"/>
      <c r="E280" s="33"/>
      <c r="F280" s="33"/>
      <c r="G280" s="33"/>
      <c r="H280" s="33"/>
      <c r="I280" s="33"/>
      <c r="J280" s="33"/>
      <c r="K280" s="33"/>
      <c r="L280" s="33"/>
      <c r="N280" s="34"/>
      <c r="O280" s="32"/>
      <c r="P280" s="32"/>
      <c r="Q280" s="36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</row>
    <row r="281" spans="1:28">
      <c r="A281" s="34"/>
      <c r="B281" s="33"/>
      <c r="C281" s="33"/>
      <c r="D281" s="33"/>
      <c r="E281" s="33"/>
      <c r="F281" s="33"/>
      <c r="G281" s="33"/>
      <c r="H281" s="33"/>
      <c r="I281" s="33"/>
      <c r="J281" s="33"/>
      <c r="K281" s="33"/>
      <c r="L281" s="33"/>
      <c r="N281" s="34"/>
      <c r="O281" s="32"/>
      <c r="P281" s="32"/>
      <c r="Q281" s="36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</row>
    <row r="282" spans="1:28">
      <c r="A282" s="34"/>
      <c r="B282" s="33"/>
      <c r="C282" s="33"/>
      <c r="D282" s="33"/>
      <c r="E282" s="33"/>
      <c r="F282" s="33"/>
      <c r="G282" s="33"/>
      <c r="H282" s="33"/>
      <c r="I282" s="33"/>
      <c r="J282" s="33"/>
      <c r="K282" s="33"/>
      <c r="L282" s="33"/>
      <c r="N282" s="34"/>
      <c r="O282" s="32"/>
      <c r="P282" s="32"/>
      <c r="Q282" s="36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</row>
    <row r="283" spans="1:28">
      <c r="A283" s="34"/>
      <c r="B283" s="33"/>
      <c r="C283" s="33"/>
      <c r="D283" s="33"/>
      <c r="E283" s="33"/>
      <c r="F283" s="33"/>
      <c r="G283" s="33"/>
      <c r="H283" s="33"/>
      <c r="I283" s="33"/>
      <c r="J283" s="33"/>
      <c r="K283" s="33"/>
      <c r="L283" s="33"/>
      <c r="N283" s="34"/>
      <c r="O283" s="32"/>
      <c r="P283" s="32"/>
      <c r="Q283" s="36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</row>
    <row r="284" spans="1:28">
      <c r="A284" s="34"/>
      <c r="B284" s="33"/>
      <c r="C284" s="33"/>
      <c r="D284" s="33"/>
      <c r="E284" s="33"/>
      <c r="F284" s="33"/>
      <c r="G284" s="33"/>
      <c r="H284" s="33"/>
      <c r="I284" s="33"/>
      <c r="J284" s="33"/>
      <c r="K284" s="33"/>
      <c r="L284" s="33"/>
      <c r="N284" s="34"/>
      <c r="O284" s="32"/>
      <c r="P284" s="32"/>
      <c r="Q284" s="36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</row>
    <row r="285" spans="1:28">
      <c r="A285" s="34"/>
      <c r="B285" s="33"/>
      <c r="C285" s="33"/>
      <c r="D285" s="33"/>
      <c r="E285" s="33"/>
      <c r="F285" s="33"/>
      <c r="G285" s="33"/>
      <c r="H285" s="33"/>
      <c r="I285" s="33"/>
      <c r="J285" s="33"/>
      <c r="K285" s="33"/>
      <c r="L285" s="33"/>
      <c r="N285" s="34"/>
      <c r="O285" s="32"/>
      <c r="P285" s="32"/>
      <c r="Q285" s="36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</row>
    <row r="286" spans="1:28">
      <c r="A286" s="34"/>
      <c r="B286" s="33"/>
      <c r="C286" s="33"/>
      <c r="D286" s="33"/>
      <c r="E286" s="33"/>
      <c r="F286" s="33"/>
      <c r="G286" s="33"/>
      <c r="H286" s="33"/>
      <c r="I286" s="33"/>
      <c r="J286" s="33"/>
      <c r="K286" s="33"/>
      <c r="L286" s="33"/>
      <c r="N286" s="34"/>
      <c r="O286" s="32"/>
      <c r="P286" s="32"/>
      <c r="Q286" s="36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</row>
    <row r="287" spans="1:28">
      <c r="A287" s="34"/>
      <c r="B287" s="33"/>
      <c r="C287" s="33"/>
      <c r="D287" s="33"/>
      <c r="E287" s="33"/>
      <c r="F287" s="33"/>
      <c r="G287" s="33"/>
      <c r="H287" s="33"/>
      <c r="I287" s="33"/>
      <c r="J287" s="33"/>
      <c r="K287" s="33"/>
      <c r="L287" s="33"/>
      <c r="N287" s="34"/>
      <c r="O287" s="32"/>
      <c r="P287" s="32"/>
      <c r="Q287" s="36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</row>
    <row r="288" spans="1:28">
      <c r="A288" s="34"/>
      <c r="B288" s="33"/>
      <c r="C288" s="33"/>
      <c r="D288" s="33"/>
      <c r="E288" s="33"/>
      <c r="F288" s="33"/>
      <c r="G288" s="33"/>
      <c r="H288" s="33"/>
      <c r="I288" s="33"/>
      <c r="J288" s="33"/>
      <c r="K288" s="33"/>
      <c r="L288" s="33"/>
      <c r="N288" s="34"/>
      <c r="O288" s="32"/>
      <c r="P288" s="32"/>
      <c r="Q288" s="36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</row>
    <row r="289" spans="1:28">
      <c r="A289" s="34"/>
      <c r="B289" s="33"/>
      <c r="C289" s="33"/>
      <c r="D289" s="33"/>
      <c r="E289" s="33"/>
      <c r="F289" s="33"/>
      <c r="G289" s="33"/>
      <c r="H289" s="33"/>
      <c r="I289" s="33"/>
      <c r="J289" s="33"/>
      <c r="K289" s="33"/>
      <c r="L289" s="33"/>
      <c r="N289" s="34"/>
      <c r="O289" s="32"/>
      <c r="P289" s="32"/>
      <c r="Q289" s="36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</row>
    <row r="290" spans="1:28">
      <c r="A290" s="34"/>
      <c r="B290" s="33"/>
      <c r="C290" s="33"/>
      <c r="D290" s="33"/>
      <c r="E290" s="33"/>
      <c r="F290" s="33"/>
      <c r="G290" s="33"/>
      <c r="H290" s="33"/>
      <c r="I290" s="33"/>
      <c r="J290" s="33"/>
      <c r="K290" s="33"/>
      <c r="L290" s="33"/>
      <c r="N290" s="34"/>
      <c r="O290" s="32"/>
      <c r="P290" s="32"/>
      <c r="Q290" s="36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</row>
    <row r="291" spans="1:28">
      <c r="A291" s="34"/>
      <c r="B291" s="33"/>
      <c r="C291" s="33"/>
      <c r="D291" s="33"/>
      <c r="E291" s="33"/>
      <c r="F291" s="33"/>
      <c r="G291" s="33"/>
      <c r="H291" s="33"/>
      <c r="I291" s="33"/>
      <c r="J291" s="33"/>
      <c r="K291" s="33"/>
      <c r="L291" s="33"/>
      <c r="N291" s="34"/>
      <c r="O291" s="32"/>
      <c r="P291" s="32"/>
      <c r="Q291" s="36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</row>
    <row r="292" spans="1:28">
      <c r="A292" s="34"/>
      <c r="B292" s="33"/>
      <c r="C292" s="33"/>
      <c r="D292" s="33"/>
      <c r="E292" s="33"/>
      <c r="F292" s="33"/>
      <c r="G292" s="33"/>
      <c r="H292" s="33"/>
      <c r="I292" s="33"/>
      <c r="J292" s="33"/>
      <c r="K292" s="33"/>
      <c r="L292" s="33"/>
      <c r="N292" s="34"/>
      <c r="O292" s="32"/>
      <c r="P292" s="32"/>
      <c r="Q292" s="36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</row>
    <row r="293" spans="1:28">
      <c r="A293" s="34"/>
      <c r="B293" s="33"/>
      <c r="C293" s="33"/>
      <c r="D293" s="33"/>
      <c r="E293" s="33"/>
      <c r="F293" s="33"/>
      <c r="G293" s="33"/>
      <c r="H293" s="33"/>
      <c r="I293" s="33"/>
      <c r="J293" s="33"/>
      <c r="K293" s="33"/>
      <c r="L293" s="33"/>
      <c r="N293" s="34"/>
      <c r="O293" s="32"/>
      <c r="P293" s="32"/>
      <c r="Q293" s="36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</row>
    <row r="294" spans="1:28">
      <c r="A294" s="34"/>
      <c r="B294" s="33"/>
      <c r="C294" s="33"/>
      <c r="D294" s="33"/>
      <c r="E294" s="33"/>
      <c r="F294" s="33"/>
      <c r="G294" s="33"/>
      <c r="H294" s="33"/>
      <c r="I294" s="33"/>
      <c r="J294" s="33"/>
      <c r="K294" s="33"/>
      <c r="L294" s="33"/>
      <c r="N294" s="34"/>
      <c r="O294" s="32"/>
      <c r="P294" s="32"/>
      <c r="Q294" s="36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</row>
    <row r="295" spans="1:28">
      <c r="A295" s="34"/>
      <c r="B295" s="33"/>
      <c r="C295" s="33"/>
      <c r="D295" s="33"/>
      <c r="E295" s="33"/>
      <c r="F295" s="33"/>
      <c r="G295" s="33"/>
      <c r="H295" s="33"/>
      <c r="I295" s="33"/>
      <c r="J295" s="33"/>
      <c r="K295" s="33"/>
      <c r="L295" s="33"/>
      <c r="N295" s="34"/>
      <c r="O295" s="32"/>
      <c r="P295" s="32"/>
      <c r="Q295" s="36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</row>
    <row r="296" spans="1:28">
      <c r="A296" s="34"/>
      <c r="B296" s="33"/>
      <c r="C296" s="33"/>
      <c r="D296" s="33"/>
      <c r="E296" s="33"/>
      <c r="F296" s="33"/>
      <c r="G296" s="33"/>
      <c r="H296" s="33"/>
      <c r="I296" s="33"/>
      <c r="J296" s="33"/>
      <c r="K296" s="33"/>
      <c r="L296" s="33"/>
      <c r="N296" s="34"/>
      <c r="O296" s="32"/>
      <c r="P296" s="32"/>
      <c r="Q296" s="36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</row>
    <row r="297" spans="1:28">
      <c r="A297" s="34"/>
      <c r="B297" s="33"/>
      <c r="C297" s="33"/>
      <c r="D297" s="33"/>
      <c r="E297" s="33"/>
      <c r="F297" s="33"/>
      <c r="G297" s="33"/>
      <c r="H297" s="33"/>
      <c r="I297" s="33"/>
      <c r="J297" s="33"/>
      <c r="K297" s="33"/>
      <c r="L297" s="33"/>
      <c r="N297" s="34"/>
      <c r="O297" s="32"/>
      <c r="P297" s="32"/>
      <c r="Q297" s="36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</row>
    <row r="298" spans="1:28">
      <c r="A298" s="34"/>
      <c r="B298" s="33"/>
      <c r="C298" s="33"/>
      <c r="D298" s="33"/>
      <c r="E298" s="33"/>
      <c r="F298" s="33"/>
      <c r="G298" s="33"/>
      <c r="H298" s="33"/>
      <c r="I298" s="33"/>
      <c r="J298" s="33"/>
      <c r="K298" s="33"/>
      <c r="L298" s="33"/>
      <c r="N298" s="34"/>
      <c r="O298" s="32"/>
      <c r="P298" s="32"/>
      <c r="Q298" s="36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</row>
    <row r="299" spans="1:28">
      <c r="A299" s="34"/>
      <c r="B299" s="33"/>
      <c r="C299" s="33"/>
      <c r="D299" s="33"/>
      <c r="E299" s="33"/>
      <c r="F299" s="33"/>
      <c r="G299" s="33"/>
      <c r="H299" s="33"/>
      <c r="I299" s="33"/>
      <c r="J299" s="33"/>
      <c r="K299" s="33"/>
      <c r="L299" s="33"/>
      <c r="N299" s="34"/>
      <c r="O299" s="32"/>
      <c r="P299" s="32"/>
      <c r="Q299" s="36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</row>
    <row r="300" spans="1:28">
      <c r="A300" s="34"/>
      <c r="B300" s="33"/>
      <c r="C300" s="33"/>
      <c r="D300" s="33"/>
      <c r="E300" s="33"/>
      <c r="F300" s="33"/>
      <c r="G300" s="33"/>
      <c r="H300" s="33"/>
      <c r="I300" s="33"/>
      <c r="J300" s="33"/>
      <c r="K300" s="33"/>
      <c r="L300" s="33"/>
      <c r="N300" s="34"/>
      <c r="O300" s="32"/>
      <c r="P300" s="32"/>
      <c r="Q300" s="36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</row>
    <row r="301" spans="1:28">
      <c r="A301" s="34"/>
      <c r="B301" s="33"/>
      <c r="C301" s="33"/>
      <c r="D301" s="33"/>
      <c r="E301" s="33"/>
      <c r="F301" s="33"/>
      <c r="G301" s="33"/>
      <c r="H301" s="33"/>
      <c r="I301" s="33"/>
      <c r="J301" s="33"/>
      <c r="K301" s="33"/>
      <c r="L301" s="33"/>
      <c r="N301" s="34"/>
      <c r="O301" s="32"/>
      <c r="P301" s="32"/>
      <c r="Q301" s="36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</row>
    <row r="302" spans="1:28">
      <c r="A302" s="34"/>
      <c r="B302" s="33"/>
      <c r="C302" s="33"/>
      <c r="D302" s="33"/>
      <c r="E302" s="33"/>
      <c r="F302" s="33"/>
      <c r="G302" s="33"/>
      <c r="H302" s="33"/>
      <c r="I302" s="33"/>
      <c r="J302" s="33"/>
      <c r="K302" s="33"/>
      <c r="L302" s="33"/>
      <c r="N302" s="34"/>
      <c r="O302" s="32"/>
      <c r="P302" s="32"/>
      <c r="Q302" s="36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</row>
    <row r="303" spans="1:28">
      <c r="A303" s="34"/>
      <c r="B303" s="33"/>
      <c r="C303" s="33"/>
      <c r="D303" s="33"/>
      <c r="E303" s="33"/>
      <c r="F303" s="33"/>
      <c r="G303" s="33"/>
      <c r="H303" s="33"/>
      <c r="I303" s="33"/>
      <c r="J303" s="33"/>
      <c r="K303" s="33"/>
      <c r="L303" s="33"/>
      <c r="N303" s="34"/>
      <c r="O303" s="32"/>
      <c r="P303" s="32"/>
      <c r="Q303" s="36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</row>
    <row r="304" spans="1:28">
      <c r="A304" s="34"/>
      <c r="B304" s="33"/>
      <c r="C304" s="33"/>
      <c r="D304" s="33"/>
      <c r="E304" s="33"/>
      <c r="F304" s="33"/>
      <c r="G304" s="33"/>
      <c r="H304" s="33"/>
      <c r="I304" s="33"/>
      <c r="J304" s="33"/>
      <c r="K304" s="33"/>
      <c r="L304" s="33"/>
      <c r="N304" s="34"/>
      <c r="O304" s="32"/>
      <c r="P304" s="32"/>
      <c r="Q304" s="36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</row>
    <row r="305" spans="1:28">
      <c r="A305" s="34"/>
      <c r="B305" s="33"/>
      <c r="C305" s="33"/>
      <c r="D305" s="33"/>
      <c r="E305" s="33"/>
      <c r="F305" s="33"/>
      <c r="G305" s="33"/>
      <c r="H305" s="33"/>
      <c r="I305" s="33"/>
      <c r="J305" s="33"/>
      <c r="K305" s="33"/>
      <c r="L305" s="33"/>
      <c r="N305" s="34"/>
      <c r="O305" s="32"/>
      <c r="P305" s="32"/>
      <c r="Q305" s="36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</row>
    <row r="306" spans="1:28">
      <c r="A306" s="34"/>
      <c r="B306" s="33"/>
      <c r="C306" s="33"/>
      <c r="D306" s="33"/>
      <c r="E306" s="33"/>
      <c r="F306" s="33"/>
      <c r="G306" s="33"/>
      <c r="H306" s="33"/>
      <c r="I306" s="33"/>
      <c r="J306" s="33"/>
      <c r="K306" s="33"/>
      <c r="L306" s="33"/>
      <c r="N306" s="34"/>
      <c r="O306" s="32"/>
      <c r="P306" s="32"/>
      <c r="Q306" s="36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</row>
    <row r="307" spans="1:28">
      <c r="A307" s="34"/>
      <c r="B307" s="33"/>
      <c r="C307" s="33"/>
      <c r="D307" s="33"/>
      <c r="E307" s="33"/>
      <c r="F307" s="33"/>
      <c r="G307" s="33"/>
      <c r="H307" s="33"/>
      <c r="I307" s="33"/>
      <c r="J307" s="33"/>
      <c r="K307" s="33"/>
      <c r="L307" s="33"/>
      <c r="N307" s="34"/>
      <c r="O307" s="32"/>
      <c r="P307" s="32"/>
      <c r="Q307" s="36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</row>
    <row r="308" spans="1:28">
      <c r="A308" s="34"/>
      <c r="B308" s="33"/>
      <c r="C308" s="33"/>
      <c r="D308" s="33"/>
      <c r="E308" s="33"/>
      <c r="F308" s="33"/>
      <c r="G308" s="33"/>
      <c r="H308" s="33"/>
      <c r="I308" s="33"/>
      <c r="J308" s="33"/>
      <c r="K308" s="33"/>
      <c r="L308" s="33"/>
      <c r="N308" s="34"/>
      <c r="O308" s="32"/>
      <c r="P308" s="32"/>
      <c r="Q308" s="36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</row>
    <row r="309" spans="1:28">
      <c r="A309" s="34"/>
      <c r="B309" s="33"/>
      <c r="C309" s="33"/>
      <c r="D309" s="33"/>
      <c r="E309" s="33"/>
      <c r="F309" s="33"/>
      <c r="G309" s="33"/>
      <c r="H309" s="33"/>
      <c r="I309" s="33"/>
      <c r="J309" s="33"/>
      <c r="K309" s="33"/>
      <c r="L309" s="33"/>
      <c r="N309" s="34"/>
      <c r="O309" s="32"/>
      <c r="P309" s="32"/>
      <c r="Q309" s="36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</row>
    <row r="310" spans="1:28">
      <c r="A310" s="34"/>
      <c r="B310" s="33"/>
      <c r="C310" s="33"/>
      <c r="D310" s="33"/>
      <c r="E310" s="33"/>
      <c r="F310" s="33"/>
      <c r="G310" s="33"/>
      <c r="H310" s="33"/>
      <c r="I310" s="33"/>
      <c r="J310" s="33"/>
      <c r="K310" s="33"/>
      <c r="L310" s="33"/>
      <c r="N310" s="34"/>
      <c r="O310" s="32"/>
      <c r="P310" s="32"/>
      <c r="Q310" s="36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</row>
    <row r="311" spans="1:28">
      <c r="A311" s="34"/>
      <c r="B311" s="33"/>
      <c r="C311" s="33"/>
      <c r="D311" s="33"/>
      <c r="E311" s="33"/>
      <c r="F311" s="33"/>
      <c r="G311" s="33"/>
      <c r="H311" s="33"/>
      <c r="I311" s="33"/>
      <c r="J311" s="33"/>
      <c r="K311" s="33"/>
      <c r="L311" s="33"/>
      <c r="N311" s="34"/>
      <c r="O311" s="32"/>
      <c r="P311" s="32"/>
      <c r="Q311" s="36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</row>
    <row r="312" spans="1:28">
      <c r="A312" s="34"/>
      <c r="B312" s="33"/>
      <c r="C312" s="33"/>
      <c r="D312" s="33"/>
      <c r="E312" s="33"/>
      <c r="F312" s="33"/>
      <c r="G312" s="33"/>
      <c r="H312" s="33"/>
      <c r="I312" s="33"/>
      <c r="J312" s="33"/>
      <c r="K312" s="33"/>
      <c r="L312" s="33"/>
      <c r="N312" s="34"/>
      <c r="O312" s="32"/>
      <c r="P312" s="32"/>
      <c r="Q312" s="36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</row>
    <row r="313" spans="1:28">
      <c r="A313" s="34"/>
      <c r="B313" s="33"/>
      <c r="C313" s="33"/>
      <c r="D313" s="33"/>
      <c r="E313" s="33"/>
      <c r="F313" s="33"/>
      <c r="G313" s="33"/>
      <c r="H313" s="33"/>
      <c r="I313" s="33"/>
      <c r="J313" s="33"/>
      <c r="K313" s="33"/>
      <c r="L313" s="33"/>
      <c r="N313" s="34"/>
      <c r="O313" s="32"/>
      <c r="P313" s="32"/>
      <c r="Q313" s="36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</row>
    <row r="314" spans="1:28">
      <c r="A314" s="34"/>
      <c r="B314" s="33"/>
      <c r="C314" s="33"/>
      <c r="D314" s="33"/>
      <c r="E314" s="33"/>
      <c r="F314" s="33"/>
      <c r="G314" s="33"/>
      <c r="H314" s="33"/>
      <c r="I314" s="33"/>
      <c r="J314" s="33"/>
      <c r="K314" s="33"/>
      <c r="L314" s="33"/>
      <c r="N314" s="34"/>
      <c r="O314" s="32"/>
      <c r="P314" s="32"/>
      <c r="Q314" s="36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</row>
    <row r="315" spans="1:28">
      <c r="A315" s="34"/>
      <c r="B315" s="33"/>
      <c r="C315" s="33"/>
      <c r="D315" s="33"/>
      <c r="E315" s="33"/>
      <c r="F315" s="33"/>
      <c r="G315" s="33"/>
      <c r="H315" s="33"/>
      <c r="I315" s="33"/>
      <c r="J315" s="33"/>
      <c r="K315" s="33"/>
      <c r="L315" s="33"/>
      <c r="N315" s="34"/>
      <c r="O315" s="32"/>
      <c r="P315" s="32"/>
      <c r="Q315" s="36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</row>
    <row r="316" spans="1:28">
      <c r="A316" s="34"/>
      <c r="B316" s="33"/>
      <c r="C316" s="33"/>
      <c r="D316" s="33"/>
      <c r="E316" s="33"/>
      <c r="F316" s="33"/>
      <c r="G316" s="33"/>
      <c r="H316" s="33"/>
      <c r="I316" s="33"/>
      <c r="J316" s="33"/>
      <c r="K316" s="33"/>
      <c r="L316" s="33"/>
      <c r="N316" s="34"/>
      <c r="O316" s="32"/>
      <c r="P316" s="32"/>
      <c r="Q316" s="36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</row>
    <row r="317" spans="1:28">
      <c r="A317" s="34"/>
      <c r="B317" s="33"/>
      <c r="C317" s="33"/>
      <c r="D317" s="33"/>
      <c r="E317" s="33"/>
      <c r="F317" s="33"/>
      <c r="G317" s="33"/>
      <c r="H317" s="33"/>
      <c r="I317" s="33"/>
      <c r="J317" s="33"/>
      <c r="K317" s="33"/>
      <c r="L317" s="33"/>
      <c r="N317" s="34"/>
      <c r="O317" s="32"/>
      <c r="P317" s="32"/>
      <c r="Q317" s="36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</row>
    <row r="318" spans="1:28">
      <c r="A318" s="34"/>
      <c r="B318" s="33"/>
      <c r="C318" s="33"/>
      <c r="D318" s="33"/>
      <c r="E318" s="33"/>
      <c r="F318" s="33"/>
      <c r="G318" s="33"/>
      <c r="H318" s="33"/>
      <c r="I318" s="33"/>
      <c r="J318" s="33"/>
      <c r="K318" s="33"/>
      <c r="L318" s="33"/>
      <c r="N318" s="34"/>
      <c r="O318" s="32"/>
      <c r="P318" s="32"/>
      <c r="Q318" s="36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</row>
    <row r="319" spans="1:28">
      <c r="A319" s="34"/>
      <c r="B319" s="33"/>
      <c r="C319" s="33"/>
      <c r="D319" s="33"/>
      <c r="E319" s="33"/>
      <c r="F319" s="33"/>
      <c r="G319" s="33"/>
      <c r="H319" s="33"/>
      <c r="I319" s="33"/>
      <c r="J319" s="33"/>
      <c r="K319" s="33"/>
      <c r="L319" s="33"/>
      <c r="N319" s="34"/>
      <c r="O319" s="32"/>
      <c r="P319" s="32"/>
      <c r="Q319" s="36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</row>
    <row r="320" spans="1:28">
      <c r="A320" s="34"/>
      <c r="B320" s="33"/>
      <c r="C320" s="33"/>
      <c r="D320" s="33"/>
      <c r="E320" s="33"/>
      <c r="F320" s="33"/>
      <c r="G320" s="33"/>
      <c r="H320" s="33"/>
      <c r="I320" s="33"/>
      <c r="J320" s="33"/>
      <c r="K320" s="33"/>
      <c r="L320" s="33"/>
      <c r="N320" s="34"/>
      <c r="O320" s="32"/>
      <c r="P320" s="32"/>
      <c r="Q320" s="36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</row>
    <row r="321" spans="1:28">
      <c r="A321" s="34"/>
      <c r="B321" s="33"/>
      <c r="C321" s="33"/>
      <c r="D321" s="33"/>
      <c r="E321" s="33"/>
      <c r="F321" s="33"/>
      <c r="G321" s="33"/>
      <c r="H321" s="33"/>
      <c r="I321" s="33"/>
      <c r="J321" s="33"/>
      <c r="K321" s="33"/>
      <c r="L321" s="33"/>
      <c r="N321" s="34"/>
      <c r="O321" s="32"/>
      <c r="P321" s="32"/>
      <c r="Q321" s="36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</row>
    <row r="322" spans="1:28">
      <c r="A322" s="34"/>
      <c r="B322" s="33"/>
      <c r="C322" s="33"/>
      <c r="D322" s="33"/>
      <c r="E322" s="33"/>
      <c r="F322" s="33"/>
      <c r="G322" s="33"/>
      <c r="H322" s="33"/>
      <c r="I322" s="33"/>
      <c r="J322" s="33"/>
      <c r="K322" s="33"/>
      <c r="L322" s="33"/>
      <c r="N322" s="34"/>
      <c r="O322" s="32"/>
      <c r="P322" s="32"/>
      <c r="Q322" s="36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</row>
    <row r="323" spans="1:28">
      <c r="A323" s="34"/>
      <c r="B323" s="33"/>
      <c r="C323" s="33"/>
      <c r="D323" s="33"/>
      <c r="E323" s="33"/>
      <c r="F323" s="33"/>
      <c r="G323" s="33"/>
      <c r="H323" s="33"/>
      <c r="I323" s="33"/>
      <c r="J323" s="33"/>
      <c r="K323" s="33"/>
      <c r="L323" s="33"/>
      <c r="N323" s="34"/>
      <c r="O323" s="32"/>
      <c r="P323" s="32"/>
      <c r="Q323" s="36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</row>
    <row r="324" spans="1:28">
      <c r="A324" s="34"/>
      <c r="B324" s="33"/>
      <c r="C324" s="33"/>
      <c r="D324" s="33"/>
      <c r="E324" s="33"/>
      <c r="F324" s="33"/>
      <c r="G324" s="33"/>
      <c r="H324" s="33"/>
      <c r="I324" s="33"/>
      <c r="J324" s="33"/>
      <c r="K324" s="33"/>
      <c r="L324" s="33"/>
      <c r="N324" s="34"/>
      <c r="O324" s="32"/>
      <c r="P324" s="32"/>
      <c r="Q324" s="36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</row>
    <row r="325" spans="1:28">
      <c r="A325" s="34"/>
      <c r="B325" s="33"/>
      <c r="C325" s="33"/>
      <c r="D325" s="33"/>
      <c r="E325" s="33"/>
      <c r="F325" s="33"/>
      <c r="G325" s="33"/>
      <c r="H325" s="33"/>
      <c r="I325" s="33"/>
      <c r="J325" s="33"/>
      <c r="K325" s="33"/>
      <c r="L325" s="33"/>
      <c r="N325" s="34"/>
      <c r="O325" s="32"/>
      <c r="P325" s="32"/>
      <c r="Q325" s="36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</row>
    <row r="326" spans="1:28">
      <c r="A326" s="34"/>
      <c r="B326" s="33"/>
      <c r="C326" s="33"/>
      <c r="D326" s="33"/>
      <c r="E326" s="33"/>
      <c r="F326" s="33"/>
      <c r="G326" s="33"/>
      <c r="H326" s="33"/>
      <c r="I326" s="33"/>
      <c r="J326" s="33"/>
      <c r="K326" s="33"/>
      <c r="L326" s="33"/>
      <c r="N326" s="34"/>
      <c r="O326" s="32"/>
      <c r="P326" s="32"/>
      <c r="Q326" s="36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</row>
    <row r="327" spans="1:28">
      <c r="A327" s="34"/>
      <c r="B327" s="33"/>
      <c r="C327" s="33"/>
      <c r="D327" s="33"/>
      <c r="E327" s="33"/>
      <c r="F327" s="33"/>
      <c r="G327" s="33"/>
      <c r="H327" s="33"/>
      <c r="I327" s="33"/>
      <c r="J327" s="33"/>
      <c r="K327" s="33"/>
      <c r="L327" s="33"/>
      <c r="N327" s="34"/>
      <c r="O327" s="32"/>
      <c r="P327" s="32"/>
      <c r="Q327" s="36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</row>
    <row r="328" spans="1:28">
      <c r="A328" s="34"/>
      <c r="B328" s="33"/>
      <c r="C328" s="33"/>
      <c r="D328" s="33"/>
      <c r="E328" s="33"/>
      <c r="F328" s="33"/>
      <c r="G328" s="33"/>
      <c r="H328" s="33"/>
      <c r="I328" s="33"/>
      <c r="J328" s="33"/>
      <c r="K328" s="33"/>
      <c r="L328" s="33"/>
      <c r="N328" s="34"/>
      <c r="O328" s="32"/>
      <c r="P328" s="32"/>
      <c r="Q328" s="36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</row>
    <row r="329" spans="1:28">
      <c r="A329" s="34"/>
      <c r="B329" s="33"/>
      <c r="C329" s="33"/>
      <c r="D329" s="33"/>
      <c r="E329" s="33"/>
      <c r="F329" s="33"/>
      <c r="G329" s="33"/>
      <c r="H329" s="33"/>
      <c r="I329" s="33"/>
      <c r="J329" s="33"/>
      <c r="K329" s="33"/>
      <c r="L329" s="33"/>
      <c r="N329" s="34"/>
      <c r="O329" s="32"/>
      <c r="P329" s="32"/>
      <c r="Q329" s="36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</row>
    <row r="330" spans="1:28">
      <c r="A330" s="34"/>
      <c r="B330" s="33"/>
      <c r="C330" s="33"/>
      <c r="D330" s="33"/>
      <c r="E330" s="33"/>
      <c r="F330" s="33"/>
      <c r="G330" s="33"/>
      <c r="H330" s="33"/>
      <c r="I330" s="33"/>
      <c r="J330" s="33"/>
      <c r="K330" s="33"/>
      <c r="L330" s="33"/>
      <c r="N330" s="34"/>
      <c r="O330" s="32"/>
      <c r="P330" s="32"/>
      <c r="Q330" s="36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</row>
    <row r="331" spans="1:28">
      <c r="A331" s="34"/>
      <c r="B331" s="33"/>
      <c r="C331" s="33"/>
      <c r="D331" s="33"/>
      <c r="E331" s="33"/>
      <c r="F331" s="33"/>
      <c r="G331" s="33"/>
      <c r="H331" s="33"/>
      <c r="I331" s="33"/>
      <c r="J331" s="33"/>
      <c r="K331" s="33"/>
      <c r="L331" s="33"/>
      <c r="N331" s="34"/>
      <c r="O331" s="32"/>
      <c r="P331" s="32"/>
      <c r="Q331" s="36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</row>
    <row r="332" spans="1:28">
      <c r="A332" s="34"/>
      <c r="B332" s="33"/>
      <c r="C332" s="33"/>
      <c r="D332" s="33"/>
      <c r="E332" s="33"/>
      <c r="F332" s="33"/>
      <c r="G332" s="33"/>
      <c r="H332" s="33"/>
      <c r="I332" s="33"/>
      <c r="J332" s="33"/>
      <c r="K332" s="33"/>
      <c r="L332" s="33"/>
      <c r="N332" s="34"/>
      <c r="O332" s="32"/>
      <c r="P332" s="32"/>
      <c r="Q332" s="36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</row>
    <row r="333" spans="1:28">
      <c r="A333" s="34"/>
      <c r="B333" s="33"/>
      <c r="C333" s="33"/>
      <c r="D333" s="33"/>
      <c r="E333" s="33"/>
      <c r="F333" s="33"/>
      <c r="G333" s="33"/>
      <c r="H333" s="33"/>
      <c r="I333" s="33"/>
      <c r="J333" s="33"/>
      <c r="K333" s="33"/>
      <c r="L333" s="33"/>
      <c r="N333" s="34"/>
      <c r="O333" s="32"/>
      <c r="P333" s="32"/>
      <c r="Q333" s="36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</row>
    <row r="334" spans="1:28">
      <c r="A334" s="34"/>
      <c r="B334" s="33"/>
      <c r="C334" s="33"/>
      <c r="D334" s="33"/>
      <c r="E334" s="33"/>
      <c r="F334" s="33"/>
      <c r="G334" s="33"/>
      <c r="H334" s="33"/>
      <c r="I334" s="33"/>
      <c r="J334" s="33"/>
      <c r="K334" s="33"/>
      <c r="L334" s="33"/>
      <c r="N334" s="34"/>
      <c r="O334" s="32"/>
      <c r="P334" s="32"/>
      <c r="Q334" s="36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</row>
    <row r="335" spans="1:28">
      <c r="A335" s="34"/>
      <c r="B335" s="33"/>
      <c r="C335" s="33"/>
      <c r="D335" s="33"/>
      <c r="E335" s="33"/>
      <c r="F335" s="33"/>
      <c r="G335" s="33"/>
      <c r="H335" s="33"/>
      <c r="I335" s="33"/>
      <c r="J335" s="33"/>
      <c r="K335" s="33"/>
      <c r="L335" s="33"/>
      <c r="N335" s="34"/>
      <c r="O335" s="32"/>
      <c r="P335" s="32"/>
      <c r="Q335" s="36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</row>
    <row r="336" spans="1:28">
      <c r="A336" s="34"/>
      <c r="B336" s="33"/>
      <c r="C336" s="33"/>
      <c r="D336" s="33"/>
      <c r="E336" s="33"/>
      <c r="F336" s="33"/>
      <c r="G336" s="33"/>
      <c r="H336" s="33"/>
      <c r="I336" s="33"/>
      <c r="J336" s="33"/>
      <c r="K336" s="33"/>
      <c r="L336" s="33"/>
      <c r="N336" s="34"/>
      <c r="O336" s="32"/>
      <c r="P336" s="32"/>
      <c r="Q336" s="36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</row>
    <row r="337" spans="1:28">
      <c r="A337" s="34"/>
      <c r="B337" s="33"/>
      <c r="C337" s="33"/>
      <c r="D337" s="33"/>
      <c r="E337" s="33"/>
      <c r="F337" s="33"/>
      <c r="G337" s="33"/>
      <c r="H337" s="33"/>
      <c r="I337" s="33"/>
      <c r="J337" s="33"/>
      <c r="K337" s="33"/>
      <c r="L337" s="33"/>
      <c r="N337" s="34"/>
      <c r="O337" s="32"/>
      <c r="P337" s="32"/>
      <c r="Q337" s="36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</row>
    <row r="338" spans="1:28">
      <c r="A338" s="34"/>
      <c r="B338" s="33"/>
      <c r="C338" s="33"/>
      <c r="D338" s="33"/>
      <c r="E338" s="33"/>
      <c r="F338" s="33"/>
      <c r="G338" s="33"/>
      <c r="H338" s="33"/>
      <c r="I338" s="33"/>
      <c r="J338" s="33"/>
      <c r="K338" s="33"/>
      <c r="L338" s="33"/>
      <c r="N338" s="34"/>
      <c r="O338" s="32"/>
      <c r="P338" s="32"/>
      <c r="Q338" s="36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</row>
    <row r="339" spans="1:28">
      <c r="A339" s="34"/>
      <c r="B339" s="33"/>
      <c r="C339" s="33"/>
      <c r="D339" s="33"/>
      <c r="E339" s="33"/>
      <c r="F339" s="33"/>
      <c r="G339" s="33"/>
      <c r="H339" s="33"/>
      <c r="I339" s="33"/>
      <c r="J339" s="33"/>
      <c r="K339" s="33"/>
      <c r="L339" s="33"/>
      <c r="N339" s="34"/>
      <c r="O339" s="32"/>
      <c r="P339" s="32"/>
      <c r="Q339" s="36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</row>
    <row r="340" spans="1:28">
      <c r="A340" s="34"/>
      <c r="B340" s="33"/>
      <c r="C340" s="33"/>
      <c r="D340" s="33"/>
      <c r="E340" s="33"/>
      <c r="F340" s="33"/>
      <c r="G340" s="33"/>
      <c r="H340" s="33"/>
      <c r="I340" s="33"/>
      <c r="J340" s="33"/>
      <c r="K340" s="33"/>
      <c r="L340" s="33"/>
      <c r="N340" s="34"/>
      <c r="O340" s="32"/>
      <c r="P340" s="32"/>
      <c r="Q340" s="36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</row>
    <row r="341" spans="1:28">
      <c r="A341" s="34"/>
      <c r="B341" s="33"/>
      <c r="C341" s="33"/>
      <c r="D341" s="33"/>
      <c r="E341" s="33"/>
      <c r="F341" s="33"/>
      <c r="G341" s="33"/>
      <c r="H341" s="33"/>
      <c r="I341" s="33"/>
      <c r="J341" s="33"/>
      <c r="K341" s="33"/>
      <c r="L341" s="33"/>
      <c r="N341" s="34"/>
      <c r="O341" s="32"/>
      <c r="P341" s="32"/>
      <c r="Q341" s="36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</row>
    <row r="342" spans="1:28">
      <c r="A342" s="34"/>
      <c r="B342" s="33"/>
      <c r="C342" s="33"/>
      <c r="D342" s="33"/>
      <c r="E342" s="33"/>
      <c r="F342" s="33"/>
      <c r="G342" s="33"/>
      <c r="H342" s="33"/>
      <c r="I342" s="33"/>
      <c r="J342" s="33"/>
      <c r="K342" s="33"/>
      <c r="L342" s="33"/>
      <c r="N342" s="34"/>
      <c r="O342" s="32"/>
      <c r="P342" s="32"/>
      <c r="Q342" s="36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</row>
    <row r="343" spans="1:28">
      <c r="A343" s="34"/>
      <c r="B343" s="33"/>
      <c r="C343" s="33"/>
      <c r="D343" s="33"/>
      <c r="E343" s="33"/>
      <c r="F343" s="33"/>
      <c r="G343" s="33"/>
      <c r="H343" s="33"/>
      <c r="I343" s="33"/>
      <c r="J343" s="33"/>
      <c r="K343" s="33"/>
      <c r="L343" s="33"/>
      <c r="N343" s="34"/>
      <c r="O343" s="32"/>
      <c r="P343" s="32"/>
      <c r="Q343" s="36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</row>
    <row r="344" spans="1:28">
      <c r="A344" s="34"/>
      <c r="B344" s="33"/>
      <c r="C344" s="33"/>
      <c r="D344" s="33"/>
      <c r="E344" s="33"/>
      <c r="F344" s="33"/>
      <c r="G344" s="33"/>
      <c r="H344" s="33"/>
      <c r="I344" s="33"/>
      <c r="J344" s="33"/>
      <c r="K344" s="33"/>
      <c r="L344" s="33"/>
      <c r="N344" s="34"/>
      <c r="O344" s="32"/>
      <c r="P344" s="32"/>
      <c r="Q344" s="36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</row>
    <row r="345" spans="1:28">
      <c r="A345" s="34"/>
      <c r="B345" s="33"/>
      <c r="C345" s="33"/>
      <c r="D345" s="33"/>
      <c r="E345" s="33"/>
      <c r="F345" s="33"/>
      <c r="G345" s="33"/>
      <c r="H345" s="33"/>
      <c r="I345" s="33"/>
      <c r="J345" s="33"/>
      <c r="K345" s="33"/>
      <c r="L345" s="33"/>
      <c r="N345" s="34"/>
      <c r="O345" s="32"/>
      <c r="P345" s="32"/>
      <c r="Q345" s="36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</row>
    <row r="346" spans="1:28">
      <c r="A346" s="34"/>
      <c r="B346" s="33"/>
      <c r="C346" s="33"/>
      <c r="D346" s="33"/>
      <c r="E346" s="33"/>
      <c r="F346" s="33"/>
      <c r="G346" s="33"/>
      <c r="H346" s="33"/>
      <c r="I346" s="33"/>
      <c r="J346" s="33"/>
      <c r="K346" s="33"/>
      <c r="L346" s="33"/>
      <c r="N346" s="34"/>
      <c r="O346" s="32"/>
      <c r="P346" s="32"/>
      <c r="Q346" s="36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</row>
    <row r="347" spans="1:28">
      <c r="A347" s="34"/>
      <c r="B347" s="33"/>
      <c r="C347" s="33"/>
      <c r="D347" s="33"/>
      <c r="E347" s="33"/>
      <c r="F347" s="33"/>
      <c r="G347" s="33"/>
      <c r="H347" s="33"/>
      <c r="I347" s="33"/>
      <c r="J347" s="33"/>
      <c r="K347" s="33"/>
      <c r="L347" s="33"/>
      <c r="N347" s="34"/>
      <c r="O347" s="32"/>
      <c r="P347" s="32"/>
      <c r="Q347" s="36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</row>
    <row r="348" spans="1:28">
      <c r="A348" s="34"/>
      <c r="B348" s="33"/>
      <c r="C348" s="33"/>
      <c r="D348" s="33"/>
      <c r="E348" s="33"/>
      <c r="F348" s="33"/>
      <c r="G348" s="33"/>
      <c r="H348" s="33"/>
      <c r="I348" s="33"/>
      <c r="J348" s="33"/>
      <c r="K348" s="33"/>
      <c r="L348" s="33"/>
      <c r="N348" s="34"/>
      <c r="O348" s="32"/>
      <c r="P348" s="32"/>
      <c r="Q348" s="36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</row>
    <row r="349" spans="1:28">
      <c r="A349" s="34"/>
      <c r="B349" s="33"/>
      <c r="C349" s="33"/>
      <c r="D349" s="33"/>
      <c r="E349" s="33"/>
      <c r="F349" s="33"/>
      <c r="G349" s="33"/>
      <c r="H349" s="33"/>
      <c r="I349" s="33"/>
      <c r="J349" s="33"/>
      <c r="K349" s="33"/>
      <c r="L349" s="33"/>
      <c r="N349" s="34"/>
      <c r="O349" s="32"/>
      <c r="P349" s="32"/>
      <c r="Q349" s="36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</row>
    <row r="350" spans="1:28">
      <c r="A350" s="34"/>
      <c r="B350" s="33"/>
      <c r="C350" s="33"/>
      <c r="D350" s="33"/>
      <c r="E350" s="33"/>
      <c r="F350" s="33"/>
      <c r="G350" s="33"/>
      <c r="H350" s="33"/>
      <c r="I350" s="33"/>
      <c r="J350" s="33"/>
      <c r="K350" s="33"/>
      <c r="L350" s="33"/>
      <c r="N350" s="34"/>
      <c r="O350" s="32"/>
      <c r="P350" s="32"/>
      <c r="Q350" s="36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</row>
    <row r="351" spans="1:28">
      <c r="A351" s="34"/>
      <c r="B351" s="33"/>
      <c r="C351" s="33"/>
      <c r="D351" s="33"/>
      <c r="E351" s="33"/>
      <c r="F351" s="33"/>
      <c r="G351" s="33"/>
      <c r="H351" s="33"/>
      <c r="I351" s="33"/>
      <c r="J351" s="33"/>
      <c r="K351" s="33"/>
      <c r="L351" s="33"/>
      <c r="N351" s="34"/>
      <c r="O351" s="32"/>
      <c r="P351" s="32"/>
      <c r="Q351" s="36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</row>
    <row r="352" spans="1:28">
      <c r="A352" s="34"/>
      <c r="B352" s="33"/>
      <c r="C352" s="33"/>
      <c r="D352" s="33"/>
      <c r="E352" s="33"/>
      <c r="F352" s="33"/>
      <c r="G352" s="33"/>
      <c r="H352" s="33"/>
      <c r="I352" s="33"/>
      <c r="J352" s="33"/>
      <c r="K352" s="33"/>
      <c r="L352" s="33"/>
      <c r="N352" s="34"/>
      <c r="O352" s="32"/>
      <c r="P352" s="32"/>
      <c r="Q352" s="36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</row>
    <row r="353" spans="1:28">
      <c r="A353" s="34"/>
      <c r="B353" s="33"/>
      <c r="C353" s="33"/>
      <c r="D353" s="33"/>
      <c r="E353" s="33"/>
      <c r="F353" s="33"/>
      <c r="G353" s="33"/>
      <c r="H353" s="33"/>
      <c r="I353" s="33"/>
      <c r="J353" s="33"/>
      <c r="K353" s="33"/>
      <c r="L353" s="33"/>
      <c r="N353" s="34"/>
      <c r="O353" s="32"/>
      <c r="P353" s="32"/>
      <c r="Q353" s="36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</row>
    <row r="354" spans="1:28">
      <c r="A354" s="34"/>
      <c r="B354" s="33"/>
      <c r="C354" s="33"/>
      <c r="D354" s="33"/>
      <c r="E354" s="33"/>
      <c r="F354" s="33"/>
      <c r="G354" s="33"/>
      <c r="H354" s="33"/>
      <c r="I354" s="33"/>
      <c r="J354" s="33"/>
      <c r="K354" s="33"/>
      <c r="L354" s="33"/>
      <c r="N354" s="34"/>
      <c r="O354" s="32"/>
      <c r="P354" s="32"/>
      <c r="Q354" s="36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</row>
    <row r="355" spans="1:28">
      <c r="A355" s="34"/>
      <c r="B355" s="33"/>
      <c r="C355" s="33"/>
      <c r="D355" s="33"/>
      <c r="E355" s="33"/>
      <c r="F355" s="33"/>
      <c r="G355" s="33"/>
      <c r="H355" s="33"/>
      <c r="I355" s="33"/>
      <c r="J355" s="33"/>
      <c r="K355" s="33"/>
      <c r="L355" s="33"/>
      <c r="N355" s="34"/>
      <c r="O355" s="32"/>
      <c r="P355" s="32"/>
      <c r="Q355" s="36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</row>
    <row r="356" spans="1:28">
      <c r="A356" s="34"/>
      <c r="B356" s="33"/>
      <c r="C356" s="33"/>
      <c r="D356" s="33"/>
      <c r="E356" s="33"/>
      <c r="F356" s="33"/>
      <c r="G356" s="33"/>
      <c r="H356" s="33"/>
      <c r="I356" s="33"/>
      <c r="J356" s="33"/>
      <c r="K356" s="33"/>
      <c r="L356" s="33"/>
      <c r="N356" s="34"/>
      <c r="O356" s="32"/>
      <c r="P356" s="32"/>
      <c r="Q356" s="36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</row>
    <row r="357" spans="1:28">
      <c r="A357" s="34"/>
      <c r="B357" s="33"/>
      <c r="C357" s="33"/>
      <c r="D357" s="33"/>
      <c r="E357" s="33"/>
      <c r="F357" s="33"/>
      <c r="G357" s="33"/>
      <c r="H357" s="33"/>
      <c r="I357" s="33"/>
      <c r="J357" s="33"/>
      <c r="K357" s="33"/>
      <c r="L357" s="33"/>
      <c r="N357" s="34"/>
      <c r="O357" s="32"/>
      <c r="P357" s="32"/>
      <c r="Q357" s="36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</row>
    <row r="358" spans="1:28">
      <c r="A358" s="34"/>
      <c r="B358" s="33"/>
      <c r="C358" s="33"/>
      <c r="D358" s="33"/>
      <c r="E358" s="33"/>
      <c r="F358" s="33"/>
      <c r="G358" s="33"/>
      <c r="H358" s="33"/>
      <c r="I358" s="33"/>
      <c r="J358" s="33"/>
      <c r="K358" s="33"/>
      <c r="L358" s="33"/>
      <c r="N358" s="34"/>
      <c r="O358" s="32"/>
      <c r="P358" s="32"/>
      <c r="Q358" s="36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</row>
    <row r="359" spans="1:28">
      <c r="A359" s="34"/>
      <c r="B359" s="33"/>
      <c r="C359" s="33"/>
      <c r="D359" s="33"/>
      <c r="E359" s="33"/>
      <c r="F359" s="33"/>
      <c r="G359" s="33"/>
      <c r="H359" s="33"/>
      <c r="I359" s="33"/>
      <c r="J359" s="33"/>
      <c r="K359" s="33"/>
      <c r="L359" s="33"/>
      <c r="N359" s="34"/>
      <c r="O359" s="32"/>
      <c r="P359" s="32"/>
      <c r="Q359" s="36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</row>
    <row r="360" spans="1:28">
      <c r="A360" s="34"/>
      <c r="B360" s="33"/>
      <c r="C360" s="33"/>
      <c r="D360" s="33"/>
      <c r="E360" s="33"/>
      <c r="F360" s="33"/>
      <c r="G360" s="33"/>
      <c r="H360" s="33"/>
      <c r="I360" s="33"/>
      <c r="J360" s="33"/>
      <c r="K360" s="33"/>
      <c r="L360" s="33"/>
      <c r="N360" s="34"/>
      <c r="O360" s="32"/>
      <c r="P360" s="32"/>
      <c r="Q360" s="36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</row>
    <row r="361" spans="1:28">
      <c r="A361" s="34"/>
      <c r="B361" s="33"/>
      <c r="C361" s="33"/>
      <c r="D361" s="33"/>
      <c r="E361" s="33"/>
      <c r="F361" s="33"/>
      <c r="G361" s="33"/>
      <c r="H361" s="33"/>
      <c r="I361" s="33"/>
      <c r="J361" s="33"/>
      <c r="K361" s="33"/>
      <c r="L361" s="33"/>
      <c r="N361" s="34"/>
      <c r="O361" s="32"/>
      <c r="P361" s="32"/>
      <c r="Q361" s="36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</row>
    <row r="362" spans="1:28">
      <c r="A362" s="34"/>
      <c r="B362" s="33"/>
      <c r="C362" s="33"/>
      <c r="D362" s="33"/>
      <c r="E362" s="33"/>
      <c r="F362" s="33"/>
      <c r="G362" s="33"/>
      <c r="H362" s="33"/>
      <c r="I362" s="33"/>
      <c r="J362" s="33"/>
      <c r="K362" s="33"/>
      <c r="L362" s="33"/>
      <c r="N362" s="34"/>
      <c r="O362" s="32"/>
      <c r="P362" s="32"/>
      <c r="Q362" s="36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</row>
    <row r="363" spans="1:28">
      <c r="A363" s="34"/>
      <c r="B363" s="33"/>
      <c r="C363" s="33"/>
      <c r="D363" s="33"/>
      <c r="E363" s="33"/>
      <c r="F363" s="33"/>
      <c r="G363" s="33"/>
      <c r="H363" s="33"/>
      <c r="I363" s="33"/>
      <c r="J363" s="33"/>
      <c r="K363" s="33"/>
      <c r="L363" s="33"/>
      <c r="N363" s="34"/>
      <c r="O363" s="32"/>
      <c r="P363" s="32"/>
      <c r="Q363" s="36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</row>
    <row r="364" spans="1:28">
      <c r="A364" s="34"/>
      <c r="B364" s="33"/>
      <c r="C364" s="33"/>
      <c r="D364" s="33"/>
      <c r="E364" s="33"/>
      <c r="F364" s="33"/>
      <c r="G364" s="33"/>
      <c r="H364" s="33"/>
      <c r="I364" s="33"/>
      <c r="J364" s="33"/>
      <c r="K364" s="33"/>
      <c r="L364" s="33"/>
      <c r="N364" s="34"/>
      <c r="O364" s="32"/>
      <c r="P364" s="32"/>
      <c r="Q364" s="36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</row>
    <row r="365" spans="1:28">
      <c r="A365" s="34"/>
      <c r="B365" s="33"/>
      <c r="C365" s="33"/>
      <c r="D365" s="33"/>
      <c r="E365" s="33"/>
      <c r="F365" s="33"/>
      <c r="G365" s="33"/>
      <c r="H365" s="33"/>
      <c r="I365" s="33"/>
      <c r="J365" s="33"/>
      <c r="K365" s="33"/>
      <c r="L365" s="33"/>
      <c r="N365" s="34"/>
      <c r="O365" s="32"/>
      <c r="P365" s="32"/>
      <c r="Q365" s="36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</row>
    <row r="366" spans="1:28">
      <c r="A366" s="34"/>
      <c r="B366" s="33"/>
      <c r="C366" s="33"/>
      <c r="D366" s="33"/>
      <c r="E366" s="33"/>
      <c r="F366" s="33"/>
      <c r="G366" s="33"/>
      <c r="H366" s="33"/>
      <c r="I366" s="33"/>
      <c r="J366" s="33"/>
      <c r="K366" s="33"/>
      <c r="L366" s="33"/>
      <c r="N366" s="34"/>
      <c r="O366" s="32"/>
      <c r="P366" s="32"/>
      <c r="Q366" s="36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</row>
    <row r="367" spans="1:28">
      <c r="A367" s="34"/>
      <c r="B367" s="33"/>
      <c r="C367" s="33"/>
      <c r="D367" s="33"/>
      <c r="E367" s="33"/>
      <c r="F367" s="33"/>
      <c r="G367" s="33"/>
      <c r="H367" s="33"/>
      <c r="I367" s="33"/>
      <c r="J367" s="33"/>
      <c r="K367" s="33"/>
      <c r="L367" s="33"/>
      <c r="N367" s="34"/>
      <c r="O367" s="32"/>
      <c r="P367" s="32"/>
      <c r="Q367" s="36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</row>
    <row r="368" spans="1:28">
      <c r="A368" s="34"/>
      <c r="B368" s="33"/>
      <c r="C368" s="33"/>
      <c r="D368" s="33"/>
      <c r="E368" s="33"/>
      <c r="F368" s="33"/>
      <c r="G368" s="33"/>
      <c r="H368" s="33"/>
      <c r="I368" s="33"/>
      <c r="J368" s="33"/>
      <c r="K368" s="33"/>
      <c r="L368" s="33"/>
      <c r="N368" s="34"/>
      <c r="O368" s="32"/>
      <c r="P368" s="32"/>
      <c r="Q368" s="36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</row>
    <row r="369" spans="1:28">
      <c r="A369" s="34"/>
      <c r="B369" s="33"/>
      <c r="C369" s="33"/>
      <c r="D369" s="33"/>
      <c r="E369" s="33"/>
      <c r="F369" s="33"/>
      <c r="G369" s="33"/>
      <c r="H369" s="33"/>
      <c r="I369" s="33"/>
      <c r="J369" s="33"/>
      <c r="K369" s="33"/>
      <c r="L369" s="33"/>
      <c r="N369" s="34"/>
      <c r="O369" s="32"/>
      <c r="P369" s="32"/>
      <c r="Q369" s="36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</row>
    <row r="370" spans="1:28">
      <c r="A370" s="34"/>
      <c r="B370" s="33"/>
      <c r="C370" s="33"/>
      <c r="D370" s="33"/>
      <c r="E370" s="33"/>
      <c r="F370" s="33"/>
      <c r="G370" s="33"/>
      <c r="H370" s="33"/>
      <c r="I370" s="33"/>
      <c r="J370" s="33"/>
      <c r="K370" s="33"/>
      <c r="L370" s="33"/>
      <c r="N370" s="34"/>
      <c r="O370" s="32"/>
      <c r="P370" s="32"/>
      <c r="Q370" s="36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</row>
    <row r="371" spans="1:28">
      <c r="A371" s="34"/>
      <c r="B371" s="33"/>
      <c r="C371" s="33"/>
      <c r="D371" s="33"/>
      <c r="E371" s="33"/>
      <c r="F371" s="33"/>
      <c r="G371" s="33"/>
      <c r="H371" s="33"/>
      <c r="I371" s="33"/>
      <c r="J371" s="33"/>
      <c r="K371" s="33"/>
      <c r="L371" s="33"/>
      <c r="N371" s="34"/>
      <c r="O371" s="32"/>
      <c r="P371" s="32"/>
      <c r="Q371" s="36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</row>
    <row r="372" spans="1:28">
      <c r="A372" s="34"/>
      <c r="B372" s="33"/>
      <c r="C372" s="33"/>
      <c r="D372" s="33"/>
      <c r="E372" s="33"/>
      <c r="F372" s="33"/>
      <c r="G372" s="33"/>
      <c r="H372" s="33"/>
      <c r="I372" s="33"/>
      <c r="J372" s="33"/>
      <c r="K372" s="33"/>
      <c r="L372" s="33"/>
      <c r="N372" s="34"/>
      <c r="O372" s="32"/>
      <c r="P372" s="32"/>
      <c r="Q372" s="36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</row>
    <row r="373" spans="1:28">
      <c r="A373" s="34"/>
      <c r="B373" s="33"/>
      <c r="C373" s="33"/>
      <c r="D373" s="33"/>
      <c r="E373" s="33"/>
      <c r="F373" s="33"/>
      <c r="G373" s="33"/>
      <c r="H373" s="33"/>
      <c r="I373" s="33"/>
      <c r="J373" s="33"/>
      <c r="K373" s="33"/>
      <c r="L373" s="33"/>
      <c r="N373" s="34"/>
      <c r="O373" s="32"/>
      <c r="P373" s="32"/>
      <c r="Q373" s="36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</row>
    <row r="374" spans="1:28">
      <c r="A374" s="34"/>
      <c r="B374" s="33"/>
      <c r="C374" s="33"/>
      <c r="D374" s="33"/>
      <c r="E374" s="33"/>
      <c r="F374" s="33"/>
      <c r="G374" s="33"/>
      <c r="H374" s="33"/>
      <c r="I374" s="33"/>
      <c r="J374" s="33"/>
      <c r="K374" s="33"/>
      <c r="L374" s="33"/>
      <c r="N374" s="34"/>
      <c r="O374" s="32"/>
      <c r="P374" s="32"/>
      <c r="Q374" s="36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</row>
    <row r="375" spans="1:28">
      <c r="A375" s="34"/>
      <c r="B375" s="33"/>
      <c r="C375" s="33"/>
      <c r="D375" s="33"/>
      <c r="E375" s="33"/>
      <c r="F375" s="33"/>
      <c r="G375" s="33"/>
      <c r="H375" s="33"/>
      <c r="I375" s="33"/>
      <c r="J375" s="33"/>
      <c r="K375" s="33"/>
      <c r="L375" s="33"/>
      <c r="N375" s="34"/>
      <c r="O375" s="32"/>
      <c r="P375" s="32"/>
      <c r="Q375" s="36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</row>
    <row r="376" spans="1:28">
      <c r="A376" s="34"/>
      <c r="B376" s="33"/>
      <c r="C376" s="33"/>
      <c r="D376" s="33"/>
      <c r="E376" s="33"/>
      <c r="F376" s="33"/>
      <c r="G376" s="33"/>
      <c r="H376" s="33"/>
      <c r="I376" s="33"/>
      <c r="J376" s="33"/>
      <c r="K376" s="33"/>
      <c r="L376" s="33"/>
      <c r="N376" s="34"/>
      <c r="O376" s="32"/>
      <c r="P376" s="32"/>
      <c r="Q376" s="36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</row>
    <row r="377" spans="1:28">
      <c r="A377" s="34"/>
      <c r="B377" s="33"/>
      <c r="C377" s="33"/>
      <c r="D377" s="33"/>
      <c r="E377" s="33"/>
      <c r="F377" s="33"/>
      <c r="G377" s="33"/>
      <c r="H377" s="33"/>
      <c r="I377" s="33"/>
      <c r="J377" s="33"/>
      <c r="K377" s="33"/>
      <c r="L377" s="33"/>
      <c r="N377" s="34"/>
      <c r="O377" s="32"/>
      <c r="P377" s="32"/>
      <c r="Q377" s="36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</row>
    <row r="378" spans="1:28">
      <c r="A378" s="34"/>
      <c r="B378" s="33"/>
      <c r="C378" s="33"/>
      <c r="D378" s="33"/>
      <c r="E378" s="33"/>
      <c r="F378" s="33"/>
      <c r="G378" s="33"/>
      <c r="H378" s="33"/>
      <c r="I378" s="33"/>
      <c r="J378" s="33"/>
      <c r="K378" s="33"/>
      <c r="L378" s="33"/>
      <c r="N378" s="34"/>
      <c r="O378" s="32"/>
      <c r="P378" s="32"/>
      <c r="Q378" s="36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</row>
    <row r="379" spans="1:28">
      <c r="A379" s="34"/>
      <c r="B379" s="33"/>
      <c r="C379" s="33"/>
      <c r="D379" s="33"/>
      <c r="E379" s="33"/>
      <c r="F379" s="33"/>
      <c r="G379" s="33"/>
      <c r="H379" s="33"/>
      <c r="I379" s="33"/>
      <c r="J379" s="33"/>
      <c r="K379" s="33"/>
      <c r="L379" s="33"/>
      <c r="N379" s="34"/>
      <c r="O379" s="32"/>
      <c r="P379" s="32"/>
      <c r="Q379" s="36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</row>
    <row r="380" spans="1:28">
      <c r="A380" s="34"/>
      <c r="B380" s="33"/>
      <c r="C380" s="33"/>
      <c r="D380" s="33"/>
      <c r="E380" s="33"/>
      <c r="F380" s="33"/>
      <c r="G380" s="33"/>
      <c r="H380" s="33"/>
      <c r="I380" s="33"/>
      <c r="J380" s="33"/>
      <c r="K380" s="33"/>
      <c r="L380" s="33"/>
      <c r="N380" s="34"/>
      <c r="O380" s="32"/>
      <c r="P380" s="32"/>
      <c r="Q380" s="36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</row>
    <row r="381" spans="1:28">
      <c r="A381" s="34"/>
      <c r="B381" s="33"/>
      <c r="C381" s="33"/>
      <c r="D381" s="33"/>
      <c r="E381" s="33"/>
      <c r="F381" s="33"/>
      <c r="G381" s="33"/>
      <c r="H381" s="33"/>
      <c r="I381" s="33"/>
      <c r="J381" s="33"/>
      <c r="K381" s="33"/>
      <c r="L381" s="33"/>
      <c r="N381" s="34"/>
      <c r="O381" s="32"/>
      <c r="P381" s="32"/>
      <c r="Q381" s="36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</row>
    <row r="382" spans="1:28">
      <c r="A382" s="34"/>
      <c r="B382" s="33"/>
      <c r="C382" s="33"/>
      <c r="D382" s="33"/>
      <c r="E382" s="33"/>
      <c r="F382" s="33"/>
      <c r="G382" s="33"/>
      <c r="H382" s="33"/>
      <c r="I382" s="33"/>
      <c r="J382" s="33"/>
      <c r="K382" s="33"/>
      <c r="L382" s="33"/>
      <c r="N382" s="34"/>
      <c r="O382" s="32"/>
      <c r="P382" s="32"/>
      <c r="Q382" s="36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</row>
    <row r="383" spans="1:28">
      <c r="A383" s="34"/>
      <c r="B383" s="33"/>
      <c r="C383" s="33"/>
      <c r="D383" s="33"/>
      <c r="E383" s="33"/>
      <c r="F383" s="33"/>
      <c r="G383" s="33"/>
      <c r="H383" s="33"/>
      <c r="I383" s="33"/>
      <c r="J383" s="33"/>
      <c r="K383" s="33"/>
      <c r="L383" s="33"/>
      <c r="N383" s="34"/>
      <c r="O383" s="32"/>
      <c r="P383" s="32"/>
      <c r="Q383" s="36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</row>
    <row r="384" spans="1:28">
      <c r="A384" s="34"/>
      <c r="B384" s="33"/>
      <c r="C384" s="33"/>
      <c r="D384" s="33"/>
      <c r="E384" s="33"/>
      <c r="F384" s="33"/>
      <c r="G384" s="33"/>
      <c r="H384" s="33"/>
      <c r="I384" s="33"/>
      <c r="J384" s="33"/>
      <c r="K384" s="33"/>
      <c r="L384" s="33"/>
      <c r="N384" s="34"/>
      <c r="O384" s="32"/>
      <c r="P384" s="32"/>
      <c r="Q384" s="36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</row>
    <row r="385" spans="1:28">
      <c r="A385" s="34"/>
      <c r="B385" s="33"/>
      <c r="C385" s="33"/>
      <c r="D385" s="33"/>
      <c r="E385" s="33"/>
      <c r="F385" s="33"/>
      <c r="G385" s="33"/>
      <c r="H385" s="33"/>
      <c r="I385" s="33"/>
      <c r="J385" s="33"/>
      <c r="K385" s="33"/>
      <c r="L385" s="33"/>
      <c r="N385" s="34"/>
      <c r="O385" s="32"/>
      <c r="P385" s="32"/>
      <c r="Q385" s="36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</row>
    <row r="386" spans="1:28">
      <c r="A386" s="34"/>
      <c r="B386" s="33"/>
      <c r="C386" s="33"/>
      <c r="D386" s="33"/>
      <c r="E386" s="33"/>
      <c r="F386" s="33"/>
      <c r="G386" s="33"/>
      <c r="H386" s="33"/>
      <c r="I386" s="33"/>
      <c r="J386" s="33"/>
      <c r="K386" s="33"/>
      <c r="L386" s="33"/>
      <c r="N386" s="34"/>
      <c r="O386" s="32"/>
      <c r="P386" s="32"/>
      <c r="Q386" s="36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</row>
    <row r="387" spans="1:28">
      <c r="A387" s="34"/>
      <c r="B387" s="33"/>
      <c r="C387" s="33"/>
      <c r="D387" s="33"/>
      <c r="E387" s="33"/>
      <c r="F387" s="33"/>
      <c r="G387" s="33"/>
      <c r="H387" s="33"/>
      <c r="I387" s="33"/>
      <c r="J387" s="33"/>
      <c r="K387" s="33"/>
      <c r="L387" s="33"/>
      <c r="N387" s="34"/>
      <c r="O387" s="32"/>
      <c r="P387" s="32"/>
      <c r="Q387" s="36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</row>
    <row r="388" spans="1:28">
      <c r="A388" s="34"/>
      <c r="B388" s="33"/>
      <c r="C388" s="33"/>
      <c r="D388" s="33"/>
      <c r="E388" s="33"/>
      <c r="F388" s="33"/>
      <c r="G388" s="33"/>
      <c r="H388" s="33"/>
      <c r="I388" s="33"/>
      <c r="J388" s="33"/>
      <c r="K388" s="33"/>
      <c r="L388" s="33"/>
      <c r="N388" s="34"/>
      <c r="O388" s="32"/>
      <c r="P388" s="32"/>
      <c r="Q388" s="36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</row>
    <row r="389" spans="1:28">
      <c r="A389" s="34"/>
      <c r="B389" s="33"/>
      <c r="C389" s="33"/>
      <c r="D389" s="33"/>
      <c r="E389" s="33"/>
      <c r="F389" s="33"/>
      <c r="G389" s="33"/>
      <c r="H389" s="33"/>
      <c r="I389" s="33"/>
      <c r="J389" s="33"/>
      <c r="K389" s="33"/>
      <c r="L389" s="33"/>
      <c r="N389" s="34"/>
      <c r="O389" s="32"/>
      <c r="P389" s="32"/>
      <c r="Q389" s="36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</row>
    <row r="390" spans="1:28">
      <c r="A390" s="34"/>
      <c r="B390" s="33"/>
      <c r="C390" s="33"/>
      <c r="D390" s="33"/>
      <c r="E390" s="33"/>
      <c r="F390" s="33"/>
      <c r="G390" s="33"/>
      <c r="H390" s="33"/>
      <c r="I390" s="33"/>
      <c r="J390" s="33"/>
      <c r="K390" s="33"/>
      <c r="L390" s="33"/>
      <c r="N390" s="34"/>
      <c r="O390" s="32"/>
      <c r="P390" s="32"/>
      <c r="Q390" s="36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</row>
    <row r="391" spans="1:28">
      <c r="A391" s="34"/>
      <c r="B391" s="33"/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N391" s="34"/>
      <c r="O391" s="32"/>
      <c r="P391" s="32"/>
      <c r="Q391" s="36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</row>
    <row r="392" spans="1:28">
      <c r="A392" s="34"/>
      <c r="B392" s="33"/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N392" s="34"/>
      <c r="O392" s="32"/>
      <c r="P392" s="32"/>
      <c r="Q392" s="36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</row>
    <row r="393" spans="1:28">
      <c r="A393" s="34"/>
      <c r="B393" s="33"/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N393" s="34"/>
      <c r="O393" s="32"/>
      <c r="P393" s="32"/>
      <c r="Q393" s="36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</row>
    <row r="394" spans="1:28">
      <c r="A394" s="34"/>
      <c r="B394" s="33"/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N394" s="34"/>
      <c r="O394" s="32"/>
      <c r="P394" s="32"/>
      <c r="Q394" s="36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</row>
    <row r="395" spans="1:28">
      <c r="A395" s="34"/>
      <c r="B395" s="33"/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N395" s="34"/>
      <c r="O395" s="32"/>
      <c r="P395" s="32"/>
      <c r="Q395" s="36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</row>
    <row r="396" spans="1:28">
      <c r="A396" s="34"/>
      <c r="B396" s="33"/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N396" s="34"/>
      <c r="O396" s="32"/>
      <c r="P396" s="32"/>
      <c r="Q396" s="36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</row>
    <row r="397" spans="1:28">
      <c r="A397" s="34"/>
      <c r="B397" s="33"/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N397" s="34"/>
      <c r="O397" s="32"/>
      <c r="P397" s="32"/>
      <c r="Q397" s="36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</row>
    <row r="398" spans="1:28">
      <c r="A398" s="34"/>
      <c r="B398" s="33"/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N398" s="34"/>
      <c r="O398" s="32"/>
      <c r="P398" s="32"/>
      <c r="Q398" s="36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</row>
    <row r="399" spans="1:28">
      <c r="A399" s="34"/>
      <c r="B399" s="33"/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N399" s="34"/>
      <c r="O399" s="32"/>
      <c r="P399" s="32"/>
      <c r="Q399" s="36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</row>
    <row r="400" spans="1:28">
      <c r="A400" s="34"/>
      <c r="B400" s="33"/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N400" s="34"/>
      <c r="O400" s="32"/>
      <c r="P400" s="32"/>
      <c r="Q400" s="36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</row>
    <row r="401" spans="1:28">
      <c r="A401" s="34"/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N401" s="34"/>
      <c r="O401" s="32"/>
      <c r="P401" s="32"/>
      <c r="Q401" s="36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</row>
    <row r="402" spans="1:28">
      <c r="A402" s="34"/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N402" s="34"/>
      <c r="O402" s="32"/>
      <c r="P402" s="32"/>
      <c r="Q402" s="36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</row>
    <row r="403" spans="1:28">
      <c r="A403" s="34"/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N403" s="34"/>
      <c r="O403" s="32"/>
      <c r="P403" s="32"/>
      <c r="Q403" s="36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</row>
    <row r="404" spans="1:28">
      <c r="A404" s="34"/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N404" s="34"/>
      <c r="O404" s="32"/>
      <c r="P404" s="32"/>
      <c r="Q404" s="36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</row>
    <row r="405" spans="1:28">
      <c r="A405" s="34"/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N405" s="34"/>
      <c r="O405" s="32"/>
      <c r="P405" s="32"/>
      <c r="Q405" s="36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</row>
    <row r="406" spans="1:28">
      <c r="A406" s="34"/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N406" s="34"/>
      <c r="O406" s="32"/>
      <c r="P406" s="32"/>
      <c r="Q406" s="36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</row>
    <row r="407" spans="1:28">
      <c r="A407" s="34"/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N407" s="34"/>
      <c r="O407" s="32"/>
      <c r="P407" s="32"/>
      <c r="Q407" s="36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</row>
    <row r="408" spans="1:28">
      <c r="A408" s="34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N408" s="34"/>
      <c r="O408" s="32"/>
      <c r="P408" s="32"/>
      <c r="Q408" s="36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</row>
    <row r="409" spans="1:28">
      <c r="A409" s="34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N409" s="34"/>
      <c r="O409" s="32"/>
      <c r="P409" s="32"/>
      <c r="Q409" s="36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</row>
    <row r="410" spans="1:28">
      <c r="A410" s="34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N410" s="34"/>
      <c r="O410" s="32"/>
      <c r="P410" s="32"/>
      <c r="Q410" s="36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</row>
    <row r="411" spans="1:28">
      <c r="A411" s="34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N411" s="34"/>
      <c r="O411" s="32"/>
      <c r="P411" s="32"/>
      <c r="Q411" s="36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</row>
    <row r="412" spans="1:28">
      <c r="A412" s="34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N412" s="34"/>
      <c r="O412" s="32"/>
      <c r="P412" s="32"/>
      <c r="Q412" s="36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</row>
    <row r="413" spans="1:28">
      <c r="A413" s="34"/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N413" s="34"/>
      <c r="O413" s="32"/>
      <c r="P413" s="32"/>
      <c r="Q413" s="36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</row>
    <row r="414" spans="1:28">
      <c r="A414" s="34"/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N414" s="34"/>
      <c r="O414" s="32"/>
      <c r="P414" s="32"/>
      <c r="Q414" s="36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</row>
    <row r="415" spans="1:28">
      <c r="A415" s="34"/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N415" s="34"/>
      <c r="O415" s="32"/>
      <c r="P415" s="32"/>
      <c r="Q415" s="36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</row>
    <row r="416" spans="1:28">
      <c r="A416" s="34"/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N416" s="34"/>
      <c r="O416" s="32"/>
      <c r="P416" s="32"/>
      <c r="Q416" s="36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</row>
    <row r="417" spans="1:28">
      <c r="A417" s="34"/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N417" s="34"/>
      <c r="O417" s="32"/>
      <c r="P417" s="32"/>
      <c r="Q417" s="36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</row>
    <row r="418" spans="1:28">
      <c r="A418" s="34"/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N418" s="34"/>
      <c r="O418" s="32"/>
      <c r="P418" s="32"/>
      <c r="Q418" s="36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</row>
    <row r="419" spans="1:28">
      <c r="A419" s="34"/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N419" s="34"/>
      <c r="O419" s="32"/>
      <c r="P419" s="32"/>
      <c r="Q419" s="36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</row>
    <row r="420" spans="1:28">
      <c r="A420" s="34"/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N420" s="34"/>
      <c r="O420" s="32"/>
      <c r="P420" s="32"/>
      <c r="Q420" s="36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</row>
    <row r="421" spans="1:28">
      <c r="A421" s="34"/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N421" s="34"/>
      <c r="O421" s="32"/>
      <c r="P421" s="32"/>
      <c r="Q421" s="36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</row>
    <row r="422" spans="1:28">
      <c r="A422" s="34"/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N422" s="34"/>
      <c r="O422" s="32"/>
      <c r="P422" s="32"/>
      <c r="Q422" s="36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</row>
    <row r="423" spans="1:28">
      <c r="A423" s="34"/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N423" s="34"/>
      <c r="O423" s="32"/>
      <c r="P423" s="32"/>
      <c r="Q423" s="36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</row>
    <row r="424" spans="1:28">
      <c r="A424" s="34"/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N424" s="34"/>
      <c r="O424" s="32"/>
      <c r="P424" s="32"/>
      <c r="Q424" s="36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</row>
    <row r="425" spans="1:28">
      <c r="A425" s="34"/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N425" s="34"/>
      <c r="O425" s="32"/>
      <c r="P425" s="32"/>
      <c r="Q425" s="36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</row>
    <row r="426" spans="1:28">
      <c r="A426" s="34"/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N426" s="34"/>
      <c r="O426" s="32"/>
      <c r="P426" s="32"/>
      <c r="Q426" s="36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</row>
    <row r="427" spans="1:28">
      <c r="A427" s="34"/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N427" s="34"/>
      <c r="O427" s="32"/>
      <c r="P427" s="32"/>
      <c r="Q427" s="36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</row>
    <row r="428" spans="1:28">
      <c r="A428" s="34"/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N428" s="34"/>
      <c r="O428" s="32"/>
      <c r="P428" s="32"/>
      <c r="Q428" s="36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</row>
    <row r="429" spans="1:28">
      <c r="A429" s="34"/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N429" s="34"/>
      <c r="O429" s="32"/>
      <c r="P429" s="32"/>
      <c r="Q429" s="36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</row>
    <row r="430" spans="1:28">
      <c r="A430" s="34"/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N430" s="34"/>
      <c r="O430" s="32"/>
      <c r="P430" s="32"/>
      <c r="Q430" s="36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</row>
    <row r="431" spans="1:28">
      <c r="A431" s="34"/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N431" s="34"/>
      <c r="O431" s="32"/>
      <c r="P431" s="32"/>
      <c r="Q431" s="36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</row>
    <row r="432" spans="1:28">
      <c r="A432" s="34"/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N432" s="34"/>
      <c r="O432" s="32"/>
      <c r="P432" s="32"/>
      <c r="Q432" s="36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</row>
    <row r="433" spans="1:28">
      <c r="A433" s="34"/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N433" s="34"/>
      <c r="O433" s="32"/>
      <c r="P433" s="32"/>
      <c r="Q433" s="36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</row>
    <row r="434" spans="1:28">
      <c r="A434" s="34"/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N434" s="34"/>
      <c r="O434" s="32"/>
      <c r="P434" s="32"/>
      <c r="Q434" s="36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</row>
    <row r="435" spans="1:28">
      <c r="A435" s="34"/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N435" s="34"/>
      <c r="O435" s="32"/>
      <c r="P435" s="32"/>
      <c r="Q435" s="36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</row>
    <row r="436" spans="1:28">
      <c r="A436" s="34"/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N436" s="34"/>
      <c r="O436" s="32"/>
      <c r="P436" s="32"/>
      <c r="Q436" s="36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</row>
    <row r="437" spans="1:28">
      <c r="A437" s="34"/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N437" s="34"/>
      <c r="O437" s="32"/>
      <c r="P437" s="32"/>
      <c r="Q437" s="36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</row>
    <row r="438" spans="1:28">
      <c r="A438" s="34"/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N438" s="34"/>
      <c r="O438" s="32"/>
      <c r="P438" s="32"/>
      <c r="Q438" s="36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</row>
    <row r="439" spans="1:28">
      <c r="A439" s="34"/>
      <c r="B439" s="33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N439" s="34"/>
      <c r="O439" s="32"/>
      <c r="P439" s="32"/>
      <c r="Q439" s="36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</row>
    <row r="440" spans="1:28">
      <c r="A440" s="34"/>
      <c r="B440" s="33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N440" s="34"/>
      <c r="O440" s="32"/>
      <c r="P440" s="32"/>
      <c r="Q440" s="36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</row>
    <row r="441" spans="1:28">
      <c r="A441" s="34"/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N441" s="34"/>
      <c r="O441" s="32"/>
      <c r="P441" s="32"/>
      <c r="Q441" s="36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</row>
    <row r="442" spans="1:28">
      <c r="A442" s="34"/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N442" s="34"/>
      <c r="O442" s="32"/>
      <c r="P442" s="32"/>
      <c r="Q442" s="36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</row>
    <row r="443" spans="1:28">
      <c r="A443" s="34"/>
      <c r="B443" s="33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N443" s="34"/>
      <c r="O443" s="32"/>
      <c r="P443" s="32"/>
      <c r="Q443" s="36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</row>
    <row r="444" spans="1:28">
      <c r="A444" s="34"/>
      <c r="B444" s="33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N444" s="34"/>
      <c r="O444" s="32"/>
      <c r="P444" s="32"/>
      <c r="Q444" s="36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</row>
    <row r="445" spans="1:28">
      <c r="A445" s="34"/>
      <c r="B445" s="33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N445" s="34"/>
      <c r="O445" s="32"/>
      <c r="P445" s="32"/>
      <c r="Q445" s="36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</row>
    <row r="446" spans="1:28">
      <c r="A446" s="34"/>
      <c r="B446" s="33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N446" s="34"/>
      <c r="O446" s="32"/>
      <c r="P446" s="32"/>
      <c r="Q446" s="36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</row>
    <row r="447" spans="1:28">
      <c r="A447" s="34"/>
      <c r="B447" s="33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N447" s="34"/>
      <c r="O447" s="32"/>
      <c r="P447" s="32"/>
      <c r="Q447" s="36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</row>
    <row r="448" spans="1:28">
      <c r="A448" s="34"/>
      <c r="B448" s="33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N448" s="34"/>
      <c r="O448" s="32"/>
      <c r="P448" s="32"/>
      <c r="Q448" s="36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</row>
    <row r="449" spans="1:28">
      <c r="A449" s="34"/>
      <c r="B449" s="33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N449" s="34"/>
      <c r="O449" s="32"/>
      <c r="P449" s="32"/>
      <c r="Q449" s="36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</row>
    <row r="450" spans="1:28">
      <c r="A450" s="34"/>
      <c r="B450" s="33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N450" s="34"/>
      <c r="O450" s="32"/>
      <c r="P450" s="32"/>
      <c r="Q450" s="36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</row>
    <row r="451" spans="1:28">
      <c r="A451" s="34"/>
      <c r="B451" s="33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N451" s="34"/>
      <c r="O451" s="32"/>
      <c r="P451" s="32"/>
      <c r="Q451" s="36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</row>
    <row r="452" spans="1:28">
      <c r="A452" s="34"/>
      <c r="B452" s="33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N452" s="34"/>
      <c r="O452" s="32"/>
      <c r="P452" s="32"/>
      <c r="Q452" s="36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</row>
    <row r="453" spans="1:28">
      <c r="A453" s="34"/>
      <c r="B453" s="33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N453" s="34"/>
      <c r="O453" s="32"/>
      <c r="P453" s="32"/>
      <c r="Q453" s="36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</row>
    <row r="454" spans="1:28">
      <c r="A454" s="34"/>
      <c r="B454" s="33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N454" s="34"/>
      <c r="O454" s="32"/>
      <c r="P454" s="32"/>
      <c r="Q454" s="36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</row>
    <row r="455" spans="1:28">
      <c r="A455" s="34"/>
      <c r="B455" s="33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N455" s="34"/>
      <c r="O455" s="32"/>
      <c r="P455" s="32"/>
      <c r="Q455" s="36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</row>
    <row r="456" spans="1:28">
      <c r="A456" s="34"/>
      <c r="B456" s="33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N456" s="34"/>
      <c r="O456" s="32"/>
      <c r="P456" s="32"/>
      <c r="Q456" s="36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</row>
    <row r="457" spans="1:28">
      <c r="A457" s="34"/>
      <c r="B457" s="33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N457" s="34"/>
      <c r="O457" s="32"/>
      <c r="P457" s="32"/>
      <c r="Q457" s="36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</row>
    <row r="458" spans="1:28">
      <c r="A458" s="34"/>
      <c r="B458" s="33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N458" s="34"/>
      <c r="O458" s="32"/>
      <c r="P458" s="32"/>
      <c r="Q458" s="36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</row>
    <row r="459" spans="1:28">
      <c r="A459" s="34"/>
      <c r="B459" s="33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N459" s="34"/>
      <c r="O459" s="32"/>
      <c r="P459" s="32"/>
      <c r="Q459" s="36"/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</row>
    <row r="460" spans="1:28">
      <c r="A460" s="34"/>
      <c r="B460" s="33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N460" s="34"/>
      <c r="O460" s="32"/>
      <c r="P460" s="32"/>
      <c r="Q460" s="36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</row>
    <row r="461" spans="1:28">
      <c r="A461" s="34"/>
      <c r="B461" s="33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N461" s="34"/>
      <c r="O461" s="32"/>
      <c r="P461" s="32"/>
      <c r="Q461" s="36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</row>
    <row r="462" spans="1:28">
      <c r="A462" s="34"/>
      <c r="B462" s="33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N462" s="34"/>
      <c r="O462" s="32"/>
      <c r="P462" s="32"/>
      <c r="Q462" s="36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</row>
    <row r="463" spans="1:28">
      <c r="A463" s="34"/>
      <c r="B463" s="33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N463" s="34"/>
      <c r="O463" s="32"/>
      <c r="P463" s="32"/>
      <c r="Q463" s="36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</row>
    <row r="464" spans="1:28">
      <c r="A464" s="34"/>
      <c r="B464" s="33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N464" s="34"/>
      <c r="O464" s="32"/>
      <c r="P464" s="32"/>
      <c r="Q464" s="36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</row>
    <row r="465" spans="1:28">
      <c r="A465" s="34"/>
      <c r="B465" s="33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N465" s="34"/>
      <c r="O465" s="32"/>
      <c r="P465" s="32"/>
      <c r="Q465" s="36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</row>
    <row r="466" spans="1:28">
      <c r="A466" s="34"/>
      <c r="B466" s="33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N466" s="34"/>
      <c r="O466" s="32"/>
      <c r="P466" s="32"/>
      <c r="Q466" s="36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</row>
    <row r="467" spans="1:28">
      <c r="A467" s="34"/>
      <c r="B467" s="33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N467" s="34"/>
      <c r="O467" s="32"/>
      <c r="P467" s="32"/>
      <c r="Q467" s="36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</row>
    <row r="468" spans="1:28">
      <c r="A468" s="34"/>
      <c r="B468" s="33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N468" s="34"/>
      <c r="O468" s="32"/>
      <c r="P468" s="32"/>
      <c r="Q468" s="36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</row>
    <row r="469" spans="1:28">
      <c r="A469" s="34"/>
      <c r="B469" s="33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N469" s="34"/>
      <c r="O469" s="32"/>
      <c r="P469" s="32"/>
      <c r="Q469" s="36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</row>
    <row r="470" spans="1:28">
      <c r="A470" s="34"/>
      <c r="B470" s="33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N470" s="34"/>
      <c r="O470" s="32"/>
      <c r="P470" s="32"/>
      <c r="Q470" s="36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</row>
    <row r="471" spans="1:28">
      <c r="A471" s="34"/>
      <c r="B471" s="33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N471" s="34"/>
      <c r="O471" s="32"/>
      <c r="P471" s="32"/>
      <c r="Q471" s="36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</row>
    <row r="472" spans="1:28">
      <c r="A472" s="34"/>
      <c r="B472" s="33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N472" s="34"/>
      <c r="O472" s="32"/>
      <c r="P472" s="32"/>
      <c r="Q472" s="36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</row>
    <row r="473" spans="1:28">
      <c r="A473" s="34"/>
      <c r="B473" s="33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N473" s="34"/>
      <c r="O473" s="32"/>
      <c r="P473" s="32"/>
      <c r="Q473" s="36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</row>
    <row r="474" spans="1:28">
      <c r="A474" s="34"/>
      <c r="B474" s="33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N474" s="34"/>
      <c r="O474" s="32"/>
      <c r="P474" s="32"/>
      <c r="Q474" s="36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</row>
    <row r="475" spans="1:28">
      <c r="A475" s="34"/>
      <c r="B475" s="33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N475" s="34"/>
      <c r="O475" s="32"/>
      <c r="P475" s="32"/>
      <c r="Q475" s="36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</row>
    <row r="476" spans="1:28">
      <c r="A476" s="34"/>
      <c r="B476" s="33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N476" s="34"/>
      <c r="O476" s="32"/>
      <c r="P476" s="32"/>
      <c r="Q476" s="36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</row>
    <row r="477" spans="1:28">
      <c r="A477" s="34"/>
      <c r="B477" s="33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N477" s="34"/>
      <c r="O477" s="32"/>
      <c r="P477" s="32"/>
      <c r="Q477" s="36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</row>
    <row r="478" spans="1:28">
      <c r="A478" s="34"/>
      <c r="B478" s="33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N478" s="34"/>
      <c r="O478" s="32"/>
      <c r="P478" s="32"/>
      <c r="Q478" s="36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</row>
    <row r="479" spans="1:28">
      <c r="A479" s="34"/>
      <c r="B479" s="33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N479" s="34"/>
      <c r="O479" s="32"/>
      <c r="P479" s="32"/>
      <c r="Q479" s="36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</row>
    <row r="480" spans="1:28">
      <c r="A480" s="34"/>
      <c r="B480" s="33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N480" s="34"/>
      <c r="O480" s="32"/>
      <c r="P480" s="32"/>
      <c r="Q480" s="36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</row>
    <row r="481" spans="1:28">
      <c r="A481" s="34"/>
      <c r="B481" s="33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N481" s="34"/>
      <c r="O481" s="32"/>
      <c r="P481" s="32"/>
      <c r="Q481" s="36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</row>
    <row r="482" spans="1:28">
      <c r="A482" s="34"/>
      <c r="B482" s="33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N482" s="34"/>
      <c r="O482" s="32"/>
      <c r="P482" s="32"/>
      <c r="Q482" s="36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</row>
    <row r="483" spans="1:28">
      <c r="A483" s="34"/>
      <c r="B483" s="33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N483" s="34"/>
      <c r="O483" s="32"/>
      <c r="P483" s="32"/>
      <c r="Q483" s="36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</row>
    <row r="484" spans="1:28">
      <c r="A484" s="34"/>
      <c r="B484" s="33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N484" s="34"/>
      <c r="O484" s="32"/>
      <c r="P484" s="32"/>
      <c r="Q484" s="36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</row>
    <row r="485" spans="1:28">
      <c r="A485" s="34"/>
      <c r="B485" s="33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N485" s="34"/>
      <c r="O485" s="32"/>
      <c r="P485" s="32"/>
      <c r="Q485" s="36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</row>
    <row r="486" spans="1:28">
      <c r="A486" s="34"/>
      <c r="B486" s="33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N486" s="34"/>
      <c r="O486" s="32"/>
      <c r="P486" s="32"/>
      <c r="Q486" s="36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</row>
    <row r="487" spans="1:28">
      <c r="A487" s="34"/>
      <c r="B487" s="33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N487" s="34"/>
      <c r="O487" s="32"/>
      <c r="P487" s="32"/>
      <c r="Q487" s="36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</row>
    <row r="488" spans="1:28">
      <c r="A488" s="34"/>
      <c r="B488" s="33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N488" s="34"/>
      <c r="O488" s="32"/>
      <c r="P488" s="32"/>
      <c r="Q488" s="36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</row>
    <row r="489" spans="1:28">
      <c r="A489" s="34"/>
      <c r="B489" s="33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N489" s="34"/>
      <c r="O489" s="32"/>
      <c r="P489" s="32"/>
      <c r="Q489" s="36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</row>
    <row r="490" spans="1:28">
      <c r="A490" s="34"/>
      <c r="B490" s="33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N490" s="34"/>
      <c r="O490" s="32"/>
      <c r="P490" s="32"/>
      <c r="Q490" s="36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</row>
    <row r="491" spans="1:28">
      <c r="A491" s="34"/>
      <c r="B491" s="33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N491" s="34"/>
      <c r="O491" s="32"/>
      <c r="P491" s="32"/>
      <c r="Q491" s="36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</row>
    <row r="492" spans="1:28">
      <c r="A492" s="34"/>
      <c r="B492" s="33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N492" s="34"/>
      <c r="O492" s="32"/>
      <c r="P492" s="32"/>
      <c r="Q492" s="36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</row>
    <row r="493" spans="1:28">
      <c r="A493" s="34"/>
      <c r="B493" s="33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N493" s="34"/>
      <c r="O493" s="32"/>
      <c r="P493" s="32"/>
      <c r="Q493" s="36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</row>
    <row r="494" spans="1:28">
      <c r="A494" s="34"/>
      <c r="B494" s="33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N494" s="34"/>
      <c r="O494" s="32"/>
      <c r="P494" s="32"/>
      <c r="Q494" s="36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</row>
    <row r="495" spans="1:28">
      <c r="A495" s="34"/>
      <c r="B495" s="33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N495" s="34"/>
      <c r="O495" s="32"/>
      <c r="P495" s="32"/>
      <c r="Q495" s="36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</row>
    <row r="496" spans="1:28">
      <c r="A496" s="34"/>
      <c r="B496" s="33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N496" s="34"/>
      <c r="O496" s="32"/>
      <c r="P496" s="32"/>
      <c r="Q496" s="36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</row>
    <row r="497" spans="1:28">
      <c r="A497" s="34"/>
      <c r="B497" s="33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N497" s="34"/>
      <c r="O497" s="32"/>
      <c r="P497" s="32"/>
      <c r="Q497" s="36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</row>
    <row r="498" spans="1:28">
      <c r="A498" s="34"/>
      <c r="B498" s="33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N498" s="34"/>
      <c r="O498" s="32"/>
      <c r="P498" s="32"/>
      <c r="Q498" s="36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</row>
    <row r="499" spans="1:28">
      <c r="A499" s="34"/>
      <c r="B499" s="33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N499" s="34"/>
      <c r="O499" s="32"/>
      <c r="P499" s="32"/>
      <c r="Q499" s="36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</row>
    <row r="500" spans="1:28">
      <c r="A500" s="34"/>
      <c r="B500" s="33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N500" s="34"/>
      <c r="O500" s="32"/>
      <c r="P500" s="32"/>
      <c r="Q500" s="36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</row>
  </sheetData>
  <sortState xmlns:xlrd2="http://schemas.microsoft.com/office/spreadsheetml/2017/richdata2" ref="A7:M15">
    <sortCondition ref="A7"/>
  </sortState>
  <mergeCells count="5">
    <mergeCell ref="A1:AB1"/>
    <mergeCell ref="A2:AB2"/>
    <mergeCell ref="B3:D3"/>
    <mergeCell ref="A5:L5"/>
    <mergeCell ref="N5:AB5"/>
  </mergeCells>
  <dataValidations count="1">
    <dataValidation type="list" allowBlank="1" showInputMessage="1" showErrorMessage="1" sqref="F3 I3" xr:uid="{D107468F-E948-473D-B831-0F027CC84DF4}">
      <formula1>MonthlyDates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BCA728A-924D-4743-8481-77593C638DFC}">
          <x14:formula1>
            <xm:f>OFFSET(Heath_Personas!$B$4,0,0,MAX(1,COUNTA(Heath_Personas!$B:$B)-3),1)</xm:f>
          </x14:formula1>
          <xm:sqref>B3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07674-0753-4318-9E01-CE4CB353E913}">
  <sheetPr codeName="Sheet15"/>
  <dimension ref="A1:J19"/>
  <sheetViews>
    <sheetView workbookViewId="0">
      <selection activeCell="E21" sqref="E21"/>
    </sheetView>
  </sheetViews>
  <sheetFormatPr defaultRowHeight="13.8"/>
  <cols>
    <col min="1" max="1" width="12.69921875" style="50" bestFit="1" customWidth="1"/>
    <col min="2" max="2" width="8.8984375" bestFit="1" customWidth="1"/>
    <col min="3" max="3" width="15.3984375" bestFit="1" customWidth="1"/>
    <col min="4" max="4" width="10.09765625" bestFit="1" customWidth="1"/>
    <col min="5" max="5" width="18.8984375" bestFit="1" customWidth="1"/>
    <col min="6" max="6" width="9.09765625" bestFit="1" customWidth="1"/>
    <col min="7" max="7" width="15.69921875" bestFit="1" customWidth="1"/>
    <col min="8" max="8" width="14.19921875" bestFit="1" customWidth="1"/>
    <col min="9" max="9" width="9.59765625" bestFit="1" customWidth="1"/>
    <col min="10" max="10" width="55.69921875" customWidth="1"/>
  </cols>
  <sheetData>
    <row r="1" spans="1:10">
      <c r="A1" s="53" t="s">
        <v>764</v>
      </c>
      <c r="B1" s="53"/>
      <c r="C1" s="53"/>
      <c r="D1" s="53"/>
      <c r="E1" s="53"/>
      <c r="F1" s="53"/>
      <c r="G1" s="53"/>
      <c r="H1" s="53"/>
      <c r="I1" s="53"/>
      <c r="J1" s="53"/>
    </row>
    <row r="2" spans="1:10">
      <c r="A2" s="54" t="s">
        <v>765</v>
      </c>
      <c r="B2" s="54"/>
      <c r="C2" s="54"/>
      <c r="D2" s="54"/>
      <c r="E2" s="54"/>
      <c r="F2" s="54"/>
      <c r="G2" s="54"/>
      <c r="H2" s="54"/>
      <c r="I2" s="54"/>
      <c r="J2" s="54"/>
    </row>
    <row r="3" spans="1:10">
      <c r="A3" s="49" t="s">
        <v>766</v>
      </c>
      <c r="B3" s="48" t="s">
        <v>767</v>
      </c>
      <c r="C3" s="48" t="s">
        <v>524</v>
      </c>
      <c r="D3" s="48" t="s">
        <v>2</v>
      </c>
      <c r="E3" s="48" t="s">
        <v>525</v>
      </c>
      <c r="F3" s="48" t="s">
        <v>768</v>
      </c>
      <c r="G3" s="48" t="s">
        <v>769</v>
      </c>
      <c r="H3" s="48" t="s">
        <v>770</v>
      </c>
      <c r="I3" s="48" t="s">
        <v>667</v>
      </c>
      <c r="J3" s="48" t="s">
        <v>771</v>
      </c>
    </row>
    <row r="4" spans="1:10">
      <c r="A4" s="49">
        <v>46228.576238425929</v>
      </c>
      <c r="B4" s="48" t="s">
        <v>773</v>
      </c>
      <c r="C4" s="48" t="s">
        <v>735</v>
      </c>
      <c r="D4" s="48" t="s">
        <v>194</v>
      </c>
      <c r="E4" s="81">
        <v>46203</v>
      </c>
      <c r="F4" s="48" t="s">
        <v>509</v>
      </c>
      <c r="G4" s="48">
        <v>3.21</v>
      </c>
      <c r="H4" s="48">
        <v>6.5</v>
      </c>
      <c r="I4" s="48" t="s">
        <v>774</v>
      </c>
      <c r="J4" s="48" t="s">
        <v>775</v>
      </c>
    </row>
    <row r="5" spans="1:10">
      <c r="A5" s="49">
        <v>46228.576238425929</v>
      </c>
      <c r="B5" s="48" t="s">
        <v>777</v>
      </c>
      <c r="C5" s="48" t="s">
        <v>735</v>
      </c>
      <c r="D5" s="48" t="s">
        <v>194</v>
      </c>
      <c r="E5" s="81">
        <v>46203</v>
      </c>
      <c r="F5" s="48" t="s">
        <v>400</v>
      </c>
      <c r="G5" s="48">
        <v>6.94</v>
      </c>
      <c r="H5" s="48">
        <v>7.2700000000000005</v>
      </c>
      <c r="I5" s="48" t="s">
        <v>774</v>
      </c>
      <c r="J5" s="48" t="s">
        <v>778</v>
      </c>
    </row>
    <row r="6" spans="1:10">
      <c r="A6" s="49">
        <v>46228.576238425929</v>
      </c>
      <c r="B6" s="48" t="s">
        <v>773</v>
      </c>
      <c r="C6" s="48" t="s">
        <v>721</v>
      </c>
      <c r="D6" s="48" t="s">
        <v>166</v>
      </c>
      <c r="E6" s="81">
        <v>46203</v>
      </c>
      <c r="F6" s="48" t="s">
        <v>488</v>
      </c>
      <c r="G6" s="48">
        <v>9</v>
      </c>
      <c r="H6" s="48">
        <v>10</v>
      </c>
      <c r="I6" s="48" t="s">
        <v>774</v>
      </c>
      <c r="J6" s="48" t="s">
        <v>775</v>
      </c>
    </row>
    <row r="7" spans="1:10">
      <c r="A7" s="49">
        <v>46228.576238425929</v>
      </c>
      <c r="B7" s="48" t="s">
        <v>773</v>
      </c>
      <c r="C7" s="48" t="s">
        <v>721</v>
      </c>
      <c r="D7" s="48" t="s">
        <v>166</v>
      </c>
      <c r="E7" s="81">
        <v>46203</v>
      </c>
      <c r="F7" s="48" t="s">
        <v>496</v>
      </c>
      <c r="G7" s="48">
        <v>8.8699999999999992</v>
      </c>
      <c r="H7" s="48">
        <v>10</v>
      </c>
      <c r="I7" s="48" t="s">
        <v>774</v>
      </c>
      <c r="J7" s="48" t="s">
        <v>775</v>
      </c>
    </row>
    <row r="8" spans="1:10">
      <c r="A8" s="49">
        <v>46228.576238425929</v>
      </c>
      <c r="B8" s="48" t="s">
        <v>773</v>
      </c>
      <c r="C8" s="48" t="s">
        <v>721</v>
      </c>
      <c r="D8" s="48" t="s">
        <v>166</v>
      </c>
      <c r="E8" s="81">
        <v>46203</v>
      </c>
      <c r="F8" s="48" t="s">
        <v>504</v>
      </c>
      <c r="G8" s="48">
        <v>9</v>
      </c>
      <c r="H8" s="48">
        <v>10</v>
      </c>
      <c r="I8" s="48" t="s">
        <v>774</v>
      </c>
      <c r="J8" s="48" t="s">
        <v>775</v>
      </c>
    </row>
    <row r="9" spans="1:10">
      <c r="A9" s="49">
        <v>46228.576238425929</v>
      </c>
      <c r="B9" s="48" t="s">
        <v>773</v>
      </c>
      <c r="C9" s="48" t="s">
        <v>721</v>
      </c>
      <c r="D9" s="48" t="s">
        <v>166</v>
      </c>
      <c r="E9" s="81">
        <v>46203</v>
      </c>
      <c r="F9" s="48" t="s">
        <v>509</v>
      </c>
      <c r="G9" s="48">
        <v>4.71</v>
      </c>
      <c r="H9" s="48">
        <v>10</v>
      </c>
      <c r="I9" s="48" t="s">
        <v>774</v>
      </c>
      <c r="J9" s="48" t="s">
        <v>775</v>
      </c>
    </row>
    <row r="10" spans="1:10">
      <c r="A10" s="49">
        <v>46228.576238425929</v>
      </c>
      <c r="B10" s="48" t="s">
        <v>773</v>
      </c>
      <c r="C10" s="48" t="s">
        <v>721</v>
      </c>
      <c r="D10" s="48" t="s">
        <v>166</v>
      </c>
      <c r="E10" s="81">
        <v>46203</v>
      </c>
      <c r="F10" s="48" t="s">
        <v>513</v>
      </c>
      <c r="G10" s="48">
        <v>9</v>
      </c>
      <c r="H10" s="48">
        <v>10</v>
      </c>
      <c r="I10" s="48" t="s">
        <v>774</v>
      </c>
      <c r="J10" s="48" t="s">
        <v>775</v>
      </c>
    </row>
    <row r="11" spans="1:10">
      <c r="A11" s="49">
        <v>46228.576238425929</v>
      </c>
      <c r="B11" s="48" t="s">
        <v>777</v>
      </c>
      <c r="C11" s="48" t="s">
        <v>721</v>
      </c>
      <c r="D11" s="48" t="s">
        <v>166</v>
      </c>
      <c r="E11" s="81">
        <v>46203</v>
      </c>
      <c r="F11" s="48" t="s">
        <v>400</v>
      </c>
      <c r="G11" s="48">
        <v>8.7100000000000009</v>
      </c>
      <c r="H11" s="48">
        <v>9.6519999999999975</v>
      </c>
      <c r="I11" s="48" t="s">
        <v>774</v>
      </c>
      <c r="J11" s="48" t="s">
        <v>778</v>
      </c>
    </row>
    <row r="12" spans="1:10">
      <c r="A12" s="49">
        <v>46228.576238425929</v>
      </c>
      <c r="B12" s="48" t="s">
        <v>773</v>
      </c>
      <c r="C12" s="48" t="s">
        <v>729</v>
      </c>
      <c r="D12" s="48" t="s">
        <v>185</v>
      </c>
      <c r="E12" s="81">
        <v>46203</v>
      </c>
      <c r="F12" s="48" t="s">
        <v>509</v>
      </c>
      <c r="G12" s="48">
        <v>3.7</v>
      </c>
      <c r="H12" s="48">
        <v>8</v>
      </c>
      <c r="I12" s="48" t="s">
        <v>774</v>
      </c>
      <c r="J12" s="48" t="s">
        <v>775</v>
      </c>
    </row>
    <row r="13" spans="1:10">
      <c r="A13" s="49">
        <v>46228.576238425929</v>
      </c>
      <c r="B13" s="48" t="s">
        <v>777</v>
      </c>
      <c r="C13" s="48" t="s">
        <v>729</v>
      </c>
      <c r="D13" s="48" t="s">
        <v>185</v>
      </c>
      <c r="E13" s="81">
        <v>46203</v>
      </c>
      <c r="F13" s="48" t="s">
        <v>400</v>
      </c>
      <c r="G13" s="48">
        <v>7.29</v>
      </c>
      <c r="H13" s="48">
        <v>7.7200000000000006</v>
      </c>
      <c r="I13" s="48" t="s">
        <v>774</v>
      </c>
      <c r="J13" s="48" t="s">
        <v>778</v>
      </c>
    </row>
    <row r="14" spans="1:10">
      <c r="A14" s="49">
        <v>46228.576249999998</v>
      </c>
      <c r="B14" s="48" t="s">
        <v>773</v>
      </c>
      <c r="C14" s="48" t="s">
        <v>740</v>
      </c>
      <c r="D14" s="48" t="s">
        <v>204</v>
      </c>
      <c r="E14" s="81">
        <v>46203</v>
      </c>
      <c r="F14" s="48" t="s">
        <v>509</v>
      </c>
      <c r="G14" s="48">
        <v>2.71</v>
      </c>
      <c r="H14" s="48">
        <v>6.5</v>
      </c>
      <c r="I14" s="48" t="s">
        <v>774</v>
      </c>
      <c r="J14" s="48" t="s">
        <v>775</v>
      </c>
    </row>
    <row r="15" spans="1:10">
      <c r="A15" s="49">
        <v>46228.576249999998</v>
      </c>
      <c r="B15" s="48" t="s">
        <v>777</v>
      </c>
      <c r="C15" s="48" t="s">
        <v>740</v>
      </c>
      <c r="D15" s="48" t="s">
        <v>204</v>
      </c>
      <c r="E15" s="81">
        <v>46203</v>
      </c>
      <c r="F15" s="48" t="s">
        <v>400</v>
      </c>
      <c r="G15" s="48">
        <v>7.04</v>
      </c>
      <c r="H15" s="48">
        <v>7.42</v>
      </c>
      <c r="I15" s="48" t="s">
        <v>774</v>
      </c>
      <c r="J15" s="48" t="s">
        <v>778</v>
      </c>
    </row>
    <row r="16" spans="1:10">
      <c r="A16" s="49">
        <v>46228.576249999998</v>
      </c>
      <c r="B16" s="48" t="s">
        <v>773</v>
      </c>
      <c r="C16" s="48" t="s">
        <v>743</v>
      </c>
      <c r="D16" s="48" t="s">
        <v>215</v>
      </c>
      <c r="E16" s="81">
        <v>46203</v>
      </c>
      <c r="F16" s="48" t="s">
        <v>509</v>
      </c>
      <c r="G16" s="48">
        <v>9.67</v>
      </c>
      <c r="H16" s="48">
        <v>10</v>
      </c>
      <c r="I16" s="48" t="s">
        <v>774</v>
      </c>
      <c r="J16" s="48" t="s">
        <v>775</v>
      </c>
    </row>
    <row r="17" spans="1:10">
      <c r="A17" s="49">
        <v>46228.576249999998</v>
      </c>
      <c r="B17" s="48" t="s">
        <v>773</v>
      </c>
      <c r="C17" s="48" t="s">
        <v>743</v>
      </c>
      <c r="D17" s="48" t="s">
        <v>215</v>
      </c>
      <c r="E17" s="81">
        <v>46203</v>
      </c>
      <c r="F17" s="48" t="s">
        <v>517</v>
      </c>
      <c r="G17" s="48">
        <v>7.63</v>
      </c>
      <c r="H17" s="48">
        <v>8</v>
      </c>
      <c r="I17" s="48" t="s">
        <v>774</v>
      </c>
      <c r="J17" s="48" t="s">
        <v>775</v>
      </c>
    </row>
    <row r="18" spans="1:10">
      <c r="A18" s="49">
        <v>46228.576249999998</v>
      </c>
      <c r="B18" s="48" t="s">
        <v>773</v>
      </c>
      <c r="C18" s="48" t="s">
        <v>743</v>
      </c>
      <c r="D18" s="48" t="s">
        <v>215</v>
      </c>
      <c r="E18" s="81">
        <v>46203</v>
      </c>
      <c r="F18" s="48" t="s">
        <v>520</v>
      </c>
      <c r="G18" s="48">
        <v>7.13</v>
      </c>
      <c r="H18" s="48">
        <v>8</v>
      </c>
      <c r="I18" s="48" t="s">
        <v>774</v>
      </c>
      <c r="J18" s="48" t="s">
        <v>775</v>
      </c>
    </row>
    <row r="19" spans="1:10">
      <c r="A19" s="49">
        <v>46228.576249999998</v>
      </c>
      <c r="B19" s="48" t="s">
        <v>777</v>
      </c>
      <c r="C19" s="48" t="s">
        <v>743</v>
      </c>
      <c r="D19" s="48" t="s">
        <v>215</v>
      </c>
      <c r="E19" s="81">
        <v>46203</v>
      </c>
      <c r="F19" s="48" t="s">
        <v>400</v>
      </c>
      <c r="G19" s="48">
        <v>8.6300000000000008</v>
      </c>
      <c r="H19" s="48">
        <v>8.7900000000000009</v>
      </c>
      <c r="I19" s="48" t="s">
        <v>774</v>
      </c>
      <c r="J19" s="48" t="s">
        <v>778</v>
      </c>
    </row>
  </sheetData>
  <mergeCells count="2">
    <mergeCell ref="A1:J1"/>
    <mergeCell ref="A2:J2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Board_Profile</vt:lpstr>
      <vt:lpstr>Career_History</vt:lpstr>
      <vt:lpstr>Board_Composition</vt:lpstr>
      <vt:lpstr>Monthly_Experience</vt:lpstr>
      <vt:lpstr>Board_Comparison</vt:lpstr>
      <vt:lpstr>Sources</vt:lpstr>
      <vt:lpstr>Methodology_QA</vt:lpstr>
      <vt:lpstr>Heath_Personas</vt:lpstr>
      <vt:lpstr>Heath_Criterios</vt:lpstr>
      <vt:lpstr>Heath_Evaluaciones</vt:lpstr>
      <vt:lpstr>Heath_Detalle</vt:lpstr>
      <vt:lpstr>Heath_Captura</vt:lpstr>
      <vt:lpstr>Heath_Comparador</vt:lpstr>
      <vt:lpstr>Heath_Evolucion</vt:lpstr>
      <vt:lpstr>Heath_Audit_Log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ramse gutierrez</dc:creator>
  <cp:lastModifiedBy>ramse gutierrez</cp:lastModifiedBy>
  <dcterms:created xsi:type="dcterms:W3CDTF">2026-07-23T01:23:45Z</dcterms:created>
  <dcterms:modified xsi:type="dcterms:W3CDTF">2026-07-25T20:16:02Z</dcterms:modified>
</cp:coreProperties>
</file>